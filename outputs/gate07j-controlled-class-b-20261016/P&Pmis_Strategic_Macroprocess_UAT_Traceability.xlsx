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e36a278a9541f1" /></Relationships>
</file>

<file path=xl/workbook.xml><?xml version="1.0" encoding="utf-8"?>
<x:workbook xmlns:x="http://schemas.openxmlformats.org/spreadsheetml/2006/main">
  <x:sheets>
    <x:sheet xmlns:r="http://schemas.openxmlformats.org/officeDocument/2006/relationships" name="01_Process_Matrix" sheetId="1" r:id="R44b55b326240411d"/>
    <x:sheet xmlns:r="http://schemas.openxmlformats.org/officeDocument/2006/relationships" name="02_UAT_Cases" sheetId="2" r:id="Rd87243c060c54746"/>
    <x:sheet xmlns:r="http://schemas.openxmlformats.org/officeDocument/2006/relationships" name="03_Admin_User_Matrix" sheetId="3" r:id="Rb0d768a5e5b94285"/>
    <x:sheet xmlns:r="http://schemas.openxmlformats.org/officeDocument/2006/relationships" name="04_Navigation_Matrix" sheetId="4" r:id="R5db389b1fb2e41b8"/>
    <x:sheet xmlns:r="http://schemas.openxmlformats.org/officeDocument/2006/relationships" name="05_Business_Rules" sheetId="5" r:id="R7645ad8755cd4861"/>
    <x:sheet xmlns:r="http://schemas.openxmlformats.org/officeDocument/2006/relationships" name="06_Defects" sheetId="6" r:id="R87f7249656da444a"/>
    <x:sheet xmlns:r="http://schemas.openxmlformats.org/officeDocument/2006/relationships" name="07_Code_Cleanup" sheetId="7" r:id="Rb4d4274ee5bf432b"/>
    <x:sheet xmlns:r="http://schemas.openxmlformats.org/officeDocument/2006/relationships" name="08_Release_Criteria" sheetId="8" r:id="R8839c780d6b14f3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yyyy-mm-dd hh:mm"/>
  </x:numFmts>
  <x:fonts count="6">
    <x:font>
      <x:sz val="11"/>
      <x:name val="Carlito"/>
    </x:font>
    <x:font>
      <x:b/>
      <x:sz val="14"/>
      <x:color rgb="FF000000"/>
      <x:name val="Arial"/>
    </x:font>
    <x:font>
      <x:sz val="10"/>
      <x:color rgb="FF000000"/>
      <x:name val="Arial"/>
    </x:font>
    <x:font>
      <x:sz val="10"/>
      <x:color rgb="FF202A33"/>
      <x:name val="Arial"/>
    </x:font>
    <x:font>
      <x:b/>
      <x:sz val="10"/>
      <x:color rgb="FFFFFFFF"/>
      <x:name val="Arial"/>
    </x:font>
    <x:font>
      <x:b/>
      <x:sz val="10"/>
      <x:color rgb="FF202A33"/>
      <x:name val="Arial"/>
    </x:font>
  </x:fonts>
  <x:fills count="5">
    <x:fill>
      <x:patternFill patternType="none"/>
    </x:fill>
    <x:fill>
      <x:patternFill patternType="gray125"/>
    </x:fill>
    <x:fill>
      <x:patternFill patternType="solid">
        <x:fgColor rgb="FF17324D"/>
      </x:patternFill>
    </x:fill>
    <x:fill>
      <x:patternFill patternType="solid">
        <x:fgColor rgb="FFF5F7F8"/>
      </x:patternFill>
    </x:fill>
    <x:fill>
      <x:patternFill patternType="solid">
        <x:fgColor rgb="FFFFF2CC"/>
      </x:patternFill>
    </x:fill>
  </x:fills>
  <x:borders count="5">
    <x:border>
      <x:left/>
      <x:right/>
      <x:top/>
      <x:bottom/>
      <x:diagonal/>
    </x:border>
    <x:border>
      <x:left/>
      <x:right/>
      <x:top/>
      <x:bottom style="thin">
        <x:color rgb="FFD9D9D9"/>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3"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3"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1" fontId="0" fillId="0" borderId="0" xfId="0" applyNumberFormat="1" applyFont="1" applyFill="1" applyBorder="1"/>
    <x:xf numFmtId="201" fontId="3" fillId="0" borderId="0" xfId="0" applyNumberFormat="1" applyFont="1" applyFill="1" applyBorder="1"/>
    <x:xf numFmtId="201" fontId="3" fillId="0" borderId="0" xfId="0" applyNumberFormat="1" applyFont="1" applyFill="1" applyBorder="1" applyAlignment="1">
      <x:alignment wrapText="1"/>
    </x:xf>
    <x:xf numFmtId="201" fontId="3" fillId="0" borderId="0" xfId="0" applyNumberFormat="1" applyFont="1" applyFill="1" applyBorder="1" applyAlignment="1">
      <x:alignment vertical="center" wrapText="1"/>
    </x:xf>
  </x:cellXfs>
  <x:cellStyles count="1">
    <x:cellStyle name="Normal" xfId="0"/>
  </x:cellStyles>
  <x:dxfs count="2">
    <x:dxf>
      <x:font>
        <x:b/>
        <x:color rgb="FF9C1C1C"/>
      </x:font>
      <x:fill>
        <x:patternFill>
          <x:bgColor rgb="FFFDE9E7"/>
        </x:patternFill>
      </x:fill>
    </x:dxf>
    <x:dxf>
      <x:font>
        <x:color rgb="FF5F43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74432f75634ec0" /><Relationship Type="http://schemas.openxmlformats.org/officeDocument/2006/relationships/theme" Target="/xl/theme/theme1.xml" Id="R55a974bcc00443d8" /><Relationship Type="http://schemas.microsoft.com/office/2022/11/relationships/FeaturePropertyBag" Target="/xl/featurePropertyBag/featurePropertyBag.xml" Id="Rcefe02e066e341f4" /><Relationship Type="http://schemas.openxmlformats.org/officeDocument/2006/relationships/sharedStrings" Target="/xl/sharedStrings.xml" Id="Re000ab0aa0c74052" /><Relationship Type="http://schemas.openxmlformats.org/officeDocument/2006/relationships/worksheet" Target="/xl/worksheets/sheet1.xml" Id="R44b55b326240411d" /><Relationship Type="http://schemas.openxmlformats.org/officeDocument/2006/relationships/worksheet" Target="/xl/worksheets/sheet2.xml" Id="Rd87243c060c54746" /><Relationship Type="http://schemas.openxmlformats.org/officeDocument/2006/relationships/worksheet" Target="/xl/worksheets/sheet3.xml" Id="Rb0d768a5e5b94285" /><Relationship Type="http://schemas.openxmlformats.org/officeDocument/2006/relationships/worksheet" Target="/xl/worksheets/sheet4.xml" Id="R5db389b1fb2e41b8" /><Relationship Type="http://schemas.openxmlformats.org/officeDocument/2006/relationships/worksheet" Target="/xl/worksheets/sheet5.xml" Id="R7645ad8755cd4861" /><Relationship Type="http://schemas.openxmlformats.org/officeDocument/2006/relationships/worksheet" Target="/xl/worksheets/sheet6.xml" Id="R87f7249656da444a" /><Relationship Type="http://schemas.openxmlformats.org/officeDocument/2006/relationships/worksheet" Target="/xl/worksheets/sheet7.xml" Id="Rb4d4274ee5bf432b" /><Relationship Type="http://schemas.openxmlformats.org/officeDocument/2006/relationships/worksheet" Target="/xl/worksheets/sheet8.xml" Id="R8839c780d6b14f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rategicUat01" displayName="StrategicUat01" ref="A7:M51" headerRowCount="1" totalsRowCount="0" totalsRowShown="0">
  <x:autoFilter ref="A7:M51"/>
  <x:tableColumns count="13">
    <x:tableColumn id="1" name="ID"/>
    <x:tableColumn id="2" name="Fase"/>
    <x:tableColumn id="3" name="Proceso"/>
    <x:tableColumn id="4" name="Prerrequisito ADMIN"/>
    <x:tableColumn id="5" name="Transacción USER"/>
    <x:tableColumn id="6" name="Entrada"/>
    <x:tableColumn id="7" name="Salida"/>
    <x:tableColumn id="8" name="Autoridad"/>
    <x:tableColumn id="9" name="Siguiente proceso"/>
    <x:tableColumn id="10" name="Dependencia"/>
    <x:tableColumn id="11" name="R"/>
    <x:tableColumn id="12" name="A"/>
    <x:tableColumn id="13" name="C e I"/>
  </x:tableColumns>
  <x:tableStyleInfo name="TableStyleMedium2" showFirstColumn="0" showLastColumn="0" showRowStripes="1" showColumnStripes="0"/>
</x:table>
</file>

<file path=xl/tables/table2.xml><?xml version="1.0" encoding="utf-8"?>
<x:table xmlns:x="http://schemas.openxmlformats.org/spreadsheetml/2006/main" id="2" name="StrategicUat02" displayName="StrategicUat02" ref="A7:K58" headerRowCount="1" totalsRowCount="0" totalsRowShown="0">
  <x:autoFilter ref="A7:K58"/>
  <x:tableColumns count="11">
    <x:tableColumn id="1" name="UAT ID"/>
    <x:tableColumn id="2" name="Proceso de negocio"/>
    <x:tableColumn id="3" name="Precondiciones"/>
    <x:tableColumn id="4" name="Persona"/>
    <x:tableColumn id="5" name="Datos"/>
    <x:tableColumn id="6" name="Pasos"/>
    <x:tableColumn id="7" name="Resultado esperado"/>
    <x:tableColumn id="8" name="Resultado real"/>
    <x:tableColumn id="9" name="Evidencia y alcance"/>
    <x:tableColumn id="10" name="Estado"/>
    <x:tableColumn id="11" name="Defecto ID"/>
  </x:tableColumns>
  <x:tableStyleInfo name="TableStyleMedium2" showFirstColumn="0" showLastColumn="0" showRowStripes="1" showColumnStripes="0"/>
</x:table>
</file>

<file path=xl/tables/table3.xml><?xml version="1.0" encoding="utf-8"?>
<x:table xmlns:x="http://schemas.openxmlformats.org/spreadsheetml/2006/main" id="3" name="StrategicUat03" displayName="StrategicUat03" ref="A7:J991" headerRowCount="1" totalsRowCount="0" totalsRowShown="0">
  <x:autoFilter ref="A7:J991"/>
  <x:tableColumns count="10">
    <x:tableColumn id="1" name="ID"/>
    <x:tableColumn id="2" name="Tipo"/>
    <x:tableColumn id="3" name="Ruta o endpoint"/>
    <x:tableColumn id="4" name="Modo"/>
    <x:tableColumn id="5" name="Módulo o pantalla"/>
    <x:tableColumn id="6" name="Propósito"/>
    <x:tableColumn id="7" name="Permiso"/>
    <x:tableColumn id="8" name="Estado de uso"/>
    <x:tableColumn id="9" name="Consumidor"/>
    <x:tableColumn id="10" name="Cobertura y cautela"/>
  </x:tableColumns>
  <x:tableStyleInfo name="TableStyleMedium2" showFirstColumn="0" showLastColumn="0" showRowStripes="1" showColumnStripes="0"/>
</x:table>
</file>

<file path=xl/tables/table4.xml><?xml version="1.0" encoding="utf-8"?>
<x:table xmlns:x="http://schemas.openxmlformats.org/spreadsheetml/2006/main" id="4" name="StrategicUat04" displayName="StrategicUat04" ref="A7:L204" headerRowCount="1" totalsRowCount="0" totalsRowShown="0">
  <x:autoFilter ref="A7:L204"/>
  <x:tableColumns count="12">
    <x:tableColumn id="1" name="ID"/>
    <x:tableColumn id="2" name="Modo"/>
    <x:tableColumn id="3" name="Fase"/>
    <x:tableColumn id="4" name="Orden"/>
    <x:tableColumn id="5" name="Ruta"/>
    <x:tableColumn id="6" name="Breadcrumb"/>
    <x:tableColumn id="7" name="Componente"/>
    <x:tableColumn id="8" name="Clasificación"/>
    <x:tableColumn id="9" name="Uso"/>
    <x:tableColumn id="10" name="Duplicidad"/>
    <x:tableColumn id="11" name="Retiro"/>
    <x:tableColumn id="12" name="Dependencias"/>
  </x:tableColumns>
  <x:tableStyleInfo name="TableStyleMedium2" showFirstColumn="0" showLastColumn="0" showRowStripes="1" showColumnStripes="0"/>
</x:table>
</file>

<file path=xl/tables/table5.xml><?xml version="1.0" encoding="utf-8"?>
<x:table xmlns:x="http://schemas.openxmlformats.org/spreadsheetml/2006/main" id="5" name="StrategicUat05" displayName="StrategicUat05" ref="A7:D33" headerRowCount="1" totalsRowCount="0" totalsRowShown="0">
  <x:autoFilter ref="A7:D33"/>
  <x:tableColumns count="4">
    <x:tableColumn id="1" name="Regla ID"/>
    <x:tableColumn id="2" name="Regla de negocio"/>
    <x:tableColumn id="3" name="Implementación o prueba de referencia"/>
    <x:tableColumn id="4" name="Tipo de evidencia"/>
  </x:tableColumns>
  <x:tableStyleInfo name="TableStyleMedium2" showFirstColumn="0" showLastColumn="0" showRowStripes="1" showColumnStripes="0"/>
</x:table>
</file>

<file path=xl/tables/table6.xml><?xml version="1.0" encoding="utf-8"?>
<x:table xmlns:x="http://schemas.openxmlformats.org/spreadsheetml/2006/main" id="6" name="StrategicUat06" displayName="StrategicUat06" ref="A7:I25" headerRowCount="1" totalsRowCount="0" totalsRowShown="0">
  <x:autoFilter ref="A7:I25"/>
  <x:tableColumns count="9">
    <x:tableColumn id="1" name="Defecto ID"/>
    <x:tableColumn id="2" name="Clasificación"/>
    <x:tableColumn id="3" name="Severidad"/>
    <x:tableColumn id="4" name="Título"/>
    <x:tableColumn id="5" name="Resultado o impacto"/>
    <x:tableColumn id="6" name="Estado"/>
    <x:tableColumn id="7" name="Acción o workaround"/>
    <x:tableColumn id="8" name="Responsable"/>
    <x:tableColumn id="9" name="Evidencia"/>
  </x:tableColumns>
  <x:tableStyleInfo name="TableStyleMedium2" showFirstColumn="0" showLastColumn="0" showRowStripes="1" showColumnStripes="0"/>
</x:table>
</file>

<file path=xl/tables/table7.xml><?xml version="1.0" encoding="utf-8"?>
<x:table xmlns:x="http://schemas.openxmlformats.org/spreadsheetml/2006/main" id="7" name="StrategicUat07" displayName="StrategicUat07" ref="A7:H102" headerRowCount="1" totalsRowCount="0" totalsRowShown="0">
  <x:autoFilter ref="A7:H102"/>
  <x:tableColumns count="8">
    <x:tableColumn id="1" name="ID"/>
    <x:tableColumn id="2" name="Área"/>
    <x:tableColumn id="3" name="Candidato"/>
    <x:tableColumn id="4" name="Clasificación"/>
    <x:tableColumn id="5" name="Evidencia"/>
    <x:tableColumn id="6" name="Acción o fundamento"/>
    <x:tableColumn id="7" name="Eliminado"/>
    <x:tableColumn id="8" name="Regresión de retiro"/>
  </x:tableColumns>
  <x:tableStyleInfo name="TableStyleMedium2" showFirstColumn="0" showLastColumn="0" showRowStripes="1" showColumnStripes="0"/>
</x:table>
</file>

<file path=xl/tables/table8.xml><?xml version="1.0" encoding="utf-8"?>
<x:table xmlns:x="http://schemas.openxmlformats.org/spreadsheetml/2006/main" id="8" name="StrategicUat08" displayName="StrategicUat08" ref="A7:J37" headerRowCount="1" totalsRowCount="0" totalsRowShown="0">
  <x:autoFilter ref="A7:J37"/>
  <x:tableColumns count="10">
    <x:tableColumn id="1" name="Criterio ID"/>
    <x:tableColumn id="2" name="Criterio"/>
    <x:tableColumn id="3" name="Tipo"/>
    <x:tableColumn id="4" name="Resultado técnico o condición"/>
    <x:tableColumn id="5" name="Estado o decisión editable"/>
    <x:tableColumn id="6" name="Evidencia técnica"/>
    <x:tableColumn id="7" name="Firmante autorizado"/>
    <x:tableColumn id="8" name="Fecha firma"/>
    <x:tableColumn id="9" name="Evidencia de firma"/>
    <x:tableColumn id="10" name="Estado calcul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85802d718f143c4" /></Relationships>
</file>

<file path=xl/worksheets/_rels/sheet2.xml.rels>&#65279;<?xml version="1.0" encoding="utf-8"?><Relationships xmlns="http://schemas.openxmlformats.org/package/2006/relationships"><Relationship Type="http://schemas.openxmlformats.org/officeDocument/2006/relationships/table" Target="/xl/tables/table2.xml" Id="R66524e89ad7c49f6" /></Relationships>
</file>

<file path=xl/worksheets/_rels/sheet3.xml.rels>&#65279;<?xml version="1.0" encoding="utf-8"?><Relationships xmlns="http://schemas.openxmlformats.org/package/2006/relationships"><Relationship Type="http://schemas.openxmlformats.org/officeDocument/2006/relationships/table" Target="/xl/tables/table3.xml" Id="Rba826e1d91154003" /></Relationships>
</file>

<file path=xl/worksheets/_rels/sheet4.xml.rels>&#65279;<?xml version="1.0" encoding="utf-8"?><Relationships xmlns="http://schemas.openxmlformats.org/package/2006/relationships"><Relationship Type="http://schemas.openxmlformats.org/officeDocument/2006/relationships/table" Target="/xl/tables/table4.xml" Id="Rbfd41c467d06449a" /></Relationships>
</file>

<file path=xl/worksheets/_rels/sheet5.xml.rels>&#65279;<?xml version="1.0" encoding="utf-8"?><Relationships xmlns="http://schemas.openxmlformats.org/package/2006/relationships"><Relationship Type="http://schemas.openxmlformats.org/officeDocument/2006/relationships/table" Target="/xl/tables/table5.xml" Id="R068f9874daa04b9b" /></Relationships>
</file>

<file path=xl/worksheets/_rels/sheet6.xml.rels>&#65279;<?xml version="1.0" encoding="utf-8"?><Relationships xmlns="http://schemas.openxmlformats.org/package/2006/relationships"><Relationship Type="http://schemas.openxmlformats.org/officeDocument/2006/relationships/table" Target="/xl/tables/table6.xml" Id="R75b66aac0fb54a43" /></Relationships>
</file>

<file path=xl/worksheets/_rels/sheet7.xml.rels>&#65279;<?xml version="1.0" encoding="utf-8"?><Relationships xmlns="http://schemas.openxmlformats.org/package/2006/relationships"><Relationship Type="http://schemas.openxmlformats.org/officeDocument/2006/relationships/table" Target="/xl/tables/table7.xml" Id="R02617110fe0840b1" /></Relationships>
</file>

<file path=xl/worksheets/_rels/sheet8.xml.rels>&#65279;<?xml version="1.0" encoding="utf-8"?><Relationships xmlns="http://schemas.openxmlformats.org/package/2006/relationships"><Relationship Type="http://schemas.openxmlformats.org/officeDocument/2006/relationships/table" Target="/xl/tables/table8.xml" Id="R5e239d271d384e8d" /></Relationships>
</file>

<file path=xl/worksheets/sheet1.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25" hidden="0" customWidth="1"/>
    <x:col min="3" max="3" width="38" hidden="0" customWidth="1"/>
    <x:col min="4" max="4" width="43" hidden="0" customWidth="1"/>
    <x:col min="5" max="5" width="34" hidden="0" customWidth="1"/>
    <x:col min="6" max="6" width="34" hidden="0" customWidth="1"/>
    <x:col min="7" max="7" width="34" hidden="0" customWidth="1"/>
    <x:col min="8" max="8" width="27" hidden="0" customWidth="1"/>
    <x:col min="9" max="9" width="23" hidden="0" customWidth="1"/>
    <x:col min="10" max="10" width="27" hidden="0" customWidth="1"/>
    <x:col min="11" max="11" width="27" hidden="0" customWidth="1"/>
    <x:col min="12" max="12" width="27" hidden="0" customWidth="1"/>
    <x:col min="13" max="13" width="42" hidden="0" customWidth="1"/>
  </x:cols>
  <x:sheetData>
    <x:row r="2" ht="26" customHeight="1">
      <x:c r="A2" s="1" t="str">
        <x:v>Procesos y autoridades del macroproceso estratégico</x:v>
      </x:c>
    </x:row>
    <x:row r="3">
      <x:c r="A3" s="2"/>
      <x:c r="B3" s="2"/>
      <x:c r="C3" s="2"/>
      <x:c r="D3" s="2"/>
      <x:c r="E3" s="2"/>
      <x:c r="F3" s="2"/>
      <x:c r="G3" s="2"/>
      <x:c r="H3" s="2"/>
      <x:c r="I3" s="2"/>
      <x:c r="J3" s="2"/>
      <x:c r="K3" s="2"/>
      <x:c r="L3" s="2"/>
      <x:c r="M3" s="2"/>
    </x:row>
    <x:row r="4">
      <x:c r="A4" s="3" t="str">
        <x:v>Corte 14 octubre 2026</x:v>
      </x:c>
      <x:c r="B4" s="3"/>
      <x:c r="C4" s="3"/>
      <x:c r="D4" s="3" t="str">
        <x:v>Fuente del registro</x:v>
      </x:c>
      <x:c r="E4" s="3" t="str">
        <x:v>Registro de 44 procesos y RACI. RACI propuesto sin firma organizacional.</x:v>
      </x:c>
      <x:c r="F4" s="3"/>
      <x:c r="G4" s="3"/>
      <x:c r="H4" s="3"/>
      <x:c r="I4" s="3"/>
      <x:c r="J4" s="3"/>
      <x:c r="K4" s="3"/>
      <x:c r="L4" s="3"/>
      <x:c r="M4" s="3"/>
    </x:row>
    <x:row r="5">
      <x:c r="A5" s="3" t="str">
        <x:v>Registros</x:v>
      </x:c>
      <x:c r="B5" s="3" t="n">
        <x:f>COUNTA(A8:A51)</x:f>
        <x:v>44</x:v>
      </x:c>
      <x:c r="C5" s="3"/>
      <x:c r="D5" s="3"/>
      <x:c r="E5" s="3"/>
      <x:c r="F5" s="3"/>
      <x:c r="G5" s="3"/>
      <x:c r="H5" s="3"/>
      <x:c r="I5" s="3"/>
      <x:c r="J5" s="3"/>
      <x:c r="K5" s="3"/>
      <x:c r="L5" s="3"/>
      <x:c r="M5" s="3"/>
    </x:row>
    <x:row r="7" ht="34" customHeight="1">
      <x:c r="A7" s="10" t="str">
        <x:v>ID</x:v>
      </x:c>
      <x:c r="B7" s="11" t="str">
        <x:v>Fase</x:v>
      </x:c>
      <x:c r="C7" s="11" t="str">
        <x:v>Proceso</x:v>
      </x:c>
      <x:c r="D7" s="11" t="str">
        <x:v>Prerrequisito ADMIN</x:v>
      </x:c>
      <x:c r="E7" s="11" t="str">
        <x:v>Transacción USER</x:v>
      </x:c>
      <x:c r="F7" s="11" t="str">
        <x:v>Entrada</x:v>
      </x:c>
      <x:c r="G7" s="11" t="str">
        <x:v>Salida</x:v>
      </x:c>
      <x:c r="H7" s="11" t="str">
        <x:v>Autoridad</x:v>
      </x:c>
      <x:c r="I7" s="11" t="str">
        <x:v>Siguiente proceso</x:v>
      </x:c>
      <x:c r="J7" s="11" t="str">
        <x:v>Dependencia</x:v>
      </x:c>
      <x:c r="K7" s="11" t="str">
        <x:v>R</x:v>
      </x:c>
      <x:c r="L7" s="11" t="str">
        <x:v>A</x:v>
      </x:c>
      <x:c r="M7" s="12" t="str">
        <x:v>C e I</x:v>
      </x:c>
    </x:row>
    <x:row r="8" ht="53" customHeight="1">
      <x:c r="A8" s="14" t="str">
        <x:v>P01</x:v>
      </x:c>
      <x:c r="B8" s="6" t="str">
        <x:v>Enterprise / Workspace Governance</x:v>
      </x:c>
      <x:c r="C8" s="6" t="str">
        <x:v>Reusable Workspace Types / hierarchy / numbering</x:v>
      </x:c>
      <x:c r="D8" s="6" t="str">
        <x:v>Published type/hierarchy/Record Code/numbering policy</x:v>
      </x:c>
      <x:c r="E8" s="6" t="str">
        <x:v>ADMIN reusable preparation</x:v>
      </x:c>
      <x:c r="F8" s="6" t="str">
        <x:v>Governance configuration</x:v>
      </x:c>
      <x:c r="G8" s="6" t="str">
        <x:v>Published reusable configuration</x:v>
      </x:c>
      <x:c r="H8" s="6" t="str">
        <x:v>Enterprise Administrator</x:v>
      </x:c>
      <x:c r="I8" s="6" t="str">
        <x:v>P02</x:v>
      </x:c>
      <x:c r="J8" s="6" t="str">
        <x:v>MANDATORY PREDECESSOR</x:v>
      </x:c>
      <x:c r="K8" s="6" t="str">
        <x:v>Enterprise Administrator</x:v>
      </x:c>
      <x:c r="L8" s="6" t="str">
        <x:v>Independent configured publisher</x:v>
      </x:c>
      <x:c r="M8" s="6" t="str">
        <x:v>C: Project Sponsor; Project Controls; Relevant domain reviewer. I: Read-only Executive</x:v>
      </x:c>
    </x:row>
    <x:row r="9" ht="53" customHeight="1">
      <x:c r="A9" s="15" t="str">
        <x:v>P02</x:v>
      </x:c>
      <x:c r="B9" s="13" t="str">
        <x:v>Enterprise / Workspace Governance</x:v>
      </x:c>
      <x:c r="C9" s="13" t="str">
        <x:v>Live Enterprise / Business Unit / Portfolio instances</x:v>
      </x:c>
      <x:c r="D9" s="13" t="str">
        <x:v>P01 published taxonomy and parent rules</x:v>
      </x:c>
      <x:c r="E9" s="13" t="str">
        <x:v>Enterprise structure and Workspace context</x:v>
      </x:c>
      <x:c r="F9" s="13" t="str">
        <x:v>Instance fields</x:v>
      </x:c>
      <x:c r="G9" s="13" t="str">
        <x:v>Canonical Workspace hierarchy</x:v>
      </x:c>
      <x:c r="H9" s="13" t="str">
        <x:v>Enterprise Administrator</x:v>
      </x:c>
      <x:c r="I9" s="13" t="str">
        <x:v>P03</x:v>
      </x:c>
      <x:c r="J9" s="13" t="str">
        <x:v>MANDATORY PREDECESSOR</x:v>
      </x:c>
      <x:c r="K9" s="13" t="str">
        <x:v>Enterprise Administrator</x:v>
      </x:c>
      <x:c r="L9" s="13" t="str">
        <x:v>Enterprise Administrator</x:v>
      </x:c>
      <x:c r="M9" s="13" t="str">
        <x:v>C: Project Sponsor; Project Controls; Relevant domain reviewer. I: Read-only Executive</x:v>
      </x:c>
    </x:row>
    <x:row r="10" ht="53" customHeight="1">
      <x:c r="A10" s="14" t="str">
        <x:v>P03</x:v>
      </x:c>
      <x:c r="B10" s="6" t="str">
        <x:v>Enterprise / Workspace Governance</x:v>
      </x:c>
      <x:c r="C10" s="6" t="str">
        <x:v>Enterprise Explorer and Workspace Context</x:v>
      </x:c>
      <x:c r="D10" s="6" t="str">
        <x:v>Authorized live Workspace</x:v>
      </x:c>
      <x:c r="E10" s="6" t="str">
        <x:v>Enterprise structure and Workspace context</x:v>
      </x:c>
      <x:c r="F10" s="6" t="str">
        <x:v>Scoped identity</x:v>
      </x:c>
      <x:c r="G10" s="6" t="str">
        <x:v>Read-only shared context</x:v>
      </x:c>
      <x:c r="H10" s="6" t="str">
        <x:v>Read-only Executive</x:v>
      </x:c>
      <x:c r="I10" s="6" t="str">
        <x:v>P04</x:v>
      </x:c>
      <x:c r="J10" s="6" t="str">
        <x:v>PARALLEL-CAPABLE</x:v>
      </x:c>
      <x:c r="K10" s="6" t="str">
        <x:v>Read-only Executive</x:v>
      </x:c>
      <x:c r="L10" s="6" t="str">
        <x:v>Read-only Executive</x:v>
      </x:c>
      <x:c r="M10" s="6" t="str">
        <x:v>C: Project Sponsor; Project Controls; Relevant domain reviewer. I: Read-only Executive</x:v>
      </x:c>
    </x:row>
    <x:row r="11" ht="53" customHeight="1">
      <x:c r="A11" s="15" t="str">
        <x:v>P04</x:v>
      </x:c>
      <x:c r="B11" s="13" t="str">
        <x:v>Strategic Capital Planning</x:v>
      </x:c>
      <x:c r="C11" s="13" t="str">
        <x:v>Capital Planning Cycle</x:v>
      </x:c>
      <x:c r="D11" s="13" t="str">
        <x:v>Capital Planning policy and published theme catalog</x:v>
      </x:c>
      <x:c r="E11" s="13" t="str">
        <x:v>Strategic capital demand, cycles, buckets and allocation</x:v>
      </x:c>
      <x:c r="F11" s="13" t="str">
        <x:v>Horizon/scope/currency</x:v>
      </x:c>
      <x:c r="G11" s="13" t="str">
        <x:v>OPEN cycle</x:v>
      </x:c>
      <x:c r="H11" s="13" t="str">
        <x:v>Capital Planning Administrator</x:v>
      </x:c>
      <x:c r="I11" s="13" t="str">
        <x:v>P05</x:v>
      </x:c>
      <x:c r="J11" s="13" t="str">
        <x:v>MANDATORY PREDECESSOR</x:v>
      </x:c>
      <x:c r="K11" s="13" t="str">
        <x:v>Capital Planning Administrator</x:v>
      </x:c>
      <x:c r="L11" s="13" t="str">
        <x:v>Capital Planning Administrator</x:v>
      </x:c>
      <x:c r="M11" s="13" t="str">
        <x:v>C: Project Sponsor; Project Controls; Relevant domain reviewer. I: Read-only Executive</x:v>
      </x:c>
    </x:row>
    <x:row r="12" ht="53" customHeight="1">
      <x:c r="A12" s="14" t="str">
        <x:v>P05</x:v>
      </x:c>
      <x:c r="B12" s="6" t="str">
        <x:v>Strategic Capital Planning</x:v>
      </x:c>
      <x:c r="C12" s="6" t="str">
        <x:v>Strategic Capital Demand</x:v>
      </x:c>
      <x:c r="D12" s="6" t="str">
        <x:v>OPEN cycle and effective demand policy</x:v>
      </x:c>
      <x:c r="E12" s="6" t="str">
        <x:v>Strategic capital demand, cycles, buckets and allocation</x:v>
      </x:c>
      <x:c r="F12" s="6" t="str">
        <x:v>Need/sponsor/themes/objectives/value range</x:v>
      </x:c>
      <x:c r="G12" s="6" t="str">
        <x:v>ENDORSED demand / optional Idea origin</x:v>
      </x:c>
      <x:c r="H12" s="6" t="str">
        <x:v>Project Sponsor</x:v>
      </x:c>
      <x:c r="I12" s="6" t="str">
        <x:v>P08</x:v>
      </x:c>
      <x:c r="J12" s="6" t="str">
        <x:v>OPTIONAL</x:v>
      </x:c>
      <x:c r="K12" s="6" t="str">
        <x:v>Project Sponsor</x:v>
      </x:c>
      <x:c r="L12" s="6" t="str">
        <x:v>Project Sponsor</x:v>
      </x:c>
      <x:c r="M12" s="6" t="str">
        <x:v>C: Project Sponsor; Project Controls; Relevant domain reviewer. I: Read-only Executive</x:v>
      </x:c>
    </x:row>
    <x:row r="13" ht="53" customHeight="1">
      <x:c r="A13" s="15" t="str">
        <x:v>P06</x:v>
      </x:c>
      <x:c r="B13" s="13" t="str">
        <x:v>Strategic Capital Planning</x:v>
      </x:c>
      <x:c r="C13" s="13" t="str">
        <x:v>Capital Buckets and Allocation Targets</x:v>
      </x:c>
      <x:c r="D13" s="13" t="str">
        <x:v>ADMIN bucket taxonomy; USER allocation plan policy</x:v>
      </x:c>
      <x:c r="E13" s="13" t="str">
        <x:v>Strategic capital demand, cycles, buckets and allocation</x:v>
      </x:c>
      <x:c r="F13" s="13" t="str">
        <x:v>Cycle/buckets/targets</x:v>
      </x:c>
      <x:c r="G13" s="13" t="str">
        <x:v>Governed Target position</x:v>
      </x:c>
      <x:c r="H13" s="13" t="str">
        <x:v>Portfolio Manager</x:v>
      </x:c>
      <x:c r="I13" s="13" t="str">
        <x:v>P07</x:v>
      </x:c>
      <x:c r="J13" s="13" t="str">
        <x:v>MANDATORY PREDECESSOR</x:v>
      </x:c>
      <x:c r="K13" s="13" t="str">
        <x:v>Portfolio Manager</x:v>
      </x:c>
      <x:c r="L13" s="13" t="str">
        <x:v>Portfolio Manager</x:v>
      </x:c>
      <x:c r="M13" s="13" t="str">
        <x:v>C: Project Sponsor; Project Controls; Relevant domain reviewer. I: Read-only Executive</x:v>
      </x:c>
    </x:row>
    <x:row r="14" ht="53" customHeight="1">
      <x:c r="A14" s="14" t="str">
        <x:v>P07</x:v>
      </x:c>
      <x:c r="B14" s="6" t="str">
        <x:v>Strategic Capital Planning</x:v>
      </x:c>
      <x:c r="C14" s="6" t="str">
        <x:v>Target / Current / Recommended / Approved positions</x:v>
      </x:c>
      <x:c r="D14" s="6" t="str">
        <x:v>Actual membership, recommendation and formal decision authority</x:v>
      </x:c>
      <x:c r="E14" s="6" t="str">
        <x:v>Strategic capital demand, cycles, buckets and allocation</x:v>
      </x:c>
      <x:c r="F14" s="6" t="str">
        <x:v>Frozen/current governed sources</x:v>
      </x:c>
      <x:c r="G14" s="6" t="str">
        <x:v>Comparable positions without auto-approval</x:v>
      </x:c>
      <x:c r="H14" s="6" t="str">
        <x:v>Portfolio Manager</x:v>
      </x:c>
      <x:c r="I14" s="6" t="str">
        <x:v>P21</x:v>
      </x:c>
      <x:c r="J14" s="6" t="str">
        <x:v>PARALLEL-CAPABLE</x:v>
      </x:c>
      <x:c r="K14" s="6" t="str">
        <x:v>Portfolio Manager</x:v>
      </x:c>
      <x:c r="L14" s="6" t="str">
        <x:v>Portfolio Manager</x:v>
      </x:c>
      <x:c r="M14" s="6" t="str">
        <x:v>C: Project Sponsor; Project Controls; Relevant domain reviewer. I: Read-only Executive</x:v>
      </x:c>
    </x:row>
    <x:row r="15" ht="53" customHeight="1">
      <x:c r="A15" s="15" t="str">
        <x:v>P08</x:v>
      </x:c>
      <x:c r="B15" s="13" t="str">
        <x:v>Investment Origination</x:v>
      </x:c>
      <x:c r="C15" s="13" t="str">
        <x:v>Idea origination and intake</x:v>
      </x:c>
      <x:c r="D15" s="13" t="str">
        <x:v>Published Idea policy; eligible enterprise/business-unit/portfolio</x:v>
      </x:c>
      <x:c r="E15" s="13" t="str">
        <x:v>Idea, evaluation and governed Business Analysis</x:v>
      </x:c>
      <x:c r="F15" s="13" t="str">
        <x:v>Need/objectives/scope</x:v>
      </x:c>
      <x:c r="G15" s="13" t="str">
        <x:v>Submitted/screened owned Idea</x:v>
      </x:c>
      <x:c r="H15" s="13" t="str">
        <x:v>Investment Originator</x:v>
      </x:c>
      <x:c r="I15" s="13" t="str">
        <x:v>P09</x:v>
      </x:c>
      <x:c r="J15" s="13" t="str">
        <x:v>MANDATORY PREDECESSOR</x:v>
      </x:c>
      <x:c r="K15" s="13" t="str">
        <x:v>Investment Originator</x:v>
      </x:c>
      <x:c r="L15" s="13" t="str">
        <x:v>Independent Business Analysis Reviewer where BA required</x:v>
      </x:c>
      <x:c r="M15" s="13" t="str">
        <x:v>C: Project Sponsor; Project Controls; Relevant domain reviewer. I: Read-only Executive</x:v>
      </x:c>
    </x:row>
    <x:row r="16" ht="53" customHeight="1">
      <x:c r="A16" s="14" t="str">
        <x:v>P09</x:v>
      </x:c>
      <x:c r="B16" s="6" t="str">
        <x:v>Investment Origination</x:v>
      </x:c>
      <x:c r="C16" s="6" t="str">
        <x:v>Idea Evaluation and acceptance</x:v>
      </x:c>
      <x:c r="D16" s="6" t="str">
        <x:v>Published evaluation matrix and assigned owner</x:v>
      </x:c>
      <x:c r="E16" s="6" t="str">
        <x:v>Idea, evaluation and governed Business Analysis</x:v>
      </x:c>
      <x:c r="F16" s="6" t="str">
        <x:v>Ratings/evidence</x:v>
      </x:c>
      <x:c r="G16" s="6" t="str">
        <x:v>Immutable evaluation and ACCEPTED Idea</x:v>
      </x:c>
      <x:c r="H16" s="6" t="str">
        <x:v>Project Sponsor</x:v>
      </x:c>
      <x:c r="I16" s="6" t="str">
        <x:v>P10</x:v>
      </x:c>
      <x:c r="J16" s="6" t="str">
        <x:v>CONDITIONAL</x:v>
      </x:c>
      <x:c r="K16" s="6" t="str">
        <x:v>Project Sponsor</x:v>
      </x:c>
      <x:c r="L16" s="6" t="str">
        <x:v>Independent Business Analysis Reviewer where BA required</x:v>
      </x:c>
      <x:c r="M16" s="6" t="str">
        <x:v>C: Project Sponsor; Project Controls; Relevant domain reviewer. I: Read-only Executive</x:v>
      </x:c>
    </x:row>
    <x:row r="17" ht="53" customHeight="1">
      <x:c r="A17" s="15" t="str">
        <x:v>P10</x:v>
      </x:c>
      <x:c r="B17" s="13" t="str">
        <x:v>Investment Origination</x:v>
      </x:c>
      <x:c r="C17" s="13" t="str">
        <x:v>Business Analysis and alternatives</x:v>
      </x:c>
      <x:c r="D17" s="13" t="str">
        <x:v>Required by effective/snapshotted Idea governance policy</x:v>
      </x:c>
      <x:c r="E17" s="13" t="str">
        <x:v>Idea, evaluation and governed Business Analysis</x:v>
      </x:c>
      <x:c r="F17" s="13" t="str">
        <x:v>Accepted Idea/actual alternatives</x:v>
      </x:c>
      <x:c r="G17" s="13" t="str">
        <x:v>Independently COMPLETED BA / READY_FOR_PROJECT_PROPOSAL</x:v>
      </x:c>
      <x:c r="H17" s="13" t="str">
        <x:v>Investment / Project Manager</x:v>
      </x:c>
      <x:c r="I17" s="13" t="str">
        <x:v>P11</x:v>
      </x:c>
      <x:c r="J17" s="13" t="str">
        <x:v>CONDITIONAL</x:v>
      </x:c>
      <x:c r="K17" s="13" t="str">
        <x:v>Investment / Project Manager</x:v>
      </x:c>
      <x:c r="L17" s="13" t="str">
        <x:v>Independent Business Analysis Reviewer where BA required</x:v>
      </x:c>
      <x:c r="M17" s="13" t="str">
        <x:v>C: Project Sponsor; Project Controls; Relevant domain reviewer. I: Read-only Executive</x:v>
      </x:c>
    </x:row>
    <x:row r="18" ht="53" customHeight="1">
      <x:c r="A18" s="14" t="str">
        <x:v>P11</x:v>
      </x:c>
      <x:c r="B18" s="6" t="str">
        <x:v>Investment Origination</x:v>
      </x:c>
      <x:c r="C18" s="6" t="str">
        <x:v>Project Proposal</x:v>
      </x:c>
      <x:c r="D18" s="6" t="str">
        <x:v>Accepted eligible Idea and required current BA</x:v>
      </x:c>
      <x:c r="E18" s="6" t="str">
        <x:v>Project Proposal</x:v>
      </x:c>
      <x:c r="F18" s="6" t="str">
        <x:v>Scope/benefits/ROM/risks</x:v>
      </x:c>
      <x:c r="G18" s="6" t="str">
        <x:v>READY_FOR_STRATEGIC_GATE stored; readiness READY_FOR_STRATEGIC_GATE_DECISION</x:v>
      </x:c>
      <x:c r="H18" s="6" t="str">
        <x:v>Project Sponsor</x:v>
      </x:c>
      <x:c r="I18" s="6" t="str">
        <x:v>P12</x:v>
      </x:c>
      <x:c r="J18" s="6" t="str">
        <x:v>MANDATORY PREDECESSOR</x:v>
      </x:c>
      <x:c r="K18" s="6" t="str">
        <x:v>Project Sponsor</x:v>
      </x:c>
      <x:c r="L18" s="6" t="str">
        <x:v>Configured Proposal reviewer / owner authority</x:v>
      </x:c>
      <x:c r="M18" s="6" t="str">
        <x:v>C: Project Sponsor; Project Controls; Relevant domain reviewer. I: Read-only Executive</x:v>
      </x:c>
    </x:row>
    <x:row r="19" ht="53" customHeight="1">
      <x:c r="A19" s="15" t="str">
        <x:v>P12</x:v>
      </x:c>
      <x:c r="B19" s="13" t="str">
        <x:v>Investment Origination</x:v>
      </x:c>
      <x:c r="C19" s="13" t="str">
        <x:v>Strategic Gate Decision</x:v>
      </x:c>
      <x:c r="D19" s="13" t="str">
        <x:v>Proposal ready and authority/committee configuration</x:v>
      </x:c>
      <x:c r="E19" s="13" t="str">
        <x:v>Strategic Gate</x:v>
      </x:c>
      <x:c r="F19" s="13" t="str">
        <x:v>Reviewed proposal snapshot</x:v>
      </x:c>
      <x:c r="G19" s="13" t="str">
        <x:v>APPROVE→READY_FOR_PORTFOLIO_INTAKE</x:v>
      </x:c>
      <x:c r="H19" s="13" t="str">
        <x:v>Investment Committee / Decision Maker</x:v>
      </x:c>
      <x:c r="I19" s="13" t="str">
        <x:v>P13</x:v>
      </x:c>
      <x:c r="J19" s="13" t="str">
        <x:v>MANDATORY PREDECESSOR</x:v>
      </x:c>
      <x:c r="K19" s="13" t="str">
        <x:v>Investment Committee / Decision Maker</x:v>
      </x:c>
      <x:c r="L19" s="13" t="str">
        <x:v>Strategic Gate Decision Maker</x:v>
      </x:c>
      <x:c r="M19" s="13" t="str">
        <x:v>C: Project Sponsor; Project Controls; Relevant domain reviewer. I: Read-only Executive</x:v>
      </x:c>
    </x:row>
    <x:row r="20" ht="53" customHeight="1">
      <x:c r="A20" s="14" t="str">
        <x:v>P13</x:v>
      </x:c>
      <x:c r="B20" s="6" t="str">
        <x:v>Enterprise / Workspace Governance</x:v>
      </x:c>
      <x:c r="C20" s="6" t="str">
        <x:v>Strategic Project Planning Entry</x:v>
      </x:c>
      <x:c r="D20" s="6" t="str">
        <x:v>APPROVE current decision/readiness hashes, template and parent</x:v>
      </x:c>
      <x:c r="E20" s="6" t="str">
        <x:v>Project Workspace creation and initialization timing</x:v>
      </x:c>
      <x:c r="F20" s="6" t="str">
        <x:v>Strategic decision / template / manager</x:v>
      </x:c>
      <x:c r="G20" s="6" t="str">
        <x:v>Shared ProjectCreationRequest CAPITAL_OWNER</x:v>
      </x:c>
      <x:c r="H20" s="6" t="str">
        <x:v>Investment / Project Manager</x:v>
      </x:c>
      <x:c r="I20" s="6" t="str">
        <x:v>P14</x:v>
      </x:c>
      <x:c r="J20" s="6" t="str">
        <x:v>MANDATORY PREDECESSOR</x:v>
      </x:c>
      <x:c r="K20" s="6" t="str">
        <x:v>Investment / Project Manager</x:v>
      </x:c>
      <x:c r="L20" s="6" t="str">
        <x:v>Independent Project Approver / Activator as applicable</x:v>
      </x:c>
      <x:c r="M20" s="6" t="str">
        <x:v>C: Project Sponsor; Project Controls; Relevant domain reviewer. I: Read-only Executive</x:v>
      </x:c>
    </x:row>
    <x:row r="21" ht="53" customHeight="1">
      <x:c r="A21" s="15" t="str">
        <x:v>P14</x:v>
      </x:c>
      <x:c r="B21" s="13" t="str">
        <x:v>Enterprise / Workspace Governance</x:v>
      </x:c>
      <x:c r="C21" s="13" t="str">
        <x:v>Governed request approval and materialization</x:v>
      </x:c>
      <x:c r="D21" s="13" t="str">
        <x:v>Published source policy; independent approval</x:v>
      </x:c>
      <x:c r="E21" s="13" t="str">
        <x:v>Project Workspace creation and initialization timing</x:v>
      </x:c>
      <x:c r="F21" s="13" t="str">
        <x:v>Approved creation request</x:v>
      </x:c>
      <x:c r="G21" s="13" t="str">
        <x:v>One canonical pending Project identity</x:v>
      </x:c>
      <x:c r="H21" s="13" t="str">
        <x:v>Investment / Project Manager</x:v>
      </x:c>
      <x:c r="I21" s="13" t="str">
        <x:v>P16</x:v>
      </x:c>
      <x:c r="J21" s="13" t="str">
        <x:v>MANDATORY PREDECESSOR</x:v>
      </x:c>
      <x:c r="K21" s="13" t="str">
        <x:v>Investment / Project Manager</x:v>
      </x:c>
      <x:c r="L21" s="13" t="str">
        <x:v>Independent Project Approver / Activator as applicable</x:v>
      </x:c>
      <x:c r="M21" s="13" t="str">
        <x:v>C: Project Sponsor; Project Controls; Relevant domain reviewer. I: Read-only Executive</x:v>
      </x:c>
    </x:row>
    <x:row r="22" ht="53" customHeight="1">
      <x:c r="A22" s="14" t="str">
        <x:v>P15</x:v>
      </x:c>
      <x:c r="B22" s="6" t="str">
        <x:v>Enterprise / Workspace Governance</x:v>
      </x:c>
      <x:c r="C22" s="6" t="str">
        <x:v>Project Workspace Initialization</x:v>
      </x:c>
      <x:c r="D22" s="6" t="str">
        <x:v>Materialized Project; exact template/manager/modules/source context</x:v>
      </x:c>
      <x:c r="E22" s="6" t="str">
        <x:v>Project Workspace creation and initialization timing</x:v>
      </x:c>
      <x:c r="F22" s="6" t="str">
        <x:v>Pending identity and checklist</x:v>
      </x:c>
      <x:c r="G22" s="6" t="str">
        <x:v>Initialized state and eligibility; capital activation authorization may block</x:v>
      </x:c>
      <x:c r="H22" s="6" t="str">
        <x:v>Project Workspace Initializer</x:v>
      </x:c>
      <x:c r="I22" s="6" t="str">
        <x:v>P42</x:v>
      </x:c>
      <x:c r="J22" s="6" t="str">
        <x:v>CONDITIONAL</x:v>
      </x:c>
      <x:c r="K22" s="6" t="str">
        <x:v>Project Workspace Initializer</x:v>
      </x:c>
      <x:c r="L22" s="6" t="str">
        <x:v>Independent Project Approver / Activator as applicable</x:v>
      </x:c>
      <x:c r="M22" s="6" t="str">
        <x:v>C: Project Sponsor; Project Controls; Relevant domain reviewer. I: Read-only Executive</x:v>
      </x:c>
    </x:row>
    <x:row r="23" ht="53" customHeight="1">
      <x:c r="A23" s="15" t="str">
        <x:v>P16</x:v>
      </x:c>
      <x:c r="B23" s="13" t="str">
        <x:v>Portfolio Planning &amp; Review</x:v>
      </x:c>
      <x:c r="C23" s="13" t="str">
        <x:v>Portfolio Intake and Membership</x:v>
      </x:c>
      <x:c r="D23" s="13" t="str">
        <x:v>Materialized capital planning entry</x:v>
      </x:c>
      <x:c r="E23" s="13" t="str">
        <x:v>Portfolio Intake and membership</x:v>
      </x:c>
      <x:c r="F23" s="13" t="str">
        <x:v>Project and target portfolio</x:v>
      </x:c>
      <x:c r="G23" s="13" t="str">
        <x:v>ACTIVE contextual membership</x:v>
      </x:c>
      <x:c r="H23" s="13" t="str">
        <x:v>Portfolio Manager</x:v>
      </x:c>
      <x:c r="I23" s="13" t="str">
        <x:v>P17</x:v>
      </x:c>
      <x:c r="J23" s="13" t="str">
        <x:v>MANDATORY PREDECESSOR</x:v>
      </x:c>
      <x:c r="K23" s="13" t="str">
        <x:v>Portfolio Manager</x:v>
      </x:c>
      <x:c r="L23" s="13" t="str">
        <x:v>Portfolio Manager</x:v>
      </x:c>
      <x:c r="M23" s="13" t="str">
        <x:v>C: Project Sponsor; Project Controls; Relevant domain reviewer. I: Read-only Executive</x:v>
      </x:c>
    </x:row>
    <x:row r="24" ht="53" customHeight="1">
      <x:c r="A24" s="14" t="str">
        <x:v>P17</x:v>
      </x:c>
      <x:c r="B24" s="6" t="str">
        <x:v>Portfolio Planning &amp; Review</x:v>
      </x:c>
      <x:c r="C24" s="6" t="str">
        <x:v>Evaluation and Prioritization</x:v>
      </x:c>
      <x:c r="D24" s="6" t="str">
        <x:v>ACTIVE eligible membership; effective criteria</x:v>
      </x:c>
      <x:c r="E24" s="6" t="str">
        <x:v>Evaluation and Prioritization</x:v>
      </x:c>
      <x:c r="F24" s="6" t="str">
        <x:v>Contextual ratings</x:v>
      </x:c>
      <x:c r="G24" s="6" t="str">
        <x:v>Immutable evaluation and Portfolio Rank</x:v>
      </x:c>
      <x:c r="H24" s="6" t="str">
        <x:v>Portfolio Manager</x:v>
      </x:c>
      <x:c r="I24" s="6" t="str">
        <x:v>P18</x:v>
      </x:c>
      <x:c r="J24" s="6" t="str">
        <x:v>MANDATORY PREDECESSOR</x:v>
      </x:c>
      <x:c r="K24" s="6" t="str">
        <x:v>Portfolio Manager</x:v>
      </x:c>
      <x:c r="L24" s="6" t="str">
        <x:v>Portfolio Evaluator</x:v>
      </x:c>
      <x:c r="M24" s="6" t="str">
        <x:v>C: Project Sponsor; Project Controls; Relevant domain reviewer. I: Read-only Executive</x:v>
      </x:c>
    </x:row>
    <x:row r="25" ht="53" customHeight="1">
      <x:c r="A25" s="15" t="str">
        <x:v>P18</x:v>
      </x:c>
      <x:c r="B25" s="13" t="str">
        <x:v>Portfolio Planning &amp; Review</x:v>
      </x:c>
      <x:c r="C25" s="13" t="str">
        <x:v>Portfolio Analysis / Investor Map / Scorecard</x:v>
      </x:c>
      <x:c r="D25" s="13" t="str">
        <x:v>Current evaluation/rank and analysis configuration</x:v>
      </x:c>
      <x:c r="E25" s="13" t="str">
        <x:v>Portfolio Analysis / Investor Map / Scorecard</x:v>
      </x:c>
      <x:c r="F25" s="13" t="str">
        <x:v>Analysis source dataset</x:v>
      </x:c>
      <x:c r="G25" s="13" t="str">
        <x:v>Branch readiness / map / scorecard</x:v>
      </x:c>
      <x:c r="H25" s="13" t="str">
        <x:v>Portfolio Manager</x:v>
      </x:c>
      <x:c r="I25" s="13" t="str">
        <x:v>P19/P20</x:v>
      </x:c>
      <x:c r="J25" s="13" t="str">
        <x:v>PARALLEL-CAPABLE</x:v>
      </x:c>
      <x:c r="K25" s="13" t="str">
        <x:v>Portfolio Manager</x:v>
      </x:c>
      <x:c r="L25" s="13" t="str">
        <x:v>Portfolio Manager</x:v>
      </x:c>
      <x:c r="M25" s="13" t="str">
        <x:v>C: Project Sponsor; Project Controls; Relevant domain reviewer. I: Read-only Executive</x:v>
      </x:c>
    </x:row>
    <x:row r="26" ht="53" customHeight="1">
      <x:c r="A26" s="14" t="str">
        <x:v>P19</x:v>
      </x:c>
      <x:c r="B26" s="6" t="str">
        <x:v>Portfolio Planning &amp; Review</x:v>
      </x:c>
      <x:c r="C26" s="6" t="str">
        <x:v>Budget Target and Budget Scenarios / Waterline</x:v>
      </x:c>
      <x:c r="D26" s="6" t="str">
        <x:v>Current analysis/currency compatible target policy</x:v>
      </x:c>
      <x:c r="E26" s="6" t="str">
        <x:v>Budget Planning and scenarios</x:v>
      </x:c>
      <x:c r="F26" s="6" t="str">
        <x:v>Published target/selection/time phasing</x:v>
      </x:c>
      <x:c r="G26" s="6" t="str">
        <x:v>FROZEN analytical Budget Scenario</x:v>
      </x:c>
      <x:c r="H26" s="6" t="str">
        <x:v>Cost / Finance Reviewer</x:v>
      </x:c>
      <x:c r="I26" s="6" t="str">
        <x:v>P21</x:v>
      </x:c>
      <x:c r="J26" s="6" t="str">
        <x:v>PARALLEL-CAPABLE</x:v>
      </x:c>
      <x:c r="K26" s="6" t="str">
        <x:v>Cost / Finance Reviewer</x:v>
      </x:c>
      <x:c r="L26" s="6" t="str">
        <x:v>Cost / Finance Reviewer</x:v>
      </x:c>
      <x:c r="M26" s="6" t="str">
        <x:v>C: Project Sponsor; Project Controls; Relevant domain reviewer. I: Read-only Executive</x:v>
      </x:c>
    </x:row>
    <x:row r="27" ht="53" customHeight="1">
      <x:c r="A27" s="15" t="str">
        <x:v>P20</x:v>
      </x:c>
      <x:c r="B27" s="13" t="str">
        <x:v>Portfolio Planning &amp; Review</x:v>
      </x:c>
      <x:c r="C27" s="13" t="str">
        <x:v>Capacity / Demand and Resource Scenarios</x:v>
      </x:c>
      <x:c r="D27" s="13" t="str">
        <x:v>Current analysis and real published role-period capacity/demand</x:v>
      </x:c>
      <x:c r="E27" s="13" t="str">
        <x:v>Resource Planning and scenarios</x:v>
      </x:c>
      <x:c r="F27" s="13" t="str">
        <x:v>Strategic capacity/demand</x:v>
      </x:c>
      <x:c r="G27" s="13" t="str">
        <x:v>FROZEN Resource Scenario / overloads</x:v>
      </x:c>
      <x:c r="H27" s="13" t="str">
        <x:v>Project Controls</x:v>
      </x:c>
      <x:c r="I27" s="13" t="str">
        <x:v>P21</x:v>
      </x:c>
      <x:c r="J27" s="13" t="str">
        <x:v>PARALLEL-CAPABLE</x:v>
      </x:c>
      <x:c r="K27" s="13" t="str">
        <x:v>Project Controls</x:v>
      </x:c>
      <x:c r="L27" s="13" t="str">
        <x:v>Project Controls</x:v>
      </x:c>
      <x:c r="M27" s="13" t="str">
        <x:v>C: Project Sponsor; Project Controls; Relevant domain reviewer. I: Read-only Executive</x:v>
      </x:c>
    </x:row>
    <x:row r="28" ht="53" customHeight="1">
      <x:c r="A28" s="14" t="str">
        <x:v>P21</x:v>
      </x:c>
      <x:c r="B28" s="6" t="str">
        <x:v>Portfolio Planning &amp; Review</x:v>
      </x:c>
      <x:c r="C28" s="6" t="str">
        <x:v>Scenario Convergence and Recommendation</x:v>
      </x:c>
      <x:c r="D28" s="6" t="str">
        <x:v>Required frozen branches under effective configuration</x:v>
      </x:c>
      <x:c r="E28" s="6" t="str">
        <x:v>Scenario Convergence and Recommendation</x:v>
      </x:c>
      <x:c r="F28" s="6" t="str">
        <x:v>Compatible branch scenarios</x:v>
      </x:c>
      <x:c r="G28" s="6" t="str">
        <x:v>Governed recommendation, not FID</x:v>
      </x:c>
      <x:c r="H28" s="6" t="str">
        <x:v>Portfolio Manager</x:v>
      </x:c>
      <x:c r="I28" s="6" t="str">
        <x:v>P22/P23/P36</x:v>
      </x:c>
      <x:c r="J28" s="6" t="str">
        <x:v>CONDITIONAL</x:v>
      </x:c>
      <x:c r="K28" s="6" t="str">
        <x:v>Portfolio Manager</x:v>
      </x:c>
      <x:c r="L28" s="6" t="str">
        <x:v>Portfolio Manager</x:v>
      </x:c>
      <x:c r="M28" s="6" t="str">
        <x:v>C: Project Sponsor; Project Controls; Relevant domain reviewer. I: Read-only Executive</x:v>
      </x:c>
    </x:row>
    <x:row r="29" ht="53" customHeight="1">
      <x:c r="A29" s="15" t="str">
        <x:v>P22</x:v>
      </x:c>
      <x:c r="B29" s="13" t="str">
        <x:v>Portfolio Planning &amp; Review</x:v>
      </x:c>
      <x:c r="C29" s="13" t="str">
        <x:v>Periodic Portfolio Review and Governance Actions</x:v>
      </x:c>
      <x:c r="D29" s="13" t="str">
        <x:v>Effective review configuration and required actual sources</x:v>
      </x:c>
      <x:c r="E29" s="13" t="str">
        <x:v>Periodic Portfolio Review / actions</x:v>
      </x:c>
      <x:c r="F29" s="13" t="str">
        <x:v>Snapshot / matrix / conclusions</x:v>
      </x:c>
      <x:c r="G29" s="13" t="str">
        <x:v>Immutable completed review and request-only actions</x:v>
      </x:c>
      <x:c r="H29" s="13" t="str">
        <x:v>Portfolio Manager</x:v>
      </x:c>
      <x:c r="I29" s="13" t="str">
        <x:v>P23/P36</x:v>
      </x:c>
      <x:c r="J29" s="13" t="str">
        <x:v>RECOMMENDED PREDECESSOR</x:v>
      </x:c>
      <x:c r="K29" s="13" t="str">
        <x:v>Portfolio Manager</x:v>
      </x:c>
      <x:c r="L29" s="13" t="str">
        <x:v>Independent Portfolio Review approver</x:v>
      </x:c>
      <x:c r="M29" s="13" t="str">
        <x:v>C: Project Sponsor; Project Controls; Relevant domain reviewer. I: Read-only Executive</x:v>
      </x:c>
    </x:row>
    <x:row r="30" ht="53" customHeight="1">
      <x:c r="A30" s="14" t="str">
        <x:v>P23</x:v>
      </x:c>
      <x:c r="B30" s="6" t="str">
        <x:v>Business Case &amp; Investment Development</x:v>
      </x:c>
      <x:c r="C30" s="6" t="str">
        <x:v>Five Case Business Case</x:v>
      </x:c>
      <x:c r="D30" s="6" t="str">
        <x:v>Capital Project, proposal/BA and applicable actual sources</x:v>
      </x:c>
      <x:c r="E30" s="6" t="str">
        <x:v>Five Case Business Case</x:v>
      </x:c>
      <x:c r="F30" s="6" t="str">
        <x:v>Strategic/Economic/Commercial/Financial/Management</x:v>
      </x:c>
      <x:c r="G30" s="6" t="str">
        <x:v>Current completed BC revision and governed source/hash bundle</x:v>
      </x:c>
      <x:c r="H30" s="6" t="str">
        <x:v>Investment / Project Manager</x:v>
      </x:c>
      <x:c r="I30" s="6" t="str">
        <x:v>P37</x:v>
      </x:c>
      <x:c r="J30" s="6" t="str">
        <x:v>CONDITIONAL</x:v>
      </x:c>
      <x:c r="K30" s="6" t="str">
        <x:v>Investment / Project Manager</x:v>
      </x:c>
      <x:c r="L30" s="6" t="str">
        <x:v>Independent Business Case Reviewer</x:v>
      </x:c>
      <x:c r="M30" s="6" t="str">
        <x:v>C: Project Sponsor; Project Controls; Relevant domain reviewer. I: Read-only Executive</x:v>
      </x:c>
    </x:row>
    <x:row r="31" ht="53" customHeight="1">
      <x:c r="A31" s="15" t="str">
        <x:v>P24</x:v>
      </x:c>
      <x:c r="B31" s="13" t="str">
        <x:v>Business Case &amp; Investment Development</x:v>
      </x:c>
      <x:c r="C31" s="13" t="str">
        <x:v>Strategic Benefits Plan / Register</x:v>
      </x:c>
      <x:c r="D31" s="13" t="str">
        <x:v>Effective Benefits policy and objective/source context</x:v>
      </x:c>
      <x:c r="E31" s="13" t="str">
        <x:v>Strategic Benefits</x:v>
      </x:c>
      <x:c r="F31" s="13" t="str">
        <x:v>Benefits/owners/measures</x:v>
      </x:c>
      <x:c r="G31" s="13" t="str">
        <x:v>Completed Benefits evidence</x:v>
      </x:c>
      <x:c r="H31" s="13" t="str">
        <x:v>Project Sponsor</x:v>
      </x:c>
      <x:c r="I31" s="13" t="str">
        <x:v>P23/P37</x:v>
      </x:c>
      <x:c r="J31" s="13" t="str">
        <x:v>PARALLEL-CAPABLE</x:v>
      </x:c>
      <x:c r="K31" s="13" t="str">
        <x:v>Project Sponsor</x:v>
      </x:c>
      <x:c r="L31" s="13" t="str">
        <x:v>Independent Benefits Plan Reviewer</x:v>
      </x:c>
      <x:c r="M31" s="13" t="str">
        <x:v>C: Project Sponsor; Project Controls; Relevant domain reviewer. I: Read-only Executive</x:v>
      </x:c>
    </x:row>
    <x:row r="32" ht="53" customHeight="1">
      <x:c r="A32" s="14" t="str">
        <x:v>P25</x:v>
      </x:c>
      <x:c r="B32" s="6" t="str">
        <x:v>Business Case &amp; Investment Development</x:v>
      </x:c>
      <x:c r="C32" s="6" t="str">
        <x:v>Commercial &amp; Contracting Strategy</x:v>
      </x:c>
      <x:c r="D32" s="6" t="str">
        <x:v>Effective framework and real source context</x:v>
      </x:c>
      <x:c r="E32" s="6" t="str">
        <x:v>Commercial &amp; Contracting Strategy</x:v>
      </x:c>
      <x:c r="F32" s="6" t="str">
        <x:v>Delivery/packaging/contracting/risk allocation</x:v>
      </x:c>
      <x:c r="G32" s="6" t="str">
        <x:v>Completed commercial evidence</x:v>
      </x:c>
      <x:c r="H32" s="6" t="str">
        <x:v>Commercial Reviewer</x:v>
      </x:c>
      <x:c r="I32" s="6" t="str">
        <x:v>P23/P37</x:v>
      </x:c>
      <x:c r="J32" s="6" t="str">
        <x:v>PARALLEL-CAPABLE</x:v>
      </x:c>
      <x:c r="K32" s="6" t="str">
        <x:v>Commercial Reviewer</x:v>
      </x:c>
      <x:c r="L32" s="6" t="str">
        <x:v>Independent Commercial Strategy Reviewer</x:v>
      </x:c>
      <x:c r="M32" s="6" t="str">
        <x:v>C: Project Sponsor; Project Controls; Relevant domain reviewer. I: Read-only Executive</x:v>
      </x:c>
    </x:row>
    <x:row r="33" ht="53" customHeight="1">
      <x:c r="A33" s="15" t="str">
        <x:v>P26</x:v>
      </x:c>
      <x:c r="B33" s="13" t="str">
        <x:v>Business Case &amp; Investment Development</x:v>
      </x:c>
      <x:c r="C33" s="13" t="str">
        <x:v>FEL Stage lifecycle</x:v>
      </x:c>
      <x:c r="D33" s="13" t="str">
        <x:v>Published configured framework and Project definition readiness</x:v>
      </x:c>
      <x:c r="E33" s="13" t="str">
        <x:v>FEL and Definition Maturity / PDRI-compatible assessment</x:v>
      </x:c>
      <x:c r="F33" s="13" t="str">
        <x:v>Stage-specific definition work</x:v>
      </x:c>
      <x:c r="G33" s="13" t="str">
        <x:v>Governed ProjectFELStatus / FEL stage</x:v>
      </x:c>
      <x:c r="H33" s="13" t="str">
        <x:v>Technical Assurance / FEL Reviewer</x:v>
      </x:c>
      <x:c r="I33" s="13" t="str">
        <x:v>P27</x:v>
      </x:c>
      <x:c r="J33" s="13" t="str">
        <x:v>MANDATORY PREDECESSOR</x:v>
      </x:c>
      <x:c r="K33" s="13" t="str">
        <x:v>Technical Assurance / FEL Reviewer</x:v>
      </x:c>
      <x:c r="L33" s="13" t="str">
        <x:v>Independent FEL Reviewer</x:v>
      </x:c>
      <x:c r="M33" s="13" t="str">
        <x:v>C: Project Sponsor; Project Controls; Relevant domain reviewer. I: Read-only Executive</x:v>
      </x:c>
    </x:row>
    <x:row r="34" ht="53" customHeight="1">
      <x:c r="A34" s="14" t="str">
        <x:v>P27</x:v>
      </x:c>
      <x:c r="B34" s="6" t="str">
        <x:v>Business Case &amp; Investment Development</x:v>
      </x:c>
      <x:c r="C34" s="6" t="str">
        <x:v>Definition Maturity / PDRI-compatible assessment</x:v>
      </x:c>
      <x:c r="D34" s="6" t="str">
        <x:v>Configured current FEL stage assessment</x:v>
      </x:c>
      <x:c r="E34" s="6" t="str">
        <x:v>FEL and Definition Maturity / PDRI-compatible assessment</x:v>
      </x:c>
      <x:c r="F34" s="6" t="str">
        <x:v>Element scores/blocking gaps/actions</x:v>
      </x:c>
      <x:c r="G34" s="6" t="str">
        <x:v>Immutable completed maturity evidence</x:v>
      </x:c>
      <x:c r="H34" s="6" t="str">
        <x:v>Technical Assurance / FEL Reviewer</x:v>
      </x:c>
      <x:c r="I34" s="6" t="str">
        <x:v>P23/P37</x:v>
      </x:c>
      <x:c r="J34" s="6" t="str">
        <x:v>PARALLEL-CAPABLE</x:v>
      </x:c>
      <x:c r="K34" s="6" t="str">
        <x:v>Technical Assurance / FEL Reviewer</x:v>
      </x:c>
      <x:c r="L34" s="6" t="str">
        <x:v>Independent FEL Reviewer</x:v>
      </x:c>
      <x:c r="M34" s="6" t="str">
        <x:v>C: Project Sponsor; Project Controls; Relevant domain reviewer. I: Read-only Executive</x:v>
      </x:c>
    </x:row>
    <x:row r="35" ht="53" customHeight="1">
      <x:c r="A35" s="15" t="str">
        <x:v>P28</x:v>
      </x:c>
      <x:c r="B35" s="13" t="str">
        <x:v>Business Case &amp; Investment Development</x:v>
      </x:c>
      <x:c r="C35" s="13" t="str">
        <x:v>Basic Data Readiness</x:v>
      </x:c>
      <x:c r="D35" s="13" t="str">
        <x:v>Stage-aware published requirements</x:v>
      </x:c>
      <x:c r="E35" s="13" t="str">
        <x:v>Basic Data Readiness</x:v>
      </x:c>
      <x:c r="F35" s="13" t="str">
        <x:v>Availability/validation/quality/confidence/freshness</x:v>
      </x:c>
      <x:c r="G35" s="13" t="str">
        <x:v>Exact denominator readiness / blockers</x:v>
      </x:c>
      <x:c r="H35" s="13" t="str">
        <x:v>Project Controls</x:v>
      </x:c>
      <x:c r="I35" s="13" t="str">
        <x:v>P23/P37</x:v>
      </x:c>
      <x:c r="J35" s="13" t="str">
        <x:v>PARALLEL-CAPABLE</x:v>
      </x:c>
      <x:c r="K35" s="13" t="str">
        <x:v>Project Controls</x:v>
      </x:c>
      <x:c r="L35" s="13" t="str">
        <x:v>Independent Basic Data Validator / Reviewer</x:v>
      </x:c>
      <x:c r="M35" s="13" t="str">
        <x:v>C: Project Sponsor; Project Controls; Relevant domain reviewer. I: Read-only Executive</x:v>
      </x:c>
    </x:row>
    <x:row r="36" ht="53" customHeight="1">
      <x:c r="A36" s="14" t="str">
        <x:v>P29</x:v>
      </x:c>
      <x:c r="B36" s="6" t="str">
        <x:v>Business Case &amp; Investment Development</x:v>
      </x:c>
      <x:c r="C36" s="6" t="str">
        <x:v>Risk Capacity / Appetite / Thresholds</x:v>
      </x:c>
      <x:c r="D36" s="6" t="str">
        <x:v>Published scope/date/contextual declarative risk policy</x:v>
      </x:c>
      <x:c r="E36" s="6" t="str">
        <x:v>Risk Governance effective context</x:v>
      </x:c>
      <x:c r="F36" s="6" t="str">
        <x:v>Reusable governance framework</x:v>
      </x:c>
      <x:c r="G36" s="6" t="str">
        <x:v>Effective USER risk context, not decision</x:v>
      </x:c>
      <x:c r="H36" s="6" t="str">
        <x:v>Risk Reviewer</x:v>
      </x:c>
      <x:c r="I36" s="6" t="str">
        <x:v>P30</x:v>
      </x:c>
      <x:c r="J36" s="6" t="str">
        <x:v>CONDITIONAL</x:v>
      </x:c>
      <x:c r="K36" s="6" t="str">
        <x:v>Risk Reviewer</x:v>
      </x:c>
      <x:c r="L36" s="6" t="str">
        <x:v>Risk Reviewer</x:v>
      </x:c>
      <x:c r="M36" s="6" t="str">
        <x:v>C: Project Sponsor; Project Controls; Relevant domain reviewer. I: Read-only Executive</x:v>
      </x:c>
    </x:row>
    <x:row r="37" ht="53" customHeight="1">
      <x:c r="A37" s="15" t="str">
        <x:v>P30</x:v>
      </x:c>
      <x:c r="B37" s="13" t="str">
        <x:v>Business Case &amp; Investment Development</x:v>
      </x:c>
      <x:c r="C37" s="13" t="str">
        <x:v>Risk Readiness</x:v>
      </x:c>
      <x:c r="D37" s="13" t="str">
        <x:v>Published readiness policy and actual risks</x:v>
      </x:c>
      <x:c r="E37" s="13" t="str">
        <x:v>Risk Readiness</x:v>
      </x:c>
      <x:c r="F37" s="13" t="str">
        <x:v>Exposure/owners/treatment/acceptance</x:v>
      </x:c>
      <x:c r="G37" s="13" t="str">
        <x:v>Current completed Project/set Risk evidence</x:v>
      </x:c>
      <x:c r="H37" s="13" t="str">
        <x:v>Risk Reviewer</x:v>
      </x:c>
      <x:c r="I37" s="13" t="str">
        <x:v>P23/P37</x:v>
      </x:c>
      <x:c r="J37" s="13" t="str">
        <x:v>PARALLEL-CAPABLE</x:v>
      </x:c>
      <x:c r="K37" s="13" t="str">
        <x:v>Risk Reviewer</x:v>
      </x:c>
      <x:c r="L37" s="13" t="str">
        <x:v>Independent Risk Acceptance Authority where required</x:v>
      </x:c>
      <x:c r="M37" s="13" t="str">
        <x:v>C: Project Sponsor; Project Controls; Relevant domain reviewer. I: Read-only Executive</x:v>
      </x:c>
    </x:row>
    <x:row r="38" ht="53" customHeight="1">
      <x:c r="A38" s="14" t="str">
        <x:v>P31</x:v>
      </x:c>
      <x:c r="B38" s="6" t="str">
        <x:v>Business Case &amp; Investment Development</x:v>
      </x:c>
      <x:c r="C38" s="6" t="str">
        <x:v>Permit Readiness</x:v>
      </x:c>
      <x:c r="D38" s="6" t="str">
        <x:v>Applicable requirement catalog and actual permits/conditions</x:v>
      </x:c>
      <x:c r="E38" s="6" t="str">
        <x:v>Permit Readiness</x:v>
      </x:c>
      <x:c r="F38" s="6" t="str">
        <x:v>Applicability/status/expiry/conditions</x:v>
      </x:c>
      <x:c r="G38" s="6" t="str">
        <x:v>Current contextual Permit evidence</x:v>
      </x:c>
      <x:c r="H38" s="6" t="str">
        <x:v>Investment / Project Manager</x:v>
      </x:c>
      <x:c r="I38" s="6" t="str">
        <x:v>P23/P37</x:v>
      </x:c>
      <x:c r="J38" s="6" t="str">
        <x:v>PARALLEL-CAPABLE</x:v>
      </x:c>
      <x:c r="K38" s="6" t="str">
        <x:v>Investment / Project Manager</x:v>
      </x:c>
      <x:c r="L38" s="6" t="str">
        <x:v>Configured Permit Reviewer</x:v>
      </x:c>
      <x:c r="M38" s="6" t="str">
        <x:v>C: Project Sponsor; Project Controls; Relevant domain reviewer. I: Read-only Executive</x:v>
      </x:c>
    </x:row>
    <x:row r="39" ht="53" customHeight="1">
      <x:c r="A39" s="15" t="str">
        <x:v>P32</x:v>
      </x:c>
      <x:c r="B39" s="13" t="str">
        <x:v>Business Case &amp; Investment Development</x:v>
      </x:c>
      <x:c r="C39" s="13" t="str">
        <x:v>Owner Capability Readiness</x:v>
      </x:c>
      <x:c r="D39" s="13" t="str">
        <x:v>Effective capability framework and real accountability evidence</x:v>
      </x:c>
      <x:c r="E39" s="13" t="str">
        <x:v>Owner Capability Readiness</x:v>
      </x:c>
      <x:c r="F39" s="13" t="str">
        <x:v>Maturity/quality/confidence/gaps/mitigations</x:v>
      </x:c>
      <x:c r="G39" s="13" t="str">
        <x:v>Current Owner Capability evidence</x:v>
      </x:c>
      <x:c r="H39" s="13" t="str">
        <x:v>Project Sponsor</x:v>
      </x:c>
      <x:c r="I39" s="13" t="str">
        <x:v>P23/P37</x:v>
      </x:c>
      <x:c r="J39" s="13" t="str">
        <x:v>PARALLEL-CAPABLE</x:v>
      </x:c>
      <x:c r="K39" s="13" t="str">
        <x:v>Project Sponsor</x:v>
      </x:c>
      <x:c r="L39" s="13" t="str">
        <x:v>Independent Owner Capability Reviewer</x:v>
      </x:c>
      <x:c r="M39" s="13" t="str">
        <x:v>C: Project Sponsor; Project Controls; Relevant domain reviewer. I: Read-only Executive</x:v>
      </x:c>
    </x:row>
    <x:row r="40" ht="53" customHeight="1">
      <x:c r="A40" s="14" t="str">
        <x:v>P33</x:v>
      </x:c>
      <x:c r="B40" s="6" t="str">
        <x:v>Business Case &amp; Investment Development</x:v>
      </x:c>
      <x:c r="C40" s="6" t="str">
        <x:v>Funding Source / Fund / Assignment / Readiness</x:v>
      </x:c>
      <x:c r="D40" s="6" t="str">
        <x:v>Published Funding policy; actual funding authority</x:v>
      </x:c>
      <x:c r="E40" s="6" t="str">
        <x:v>Funding</x:v>
      </x:c>
      <x:c r="F40" s="6" t="str">
        <x:v>Confirmed eligible monetary assignments</x:v>
      </x:c>
      <x:c r="G40" s="6" t="str">
        <x:v>Governed Funding coverage/snapshot</x:v>
      </x:c>
      <x:c r="H40" s="6" t="str">
        <x:v>Cost / Finance Reviewer</x:v>
      </x:c>
      <x:c r="I40" s="6" t="str">
        <x:v>P34/P37</x:v>
      </x:c>
      <x:c r="J40" s="6" t="str">
        <x:v>PARALLEL-CAPABLE</x:v>
      </x:c>
      <x:c r="K40" s="6" t="str">
        <x:v>Cost / Finance Reviewer</x:v>
      </x:c>
      <x:c r="L40" s="6" t="str">
        <x:v>Independent Funding Approver</x:v>
      </x:c>
      <x:c r="M40" s="6" t="str">
        <x:v>C: Project Sponsor; Project Controls; Relevant domain reviewer. I: Read-only Executive</x:v>
      </x:c>
    </x:row>
    <x:row r="41" ht="53" customHeight="1">
      <x:c r="A41" s="15" t="str">
        <x:v>P34</x:v>
      </x:c>
      <x:c r="B41" s="13" t="str">
        <x:v>Business Case &amp; Investment Development</x:v>
      </x:c>
      <x:c r="C41" s="13" t="str">
        <x:v>Deterministic Economic / Financial Model</x:v>
      </x:c>
      <x:c r="D41" s="13" t="str">
        <x:v>Applicable model configuration; actual BC/Budget/Funding sources</x:v>
      </x:c>
      <x:c r="E41" s="13" t="str">
        <x:v>Economic / Financial Model</x:v>
      </x:c>
      <x:c r="F41" s="13" t="str">
        <x:v>Cashflows/capital structure/WACC</x:v>
      </x:c>
      <x:c r="G41" s="13" t="str">
        <x:v>Completed FIN metrics/hash and reconciliation</x:v>
      </x:c>
      <x:c r="H41" s="13" t="str">
        <x:v>Cost / Finance Reviewer</x:v>
      </x:c>
      <x:c r="I41" s="13" t="str">
        <x:v>P23/P37</x:v>
      </x:c>
      <x:c r="J41" s="13" t="str">
        <x:v>PARALLEL-CAPABLE</x:v>
      </x:c>
      <x:c r="K41" s="13" t="str">
        <x:v>Cost / Finance Reviewer</x:v>
      </x:c>
      <x:c r="L41" s="13" t="str">
        <x:v>Independent FIN Reviewer</x:v>
      </x:c>
      <x:c r="M41" s="13" t="str">
        <x:v>C: Project Sponsor; Project Controls; Relevant domain reviewer. I: Read-only Executive</x:v>
      </x:c>
    </x:row>
    <x:row r="42" ht="53" customHeight="1">
      <x:c r="A42" s="14" t="str">
        <x:v>P35</x:v>
      </x:c>
      <x:c r="B42" s="6" t="str">
        <x:v>Business Case &amp; Investment Development</x:v>
      </x:c>
      <x:c r="C42" s="6" t="str">
        <x:v>QRA Foundation and approved Model Definition</x:v>
      </x:c>
      <x:c r="D42" s="6" t="str">
        <x:v>Methodology, actual sources and capability matching context</x:v>
      </x:c>
      <x:c r="E42" s="6" t="str">
        <x:v>QRA Foundation</x:v>
      </x:c>
      <x:c r="F42" s="6" t="str">
        <x:v>Ranges/distributions/correlations/scope</x:v>
      </x:c>
      <x:c r="G42" s="6" t="str">
        <x:v>APPROVED_FOR_ANALYSIS model; no simulation</x:v>
      </x:c>
      <x:c r="H42" s="6" t="str">
        <x:v>QRA Analyst</x:v>
      </x:c>
      <x:c r="I42" s="6" t="str">
        <x:v>P36</x:v>
      </x:c>
      <x:c r="J42" s="6" t="str">
        <x:v>CONDITIONAL</x:v>
      </x:c>
      <x:c r="K42" s="6" t="str">
        <x:v>QRA Analyst</x:v>
      </x:c>
      <x:c r="L42" s="6" t="str">
        <x:v>Independent QRA Model Reviewer</x:v>
      </x:c>
      <x:c r="M42" s="6" t="str">
        <x:v>C: Project Sponsor; Project Controls; Relevant domain reviewer. I: Read-only Executive</x:v>
      </x:c>
    </x:row>
    <x:row r="43" ht="53" customHeight="1">
      <x:c r="A43" s="15" t="str">
        <x:v>P36</x:v>
      </x:c>
      <x:c r="B43" s="13" t="str">
        <x:v>Business Case &amp; Investment Development</x:v>
      </x:c>
      <x:c r="C43" s="13" t="str">
        <x:v>Cost and/or Schedule QRA results</x:v>
      </x:c>
      <x:c r="D43" s="13" t="str">
        <x:v>Approved current supported model; effective policy context</x:v>
      </x:c>
      <x:c r="E43" s="13" t="str">
        <x:v>Contextual QRA Results</x:v>
      </x:c>
      <x:c r="F43" s="13" t="str">
        <x:v>Real run and independent acceptance</x:v>
      </x:c>
      <x:c r="G43" s="13" t="str">
        <x:v>Accepted current bounded QRA provider evidence</x:v>
      </x:c>
      <x:c r="H43" s="13" t="str">
        <x:v>QRA Analyst</x:v>
      </x:c>
      <x:c r="I43" s="13" t="str">
        <x:v>P23/P37</x:v>
      </x:c>
      <x:c r="J43" s="13" t="str">
        <x:v>CONDITIONAL</x:v>
      </x:c>
      <x:c r="K43" s="13" t="str">
        <x:v>QRA Analyst</x:v>
      </x:c>
      <x:c r="L43" s="13" t="str">
        <x:v>Independent QRA Result Reviewer</x:v>
      </x:c>
      <x:c r="M43" s="13" t="str">
        <x:v>C: Project Sponsor; Project Controls; Relevant domain reviewer. I: Read-only Executive</x:v>
      </x:c>
    </x:row>
    <x:row r="44" ht="53" customHeight="1">
      <x:c r="A44" s="14" t="str">
        <x:v>P37</x:v>
      </x:c>
      <x:c r="B44" s="6" t="str">
        <x:v>Investment Gate &amp; Decision</x:v>
      </x:c>
      <x:c r="C44" s="6" t="str">
        <x:v>Investment Gate Preparation / Evidence Matrix / Criteria</x:v>
      </x:c>
      <x:c r="D44" s="6" t="str">
        <x:v>Recommendation/profile/effective policy; actual required providers</x:v>
      </x:c>
      <x:c r="E44" s="6" t="str">
        <x:v>Gate Preparation / Evidence / Decision Criteria</x:v>
      </x:c>
      <x:c r="F44" s="6" t="str">
        <x:v>Scoped Class A/B/C evidence and criteria</x:v>
      </x:c>
      <x:c r="G44" s="6" t="str">
        <x:v>READY package, not decision</x:v>
      </x:c>
      <x:c r="H44" s="6" t="str">
        <x:v>Gate Preparer</x:v>
      </x:c>
      <x:c r="I44" s="6" t="str">
        <x:v>P38</x:v>
      </x:c>
      <x:c r="J44" s="6" t="str">
        <x:v>MANDATORY PREDECESSOR</x:v>
      </x:c>
      <x:c r="K44" s="6" t="str">
        <x:v>Gate Preparer</x:v>
      </x:c>
      <x:c r="L44" s="6" t="str">
        <x:v>Independent Investment Evidence Reviewer</x:v>
      </x:c>
      <x:c r="M44" s="6" t="str">
        <x:v>C: Project Sponsor; Project Controls; Relevant domain reviewer. I: Read-only Executive</x:v>
      </x:c>
    </x:row>
    <x:row r="45" ht="53" customHeight="1">
      <x:c r="A45" s="15" t="str">
        <x:v>P38</x:v>
      </x:c>
      <x:c r="B45" s="13" t="str">
        <x:v>Investment Gate &amp; Decision</x:v>
      </x:c>
      <x:c r="C45" s="13" t="str">
        <x:v>Source consistency and readiness verification</x:v>
      </x:c>
      <x:c r="D45" s="13" t="str">
        <x:v>Effective configured consistency/criteria rules</x:v>
      </x:c>
      <x:c r="E45" s="13" t="str">
        <x:v>Business Case ↔ Gate source consistency</x:v>
      </x:c>
      <x:c r="F45" s="13" t="str">
        <x:v>BC/native provider refs and hashes</x:v>
      </x:c>
      <x:c r="G45" s="13" t="str">
        <x:v>Consistent exact scope/current evidence or controlled blockers</x:v>
      </x:c>
      <x:c r="H45" s="13" t="str">
        <x:v>Gate Preparer</x:v>
      </x:c>
      <x:c r="I45" s="13" t="str">
        <x:v>P39</x:v>
      </x:c>
      <x:c r="J45" s="13" t="str">
        <x:v>CONDITIONAL</x:v>
      </x:c>
      <x:c r="K45" s="13" t="str">
        <x:v>Gate Preparer</x:v>
      </x:c>
      <x:c r="L45" s="13" t="str">
        <x:v>Gate Preparer</x:v>
      </x:c>
      <x:c r="M45" s="13" t="str">
        <x:v>C: Project Sponsor; Project Controls; Relevant domain reviewer. I: Read-only Executive</x:v>
      </x:c>
    </x:row>
    <x:row r="46" ht="53" customHeight="1">
      <x:c r="A46" s="14" t="str">
        <x:v>P39</x:v>
      </x:c>
      <x:c r="B46" s="6" t="str">
        <x:v>Investment Gate &amp; Decision</x:v>
      </x:c>
      <x:c r="C46" s="6" t="str">
        <x:v>Independent Gate package freeze</x:v>
      </x:c>
      <x:c r="D46" s="6" t="str">
        <x:v>Current READY preparation; independent reviewer</x:v>
      </x:c>
      <x:c r="E46" s="6" t="str">
        <x:v>Freeze Gate package</x:v>
      </x:c>
      <x:c r="F46" s="6" t="str">
        <x:v>Policy/provider/source hashes, criteria and warnings</x:v>
      </x:c>
      <x:c r="G46" s="6" t="str">
        <x:v>Immutable FROZEN package</x:v>
      </x:c>
      <x:c r="H46" s="6" t="str">
        <x:v>Gate Preparer</x:v>
      </x:c>
      <x:c r="I46" s="6" t="str">
        <x:v>P40</x:v>
      </x:c>
      <x:c r="J46" s="6" t="str">
        <x:v>MANDATORY PREDECESSOR</x:v>
      </x:c>
      <x:c r="K46" s="6" t="str">
        <x:v>Gate Preparer</x:v>
      </x:c>
      <x:c r="L46" s="6" t="str">
        <x:v>Independent Investment Evidence Reviewer</x:v>
      </x:c>
      <x:c r="M46" s="6" t="str">
        <x:v>C: Project Sponsor; Project Controls; Relevant domain reviewer. I: Read-only Executive</x:v>
      </x:c>
    </x:row>
    <x:row r="47" ht="53" customHeight="1">
      <x:c r="A47" s="15" t="str">
        <x:v>P40</x:v>
      </x:c>
      <x:c r="B47" s="13" t="str">
        <x:v>Investment Gate &amp; Decision</x:v>
      </x:c>
      <x:c r="C47" s="13" t="str">
        <x:v>Formal Investment Decision / FID</x:v>
      </x:c>
      <x:c r="D47" s="13" t="str">
        <x:v>Frozen valid package, configured independent authority/SoD</x:v>
      </x:c>
      <x:c r="E47" s="13" t="str">
        <x:v>Investment Decision / FID</x:v>
      </x:c>
      <x:c r="F47" s="13" t="str">
        <x:v>Decision checklist and authorized outcome/amount</x:v>
      </x:c>
      <x:c r="G47" s="13" t="str">
        <x:v>DECIDED; PYP-FFA+GO formal FID only</x:v>
      </x:c>
      <x:c r="H47" s="13" t="str">
        <x:v>Investment Committee / Decision Maker</x:v>
      </x:c>
      <x:c r="I47" s="13" t="str">
        <x:v>P41</x:v>
      </x:c>
      <x:c r="J47" s="13" t="str">
        <x:v>CONDITIONAL</x:v>
      </x:c>
      <x:c r="K47" s="13" t="str">
        <x:v>Investment Committee / Decision Maker</x:v>
      </x:c>
      <x:c r="L47" s="13" t="str">
        <x:v>Authorized independent Investment Decision Maker / Committee</x:v>
      </x:c>
      <x:c r="M47" s="13" t="str">
        <x:v>C: Project Sponsor; Project Controls; Relevant domain reviewer. I: Read-only Executive</x:v>
      </x:c>
    </x:row>
    <x:row r="48" ht="53" customHeight="1">
      <x:c r="A48" s="14" t="str">
        <x:v>P41</x:v>
      </x:c>
      <x:c r="B48" s="6" t="str">
        <x:v>Post-FID Governance</x:v>
      </x:c>
      <x:c r="C48" s="6" t="str">
        <x:v>Post-FID conditions, routing and eligibility</x:v>
      </x:c>
      <x:c r="D48" s="6" t="str">
        <x:v>Formal decided FID and effective policy</x:v>
      </x:c>
      <x:c r="E48" s="6" t="str">
        <x:v>Post-FID Governance and operational boundary</x:v>
      </x:c>
      <x:c r="F48" s="6" t="str">
        <x:v>Decision/project state/conditions</x:v>
      </x:c>
      <x:c r="G48" s="6" t="str">
        <x:v>Immutable per-project eligibility; no operational execution</x:v>
      </x:c>
      <x:c r="H48" s="6" t="str">
        <x:v>Post-FID Governance User</x:v>
      </x:c>
      <x:c r="I48" s="6" t="str">
        <x:v>P15/P42</x:v>
      </x:c>
      <x:c r="J48" s="6" t="str">
        <x:v>CONDITIONAL</x:v>
      </x:c>
      <x:c r="K48" s="6" t="str">
        <x:v>Post-FID Governance User</x:v>
      </x:c>
      <x:c r="L48" s="6" t="str">
        <x:v>Configured Post-FID authority / independent Activator</x:v>
      </x:c>
      <x:c r="M48" s="6" t="str">
        <x:v>C: Project Sponsor; Project Controls; Relevant domain reviewer. I: Read-only Executive</x:v>
      </x:c>
    </x:row>
    <x:row r="49" ht="53" customHeight="1">
      <x:c r="A49" s="15" t="str">
        <x:v>P42</x:v>
      </x:c>
      <x:c r="B49" s="13" t="str">
        <x:v>Enterprise / Workspace Governance</x:v>
      </x:c>
      <x:c r="C49" s="13" t="str">
        <x:v>Independent Project Workspace Activation</x:v>
      </x:c>
      <x:c r="D49" s="13" t="str">
        <x:v>Initialized eligible Project; source execution authorization; actor not initializer</x:v>
      </x:c>
      <x:c r="E49" s="13" t="str">
        <x:v>Post-FID Governance and operational boundary</x:v>
      </x:c>
      <x:c r="F49" s="13" t="str">
        <x:v>Governed source authorization/checklist</x:v>
      </x:c>
      <x:c r="G49" s="13" t="str">
        <x:v>Active canonical Project; stop before operational delivery</x:v>
      </x:c>
      <x:c r="H49" s="13" t="str">
        <x:v>Project Workspace Activator</x:v>
      </x:c>
      <x:c r="I49" s="13" t="str">
        <x:v>STOP_OPERATIONAL_BOUNDARY</x:v>
      </x:c>
      <x:c r="J49" s="13" t="str">
        <x:v>CONDITIONAL</x:v>
      </x:c>
      <x:c r="K49" s="13" t="str">
        <x:v>Project Workspace Activator</x:v>
      </x:c>
      <x:c r="L49" s="13" t="str">
        <x:v>Configured Post-FID authority / independent Activator</x:v>
      </x:c>
      <x:c r="M49" s="13" t="str">
        <x:v>C: Project Sponsor; Project Controls; Relevant domain reviewer. I: Read-only Executive</x:v>
      </x:c>
    </x:row>
    <x:row r="50" ht="53" customHeight="1">
      <x:c r="A50" s="14" t="str">
        <x:v>P43</x:v>
      </x:c>
      <x:c r="B50" s="6" t="str">
        <x:v>Compact alternative routes</x:v>
      </x:c>
      <x:c r="C50" s="6" t="str">
        <x:v>Contractor Delivery creation route</x:v>
      </x:c>
      <x:c r="D50" s="6" t="str">
        <x:v>Contract source policy/template/manager; client/contract/scope/mobilization</x:v>
      </x:c>
      <x:c r="E50" s="6" t="str">
        <x:v>CONTRACTOR_DELIVERY compact creation→initialization→activation</x:v>
      </x:c>
      <x:c r="F50" s="6" t="str">
        <x:v>CONTRACT_AWARD request</x:v>
      </x:c>
      <x:c r="G50" s="6" t="str">
        <x:v>Pending→initialized→active without default capital governance</x:v>
      </x:c>
      <x:c r="H50" s="6" t="str">
        <x:v>Investment / Project Manager</x:v>
      </x:c>
      <x:c r="I50" s="6" t="str">
        <x:v>P14/P15/P42</x:v>
      </x:c>
      <x:c r="J50" s="6" t="str">
        <x:v>CONDITIONAL</x:v>
      </x:c>
      <x:c r="K50" s="6" t="str">
        <x:v>Investment / Project Manager</x:v>
      </x:c>
      <x:c r="L50" s="6" t="str">
        <x:v>Independent Project Approver and Activator</x:v>
      </x:c>
      <x:c r="M50" s="6" t="str">
        <x:v>C: Project Sponsor; Project Controls; Relevant domain reviewer. I: Read-only Executive</x:v>
      </x:c>
    </x:row>
    <x:row r="51" ht="53" customHeight="1">
      <x:c r="A51" s="15" t="str">
        <x:v>P44</x:v>
      </x:c>
      <x:c r="B51" s="13" t="str">
        <x:v>Compact alternative routes</x:v>
      </x:c>
      <x:c r="C51" s="13" t="str">
        <x:v>Direct Internal creation route</x:v>
      </x:c>
      <x:c r="D51" s="13" t="str">
        <x:v>Direct policy/template/manager; authorization/sponsor/approval</x:v>
      </x:c>
      <x:c r="E51" s="13" t="str">
        <x:v>DIRECT_INTERNAL compact creation→initialization→activation</x:v>
      </x:c>
      <x:c r="F51" s="13" t="str">
        <x:v>DIRECT_AUTHORIZATION request</x:v>
      </x:c>
      <x:c r="G51" s="13" t="str">
        <x:v>Pending→initialized→active without default capital governance</x:v>
      </x:c>
      <x:c r="H51" s="13" t="str">
        <x:v>Investment / Project Manager</x:v>
      </x:c>
      <x:c r="I51" s="13" t="str">
        <x:v>P14/P15/P42</x:v>
      </x:c>
      <x:c r="J51" s="13" t="str">
        <x:v>CONDITIONAL</x:v>
      </x:c>
      <x:c r="K51" s="13" t="str">
        <x:v>Investment / Project Manager</x:v>
      </x:c>
      <x:c r="L51" s="13" t="str">
        <x:v>Independent Project Approver and Activator</x:v>
      </x:c>
      <x:c r="M51" s="13" t="str">
        <x:v>C: Project Sponsor; Project Controls; Relevant domain reviewer. I: Read-only Executive</x:v>
      </x:c>
    </x:row>
  </x:sheetData>
  <x:pageMargins left="0.7" right="0.7" top="0.75" bottom="0.75" header="0.3" footer="0.3"/>
  <x:tableParts count="1">
    <x:tablePart xmlns:r="http://schemas.openxmlformats.org/officeDocument/2006/relationships" r:id="R685802d718f143c4"/>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0" hidden="0" customWidth="1"/>
    <x:col min="2" max="2" width="38" hidden="0" customWidth="1"/>
    <x:col min="3" max="3" width="58" hidden="0" customWidth="1"/>
    <x:col min="4" max="4" width="30" hidden="0" customWidth="1"/>
    <x:col min="5" max="5" width="43" hidden="0" customWidth="1"/>
    <x:col min="6" max="6" width="65" hidden="0" customWidth="1"/>
    <x:col min="7" max="7" width="65" hidden="0" customWidth="1"/>
    <x:col min="8" max="8" width="75" hidden="0" customWidth="1"/>
    <x:col min="9" max="9" width="75" hidden="0" customWidth="1"/>
    <x:col min="10" max="10" width="14" hidden="0" customWidth="1"/>
    <x:col min="11" max="11" width="22" hidden="0" customWidth="1"/>
    <x:col min="12" max="12" width="24" hidden="0" customWidth="1"/>
    <x:col min="13" max="13" width="75" hidden="0" customWidth="1"/>
    <x:col min="14" max="14" width="75" hidden="0" customWidth="1"/>
    <x:col min="15" max="15" width="20" hidden="0" customWidth="1"/>
    <x:col min="16" max="16" width="75" hidden="0" customWidth="1"/>
    <x:col min="17" max="17" width="24" hidden="0" customWidth="1"/>
    <x:col min="18" max="18" width="75" hidden="0" customWidth="1"/>
    <x:col min="19" max="19" width="75" hidden="0" customWidth="1"/>
    <x:col min="20" max="20" width="28" hidden="0" customWidth="1"/>
    <x:col min="21" max="21" width="75" hidden="0" customWidth="1"/>
    <x:col min="22" max="22" width="24" hidden="0" customWidth="1"/>
    <x:col min="23" max="23" width="75" hidden="0" customWidth="1"/>
    <x:col min="24" max="24" width="75" hidden="0" customWidth="1"/>
    <x:col min="25" max="25" width="28" hidden="0" customWidth="1"/>
    <x:col min="26" max="26" width="75" hidden="0" customWidth="1"/>
  </x:cols>
  <x:sheetData>
    <x:row r="2" ht="26" customHeight="1">
      <x:c r="A2" s="1" t="str">
        <x:v>Registro formal de casos UAT y alcance de las pruebas</x:v>
      </x:c>
    </x:row>
    <x:row r="3">
      <x:c r="A3" s="2"/>
      <x:c r="B3" s="2"/>
      <x:c r="C3" s="2"/>
      <x:c r="D3" s="2"/>
      <x:c r="E3" s="2"/>
      <x:c r="F3" s="2"/>
      <x:c r="G3" s="2"/>
      <x:c r="H3" s="2"/>
      <x:c r="I3" s="2"/>
      <x:c r="J3" s="2"/>
      <x:c r="K3" s="2"/>
    </x:row>
    <x:row r="4">
      <x:c r="A4" s="3" t="str">
        <x:v>Corte actual 15 octubre 2026; historial en L a N</x:v>
      </x:c>
      <x:c r="B4" s="3"/>
      <x:c r="C4" s="3"/>
      <x:c r="D4" s="3" t="str">
        <x:v>Fuente del registro</x:v>
      </x:c>
      <x:c r="E4" s="3" t="str">
        <x:v>Registro de escenarios más resultados explícitos del incremento. PASS técnico no es firma humana.</x:v>
      </x:c>
      <x:c r="F4" s="3"/>
      <x:c r="G4" s="3"/>
      <x:c r="H4" s="3"/>
      <x:c r="I4" s="3"/>
      <x:c r="J4" s="3"/>
      <x:c r="K4" s="3"/>
    </x:row>
    <x:row r="5">
      <x:c r="A5" s="3" t="str">
        <x:v>Registros</x:v>
      </x:c>
      <x:c r="B5" s="3" t="n">
        <x:f>COUNTA(A8:A58)</x:f>
        <x:v>51</x:v>
      </x:c>
      <x:c r="C5" s="3" t="str">
        <x:v>PASS</x:v>
      </x:c>
      <x:c r="D5" s="3" t="n">
        <x:f>COUNTIFS(J8:J58,"PASS")</x:f>
        <x:v>5</x:v>
      </x:c>
      <x:c r="E5" s="3" t="str">
        <x:v>FAIL</x:v>
      </x:c>
      <x:c r="F5" s="3" t="n">
        <x:f>COUNTIFS(J8:J58,"FAIL")</x:f>
        <x:v>0</x:v>
      </x:c>
      <x:c r="G5" s="3" t="str">
        <x:v>BLOCKED</x:v>
      </x:c>
      <x:c r="H5" s="3" t="n">
        <x:f>COUNTIFS(J8:J58,"BLOCKED")</x:f>
        <x:v>46</x:v>
      </x:c>
      <x:c r="I5" s="3"/>
      <x:c r="J5" s="3"/>
      <x:c r="K5" s="3"/>
    </x:row>
    <x:row r="7" ht="34" customHeight="1">
      <x:c r="A7" s="10" t="str">
        <x:v>UAT ID</x:v>
      </x:c>
      <x:c r="B7" s="11" t="str">
        <x:v>Proceso de negocio</x:v>
      </x:c>
      <x:c r="C7" s="11" t="str">
        <x:v>Precondiciones</x:v>
      </x:c>
      <x:c r="D7" s="11" t="str">
        <x:v>Persona</x:v>
      </x:c>
      <x:c r="E7" s="11" t="str">
        <x:v>Datos</x:v>
      </x:c>
      <x:c r="F7" s="11" t="str">
        <x:v>Pasos</x:v>
      </x:c>
      <x:c r="G7" s="11" t="str">
        <x:v>Resultado esperado</x:v>
      </x:c>
      <x:c r="H7" s="11" t="str">
        <x:v>Resultado real</x:v>
      </x:c>
      <x:c r="I7" s="11" t="str">
        <x:v>Evidencia y alcance</x:v>
      </x:c>
      <x:c r="J7" s="11" t="str">
        <x:v>Estado</x:v>
      </x:c>
      <x:c r="K7" s="12" t="str">
        <x:v>Defecto ID</x:v>
      </x:c>
      <x:c r="L7" s="11" t="str">
        <x:v>Estado anterior 14 octubre</x:v>
      </x:c>
      <x:c r="M7" s="11" t="str">
        <x:v>Resultado anterior</x:v>
      </x:c>
      <x:c r="N7" s="11" t="str">
        <x:v>Evidencia anterior</x:v>
      </x:c>
      <x:c r="O7" s="11" t="str">
        <x:v>Corte actual</x:v>
      </x:c>
      <x:c r="P7" s="12" t="str">
        <x:v>Evidencia actual</x:v>
      </x:c>
      <x:c r="Q7" s="11" t="str">
        <x:v>Estado previo al preflight</x:v>
      </x:c>
      <x:c r="R7" s="11" t="str">
        <x:v>Resultado previo</x:v>
      </x:c>
      <x:c r="S7" s="11" t="str">
        <x:v>Evidencia previa</x:v>
      </x:c>
      <x:c r="T7" s="11" t="str">
        <x:v>Preflight Bogotá (UTC-5)</x:v>
      </x:c>
      <x:c r="U7" s="12" t="str">
        <x:v>Evidencia de preflight</x:v>
      </x:c>
      <x:c r="V7" s="11" t="str">
        <x:v>Estado previo reconstrucción</x:v>
      </x:c>
      <x:c r="W7" s="11" t="str">
        <x:v>Resultado previo reconstrucción</x:v>
      </x:c>
      <x:c r="X7" s="11" t="str">
        <x:v>Evidencia previa reconstrucción</x:v>
      </x:c>
      <x:c r="Y7" s="11" t="str">
        <x:v>Reconstrucción Bogotá (UTC-5)</x:v>
      </x:c>
      <x:c r="Z7" s="12" t="str">
        <x:v>Evidencia de reconstrucción</x:v>
      </x:c>
    </x:row>
    <x:row r="8" ht="105" customHeight="1">
      <x:c r="A8" s="14" t="str">
        <x:v>A0</x:v>
      </x:c>
      <x:c r="B8" s="6" t="str">
        <x:v>ADMIN reusable preparation</x:v>
      </x:c>
      <x:c r="C8" s="6" t="str">
        <x:v>Published scoped configurations for all applicable domains; independent publisher where configured; Disposable isolated UAT database; protected Project ID14 baseline captured; actual scoped RBAC actors</x:v>
      </x:c>
      <x:c r="D8" s="6" t="str">
        <x:v>Enterprise Administrator; Capital Planning Administrator</x:v>
      </x:c>
      <x:c r="E8" s="6" t="str">
        <x:v>UAT-CAPITAL-COPPER; CAPITAL_OWNER; governed taxonomy resolved from options; PYP-FFA only where configured; no operational ID reuse</x:v>
      </x:c>
      <x:c r="F8" s="6" t="str">
        <x:v>Inventory applicable configuration IDs/revisions/hashes and inheritance.; Preview contextual effective policies without persistence.; Publish only approved disposable UAT successors.</x:v>
      </x:c>
      <x:c r="G8" s="6" t="str">
        <x:v>Effective published configuration resolves; USER has no reusable editing authority; no operational policy is auto-published.</x:v>
      </x:c>
      <x:c r="H8" s="6" t="str">
        <x:v>Configuraciones y asignaciones reales registradas; el inventario efectivo y todos los negativos ADMIN/USER del caso formal no se acreditan solo por publicar sucesores</x:v>
      </x:c>
      <x:c r="I8" s="6" t="str">
        <x:v>fresh-capital-owner-chain.json; tenant 4; Project 16; estado por etapa, no suma de fixtures</x:v>
      </x:c>
      <x:c r="J8" s="6" t="str">
        <x:v>BLOCKED</x:v>
      </x:c>
      <x:c r="K8" s="6" t="str"/>
      <x:c r="L8" s="6" t="str">
        <x:v>BLOCKED</x:v>
      </x:c>
      <x:c r="M8" s="6" t="str">
        <x:v>Not executed as this increment's end-to-end business case by scenario coverage auditor. Source/test definitions reviewed; prior release assertions are historical only.</x:v>
      </x:c>
      <x:c r="N8" s="6" t="str">
        <x:v>source_tests: backend/tests/test_capital_planning_wave1.py::test_wave1_config_and_user_duties_are_segregated_by_real_rbac; backend/tests/test_qra_evidence_policy.py::test_configured_policy_author_publisher_sod_prevents_publish_without_new_role; implementation: backend/app/modules/enterprise_structure/service.py; current_increment_execution: ; evidence_class: SOURCE_REVIEW_ONLY; historical execution must be linked separately</x:v>
      </x:c>
      <x:c r="O8" s="6" t="str">
        <x:v>2026-10-15</x:v>
      </x:c>
      <x:c r="P8" s="6" t="str">
        <x:v>fresh-capital-owner-chain.json; tenant 4; Project 16; estado por etapa, no suma de fixtures</x:v>
      </x:c>
    </x:row>
    <x:row r="9" ht="92" customHeight="1">
      <x:c r="A9" s="15" t="str">
        <x:v>A1</x:v>
      </x:c>
      <x:c r="B9" s="13" t="str">
        <x:v>Enterprise structure and Workspace context</x:v>
      </x:c>
      <x:c r="C9" s="13" t="str">
        <x:v>Active Enterprise/Business Unit/Portfolio; actual configured Workspace Types; Disposable isolated UAT database; protected Project ID14 baseline captured; actual scoped RBAC actors</x:v>
      </x:c>
      <x:c r="D9" s="13" t="str">
        <x:v>Enterprise Administrator; Read-only Executive</x:v>
      </x:c>
      <x:c r="E9" s="13" t="str">
        <x:v>UAT-CAPITAL-COPPER; CAPITAL_OWNER; governed taxonomy resolved from options; PYP-FFA only where configured; no operational ID reuse</x:v>
      </x:c>
      <x:c r="F9" s="13" t="str">
        <x:v>Inspect hierarchy, Record Code and external_key.; Open Enterprise Explorer and Workspace Context.; Read canonical PROJECT identity and scope boundaries.</x:v>
      </x:c>
      <x:c r="G9" s="13" t="str">
        <x:v>Canonical project is enterprise_workspaces row workspace_type_code=project; external identity and Record Code remain stable.</x:v>
      </x:c>
      <x:c r="H9" s="13" t="str">
        <x:v>Jerarquía nueva y Project canónico materializados con Record Codes. La visita de Explorer se registra aparte y no sustituye todos los controles de identidad y ámbito</x:v>
      </x:c>
      <x:c r="I9" s="13" t="str">
        <x:v>fresh-capital-owner-chain.json; tenant 4; Project 16; estado por etapa, no suma de fixtures</x:v>
      </x:c>
      <x:c r="J9" s="13" t="str">
        <x:v>BLOCKED</x:v>
      </x:c>
      <x:c r="K9" s="13" t="str"/>
      <x:c r="L9" s="6" t="str">
        <x:v>BLOCKED</x:v>
      </x:c>
      <x:c r="M9" s="6" t="str">
        <x:v>Not executed as this increment's end-to-end business case by scenario coverage auditor. Source/test definitions reviewed; prior release assertions are historical only.</x:v>
      </x:c>
      <x:c r="N9" s="6" t="str">
        <x:v>source_tests: backend/tests/test_enterprise_structure.py; backend/tests/test_project_creation_process.py::test_35_created_workspace_is_visible_in_enterprise_explorer; implementation: backend/app/modules/enterprise_structure/service.py; current_increment_execution: ; evidence_class: SOURCE_REVIEW_ONLY; historical execution must be linked separately</x:v>
      </x:c>
      <x:c r="O9" s="6" t="str">
        <x:v>2026-10-15</x:v>
      </x:c>
      <x:c r="P9" s="6" t="str">
        <x:v>fresh-capital-owner-chain.json; tenant 4; Project 16; estado por etapa, no suma de fixtures</x:v>
      </x:c>
    </x:row>
    <x:row r="10" ht="105" customHeight="1">
      <x:c r="A10" s="14" t="str">
        <x:v>A2</x:v>
      </x:c>
      <x:c r="B10" s="6" t="str">
        <x:v>Strategic capital demand, cycles, buckets and allocation</x:v>
      </x:c>
      <x:c r="C10" s="6" t="str">
        <x:v>Published planning/bucket configuration and active objective/theme catalog; Disposable isolated UAT database; protected Project ID14 baseline captured; actual scoped RBAC actors</x:v>
      </x:c>
      <x:c r="D10" s="6" t="str">
        <x:v>Capital Planning Administrator; Portfolio Manager; Project Sponsor</x:v>
      </x:c>
      <x:c r="E10" s="6" t="str">
        <x:v>UAT-CAPITAL-COPPER; CAPITAL_OWNER; governed taxonomy resolved from options; PYP-FFA only where configured; no operational ID reuse</x:v>
      </x:c>
      <x:c r="F10" s="6" t="str">
        <x:v>Create/open cycle, draft and endorse demand.; Create allocation targets, classify buckets and freeze endorsed revision.; Compare Target/Current/Recommended/Approved without inventing FX.</x:v>
      </x:c>
      <x:c r="G10" s="6" t="str">
        <x:v>Governed demand lineage and immutable allocation snapshot; approved capital derives only formal FFA authority.</x:v>
      </x:c>
      <x:c r="H10" s="6" t="str">
        <x:v>Ciclo, Demand y Allocation recorridos y utilizados para originar la Idea de esta misma cadena; la auditoría compuesta completa sigue pendiente</x:v>
      </x:c>
      <x:c r="I10" s="6" t="str">
        <x:v>fresh-capital-owner-chain.json; tenant 4; Project 16; estado por etapa, no suma de fixtures</x:v>
      </x:c>
      <x:c r="J10" s="6" t="str">
        <x:v>BLOCKED</x:v>
      </x:c>
      <x:c r="K10" s="6" t="str"/>
      <x:c r="L10" s="6" t="str">
        <x:v>BLOCKED</x:v>
      </x:c>
      <x:c r="M10" s="6" t="str">
        <x:v>Not executed as this increment's end-to-end business case by scenario coverage auditor. Source/test definitions reviewed; prior release assertions are historical only.</x:v>
      </x:c>
      <x:c r="N10" s="6" t="str">
        <x:v>source_tests: backend/tests/test_capital_planning_wave1.py::test_wave1_lifecycle_atomic_origin_idempotency_sod_filters_and_boundaries; backend/tests/test_capital_allocation_wave2a.py::test_wave2a_reads_gate07i_recommendation_and_only_full_pyp_ffa_approval; implementation: backend/app/modules/capital_planning/service.py; current_increment_execution: ; evidence_class: SOURCE_REVIEW_ONLY; historical execution must be linked separately</x:v>
      </x:c>
      <x:c r="O10" s="6" t="str">
        <x:v>2026-10-15</x:v>
      </x:c>
      <x:c r="P10" s="6" t="str">
        <x:v>fresh-capital-owner-chain.json; tenant 4; Project 16; estado por etapa, no suma de fixtures</x:v>
      </x:c>
    </x:row>
    <x:row r="11" ht="66" customHeight="1">
      <x:c r="A11" s="15" t="str">
        <x:v>A3</x:v>
      </x:c>
      <x:c r="B11" s="13" t="str">
        <x:v>Idea, evaluation and governed Business Analysis</x:v>
      </x:c>
      <x:c r="C11" s="13" t="str">
        <x:v>Eligible owning Workspace and published Idea/BA policies; CAPITAL_OWNER source; Disposable isolated UAT database; protected Project ID14 baseline captured; actual scoped RBAC actors</x:v>
      </x:c>
      <x:c r="D11" s="13" t="str">
        <x:v>Investment Originator; Project Sponsor; independent Business Analysis Reviewer</x:v>
      </x:c>
      <x:c r="E11" s="13" t="str">
        <x:v>UAT-CAPITAL-COPPER; CAPITAL_OWNER; governed taxonomy resolved from options; PYP-FFA only where configured; no operational ID reuse</x:v>
      </x:c>
      <x:c r="F11" s="13" t="str">
        <x:v>Create Idea and submit, screen, route, assign owner.; Complete contextual evaluation and accept Idea.; Where policy requires, complete independent Business Analysis with evaluated alternatives before Proposal.</x:v>
      </x:c>
      <x:c r="G11" s="13" t="str">
        <x:v>Idea is not Workspace; ACCEPTED may yield READY_FOR_BUSINESS_ANALYSIS, then BA COMPLETED yields READY_FOR_PROJECT_PROPOSAL.</x:v>
      </x:c>
      <x:c r="H11" s="13" t="str">
        <x:v>Idea aceptada y BA completado por revisor independiente mediante comandos HTTP reales; una pantalla abierta no equivale a ejecutar allí todo el lifecycle</x:v>
      </x:c>
      <x:c r="I11" s="13" t="str">
        <x:v>fresh-capital-owner-chain.json; tenant 4; Project 16; estado por etapa, no suma de fixtures</x:v>
      </x:c>
      <x:c r="J11" s="13" t="str">
        <x:v>BLOCKED</x:v>
      </x:c>
      <x:c r="K11" s="13" t="str"/>
      <x:c r="L11" s="6" t="str">
        <x:v>PASS</x:v>
      </x:c>
      <x:c r="M11" s="6" t="str">
        <x:v>Idea, evaluación y Business Analysis independiente completados por HTTP real; alcance upstream, no toda la ruta A</x:v>
      </x:c>
      <x:c r="N11" s="6" t="str">
        <x:v>routes-postgresql-final.xml; scenario-routes-sqlite-junit.xml</x:v>
      </x:c>
      <x:c r="O11" s="6" t="str">
        <x:v>2026-10-15</x:v>
      </x:c>
      <x:c r="P11" s="6" t="str">
        <x:v>fresh-capital-owner-chain.json; tenant 4; Project 16; estado por etapa, no suma de fixtures</x:v>
      </x:c>
    </x:row>
    <x:row r="12" ht="66" customHeight="1">
      <x:c r="A12" s="14" t="str">
        <x:v>A4</x:v>
      </x:c>
      <x:c r="B12" s="6" t="str">
        <x:v>Project Proposal</x:v>
      </x:c>
      <x:c r="C12" s="6" t="str">
        <x:v>Accepted Idea; required completed/current BA or legitimate grandfathered snapshot; Disposable isolated UAT database; protected Project ID14 baseline captured; actual scoped RBAC actors</x:v>
      </x:c>
      <x:c r="D12" s="6" t="str">
        <x:v>Project Sponsor; Investment / Project Manager</x:v>
      </x:c>
      <x:c r="E12" s="6" t="str">
        <x:v>UAT-CAPITAL-COPPER; CAPITAL_OWNER; governed taxonomy resolved from options; PYP-FFA only where configured; no operational ID reuse</x:v>
      </x:c>
      <x:c r="F12" s="6" t="str">
        <x:v>Create from eligible Idea.; Complete scope, business need/justification, benefits, ROM, dates, risks, assumptions and constraints.; Submit, review, evaluate, mark Gate-ready.</x:v>
      </x:c>
      <x:c r="G12" s="6" t="str">
        <x:v>Stored status READY_FOR_STRATEGIC_GATE; readiness output READY_FOR_STRATEGIC_GATE_DECISION; source evaluation/BA retained.</x:v>
      </x:c>
      <x:c r="H12" s="6" t="str">
        <x:v>Proposal evaluada y handoff al Strategic Gate ejecutado en esta cadena; no se trasladan hallazgos o aprobaciones de otro tenant a este caso formal</x:v>
      </x:c>
      <x:c r="I12" s="6" t="str">
        <x:v>fresh-capital-owner-chain.json; tenant 4; Project 16; estado por etapa, no suma de fixtures</x:v>
      </x:c>
      <x:c r="J12" s="6" t="str">
        <x:v>BLOCKED</x:v>
      </x:c>
      <x:c r="K12" s="6" t="str"/>
      <x:c r="L12" s="6" t="str">
        <x:v>PASS</x:v>
      </x:c>
      <x:c r="M12" s="6" t="str">
        <x:v>Proposal desde Idea y BA reales; independiente del ensayo heredado que siembra propuestas</x:v>
      </x:c>
      <x:c r="N12" s="6" t="str">
        <x:v>routes-postgresql-final.xml</x:v>
      </x:c>
      <x:c r="O12" s="6" t="str">
        <x:v>2026-10-15</x:v>
      </x:c>
      <x:c r="P12" s="6" t="str">
        <x:v>fresh-capital-owner-chain.json; tenant 4; Project 16; estado por etapa, no suma de fixtures</x:v>
      </x:c>
    </x:row>
    <x:row r="13" ht="66" customHeight="1">
      <x:c r="A13" s="15" t="str">
        <x:v>A5</x:v>
      </x:c>
      <x:c r="B13" s="13" t="str">
        <x:v>Strategic Gate</x:v>
      </x:c>
      <x:c r="C13" s="13" t="str">
        <x:v>Gate-ready Proposal, published Strategic Gate profile and valid decision authority; Disposable isolated UAT database; protected Project ID14 baseline captured; actual scoped RBAC actors</x:v>
      </x:c>
      <x:c r="D13" s="13" t="str">
        <x:v>Gate Preparer; independent Strategic Decision Maker</x:v>
      </x:c>
      <x:c r="E13" s="13" t="str">
        <x:v>UAT-CAPITAL-COPPER; CAPITAL_OWNER; governed taxonomy resolved from options; PYP-FFA only where configured; no operational ID reuse</x:v>
      </x:c>
      <x:c r="F13" s="13" t="str">
        <x:v>Preview and create decision linked to Proposal.; Prepare, submit, review and decide APPROVE with independent actor.; Read intake readiness; run RETURN/REJECT/DEFER separately.</x:v>
      </x:c>
      <x:c r="G13" s="13" t="str">
        <x:v>APPROVE produces READY_FOR_PORTFOLIO_INTAKE, not a Project/FID/activation. Project created later by shared materializer.</x:v>
      </x:c>
      <x:c r="H13" s="13" t="str">
        <x:v>Strategic Gate APPROVE por autoridad independiente ejecutado; no equivale a FID, financiación ni activación</x:v>
      </x:c>
      <x:c r="I13" s="13" t="str">
        <x:v>fresh-capital-owner-chain.json; tenant 4; Project 16; estado por etapa, no suma de fixtures</x:v>
      </x:c>
      <x:c r="J13" s="13" t="str">
        <x:v>BLOCKED</x:v>
      </x:c>
      <x:c r="K13" s="13" t="str"/>
      <x:c r="L13" s="6" t="str">
        <x:v>PASS</x:v>
      </x:c>
      <x:c r="M13" s="6" t="str">
        <x:v>Strategic Gate APPROVE con actor independiente produce handoff y materialización pending; outcomes negativos se informan por su regresión, no por esta ruta feliz</x:v>
      </x:c>
      <x:c r="N13" s="6" t="str">
        <x:v>routes-postgresql-final.xml</x:v>
      </x:c>
      <x:c r="O13" s="6" t="str">
        <x:v>2026-10-15</x:v>
      </x:c>
      <x:c r="P13" s="6" t="str">
        <x:v>fresh-capital-owner-chain.json; tenant 4; Project 16; estado por etapa, no suma de fixtures</x:v>
      </x:c>
    </x:row>
    <x:row r="14" ht="131" customHeight="1">
      <x:c r="A14" s="14" t="str">
        <x:v>A6</x:v>
      </x:c>
      <x:c r="B14" s="6" t="str">
        <x:v>Project Workspace creation and initialization timing</x:v>
      </x:c>
      <x:c r="C14" s="6" t="str">
        <x:v>APPROVE intake readiness, published exact template, manager, eligible portfolio/program parent; Disposable isolated UAT database; protected Project ID14 baseline captured; actual scoped RBAC actors</x:v>
      </x:c>
      <x:c r="D14" s="6" t="str">
        <x:v>Investment / Project Manager; Project Workspace Initializer</x:v>
      </x:c>
      <x:c r="E14" s="6" t="str">
        <x:v>UAT-CAPITAL-COPPER; CAPITAL_OWNER; governed taxonomy resolved from options; PYP-FFA only where configured; no operational ID reuse</x:v>
      </x:c>
      <x:c r="F14" s="6" t="str">
        <x:v>Create strategic planning entry with expected decision/readiness hashes.; Submit shared request, independent approval and materialize.; Inspect pending identity and initialization/activation eligibility without premature Capital Owner activation.</x:v>
      </x:c>
      <x:c r="G14" s="6" t="str">
        <x:v>Exactly one canonical pending Project and creation lineage; initialization is separate and activation requires execution authorization.</x:v>
      </x:c>
      <x:c r="H14" s="6" t="str">
        <x:v>Solicitud revisada, aprobada y materializada como Project pending. Replay, elegibilidad e inicialización del caso compuesto requieren su propia evidencia</x:v>
      </x:c>
      <x:c r="I14" s="6" t="str">
        <x:v>fresh-capital-owner-chain.json; tenant 4; Project 16; estado por etapa, no suma de fixtures</x:v>
      </x:c>
      <x:c r="J14" s="6" t="str">
        <x:v>BLOCKED</x:v>
      </x:c>
      <x:c r="K14" s="6" t="str"/>
      <x:c r="L14" s="6" t="str">
        <x:v>BLOCKED</x:v>
      </x:c>
      <x:c r="M14" s="6" t="str">
        <x:v>Fresh local SQLite upstream proof materialized canonical CAPITAL_OWNER pending Project 5 and ACTIVE STRATEGIC_INTAKE membership through normal HTTP. Case remains BLOCKED/PARTIAL because its wider initialization timing / extra membership boundary assertions were not all executed by this new upstream test.</x:v>
      </x:c>
      <x:c r="N14" s="6" t="str">
        <x:v>source_tests: backend/tests/test_project_creation_process.py::test_30_materialization_creates_one_pending_project_workspace; backend/tests/test_project_workspace_initialization.py::test_54_gate05b_materialization_to_gate05c_activation; backend/tests/test_strategic_final_uat_routes.py::test_capital_owner_idea_business_analysis_proposal_gate_to_pending_project; implementation: backend/app/modules/project_creation/service.py; current_increment_execution: docs/validation/strategic-final-uat/routes-sqlite/scenario-route-CAPITAL_OWNER_UPSTREAM.json; evidence_class: CURRENT_INCREMENT_SQLITE_HTTP_PARTIAL</x:v>
      </x:c>
      <x:c r="O14" s="6" t="str">
        <x:v>2026-10-15</x:v>
      </x:c>
      <x:c r="P14" s="6" t="str">
        <x:v>fresh-capital-owner-chain.json; tenant 4; Project 16; estado por etapa, no suma de fixtures</x:v>
      </x:c>
    </x:row>
    <x:row r="15" ht="118" customHeight="1">
      <x:c r="A15" s="15" t="str">
        <x:v>A7</x:v>
      </x:c>
      <x:c r="B15" s="13" t="str">
        <x:v>Portfolio Intake and membership</x:v>
      </x:c>
      <x:c r="C15" s="13" t="str">
        <x:v>Materialized CAPITAL_OWNER Project; approved strategic intake; Disposable isolated UAT database; protected Project ID14 baseline captured; actual scoped RBAC actors</x:v>
      </x:c>
      <x:c r="D15" s="13" t="str">
        <x:v>Portfolio Manager</x:v>
      </x:c>
      <x:c r="E15" s="13" t="str">
        <x:v>UAT-CAPITAL-COPPER; CAPITAL_OWNER; governed taxonomy resolved from options; PYP-FFA only where configured; no operational ID reuse</x:v>
      </x:c>
      <x:c r="F15" s="13" t="str">
        <x:v>Read planning entry and target membership.; Confirm ACTIVE membership and STRATEGIC_INTAKE source.; Verify eligibility and independent membership in another portfolio without changing canonical parent.</x:v>
      </x:c>
      <x:c r="G15" s="13" t="str">
        <x:v>Target membership resolves correct Project and no second Project identity; CAPITAL_OWNER eligible.</x:v>
      </x:c>
      <x:c r="H15" s="13" t="str">
        <x:v>Intake y membership principal ACTIVE de la misma identidad. No se infieren todas las variaciones de membresía ni cambios de padre</x:v>
      </x:c>
      <x:c r="I15" s="13" t="str">
        <x:v>fresh-capital-owner-chain.json; tenant 4; Project 16; estado por etapa, no suma de fixtures</x:v>
      </x:c>
      <x:c r="J15" s="13" t="str">
        <x:v>BLOCKED</x:v>
      </x:c>
      <x:c r="K15" s="13" t="str"/>
      <x:c r="L15" s="6" t="str">
        <x:v>BLOCKED</x:v>
      </x:c>
      <x:c r="M15" s="6" t="str">
        <x:v>Fresh local SQLite upstream proof materialized canonical CAPITAL_OWNER pending Project 5 and ACTIVE STRATEGIC_INTAKE membership through normal HTTP. Case remains BLOCKED/PARTIAL because its wider initialization timing / extra membership boundary assertions were not all executed by this new upstream test.</x:v>
      </x:c>
      <x:c r="N15" s="6" t="str">
        <x:v>source_tests: backend/tests/test_portfolio_planning_gate07d.py::test_gate07d_full_lifecycle_creates_one_pending_project_and_target_membership; backend/tests/test_strategic_final_uat_routes.py::test_capital_owner_idea_business_analysis_proposal_gate_to_pending_project; implementation: backend/app/modules/portfolio_planning/service.py; current_increment_execution: docs/validation/strategic-final-uat/routes-sqlite/scenario-route-CAPITAL_OWNER_UPSTREAM.json; evidence_class: CURRENT_INCREMENT_SQLITE_HTTP_PARTIAL</x:v>
      </x:c>
      <x:c r="O15" s="6" t="str">
        <x:v>2026-10-15</x:v>
      </x:c>
      <x:c r="P15" s="6" t="str">
        <x:v>fresh-capital-owner-chain.json; tenant 4; Project 16; estado por etapa, no suma de fixtures</x:v>
      </x:c>
    </x:row>
    <x:row r="16" ht="105" customHeight="1">
      <x:c r="A16" s="14" t="str">
        <x:v>A8</x:v>
      </x:c>
      <x:c r="B16" s="6" t="str">
        <x:v>Evaluation and Prioritization</x:v>
      </x:c>
      <x:c r="C16" s="6" t="str">
        <x:v>ACTIVE capital membership and effective evaluation criteria; Disposable isolated UAT database; protected Project ID14 baseline captured; actual scoped RBAC actors</x:v>
      </x:c>
      <x:c r="D16" s="6" t="str">
        <x:v>Portfolio Manager; Portfolio Evaluator</x:v>
      </x:c>
      <x:c r="E16" s="6" t="str">
        <x:v>UAT-CAPITAL-COPPER; CAPITAL_OWNER; governed taxonomy resolved from options; PYP-FFA only where configured; no operational ID reuse</x:v>
      </x:c>
      <x:c r="F16" s="6" t="str">
        <x:v>Start contextual evaluation in portfolio.; Rate and complete immutable scoring revision.; Read deterministic Portfolio Rank and test second-portfolio context.</x:v>
      </x:c>
      <x:c r="G16" s="6" t="str">
        <x:v>No duplicate global rank; history remains immutable; contextual rank excludes inactive membership.</x:v>
      </x:c>
      <x:c r="H16" s="6" t="str">
        <x:v>Etapa técnica completada: evaluación inmutable, historia real y rank contextual de la misma inversión. El caso formal compuesto continúa BLOCKED</x:v>
      </x:c>
      <x:c r="I16" s="6" t="str">
        <x:v>fresh-capital-owner-chain.json; tenant 4; Project 16; estado por etapa, no suma de fixtures</x:v>
      </x:c>
      <x:c r="J16" s="6" t="str">
        <x:v>BLOCKED</x:v>
      </x:c>
      <x:c r="K16" s="6" t="str"/>
      <x:c r="L16" s="6" t="str">
        <x:v>BLOCKED</x:v>
      </x:c>
      <x:c r="M16" s="6" t="str">
        <x:v>Not executed as this increment's end-to-end business case by scenario coverage auditor. Source/test definitions reviewed; prior release assertions are historical only.</x:v>
      </x:c>
      <x:c r="N16" s="6" t="str">
        <x:v>source_tests: backend/tests/test_portfolio_evaluation_gate07e.py::test_same_project_can_have_independent_evaluation_and_rank_in_two_portfolios; backend/tests/test_portfolio_evaluation_gate07e.py::test_capital_owner_scoring_is_deterministic_and_completed_snapshot_is_immutable; implementation: backend/app/modules/portfolio_evaluation/service.py; current_increment_execution: ; evidence_class: SOURCE_REVIEW_ONLY; historical execution must be linked separately</x:v>
      </x:c>
      <x:c r="O16" s="6" t="str">
        <x:v>2026-10-15</x:v>
      </x:c>
      <x:c r="P16" s="6" t="str">
        <x:v>fresh-capital-owner-chain.json; tenant 4; Project 16; estado por etapa, no suma de fixtures</x:v>
      </x:c>
    </x:row>
    <x:row r="17" ht="105" customHeight="1">
      <x:c r="A17" s="15" t="str">
        <x:v>A9</x:v>
      </x:c>
      <x:c r="B17" s="13" t="str">
        <x:v>Portfolio Analysis / Investor Map / Scorecard</x:v>
      </x:c>
      <x:c r="C17" s="13" t="str">
        <x:v>Current contextual evaluations/rank and published analysis catalog; Disposable isolated UAT database; protected Project ID14 baseline captured; actual scoped RBAC actors</x:v>
      </x:c>
      <x:c r="D17" s="13" t="str">
        <x:v>Portfolio Manager; Read-only Executive</x:v>
      </x:c>
      <x:c r="E17" s="13" t="str">
        <x:v>UAT-CAPITAL-COPPER; CAPITAL_OWNER; governed taxonomy resolved from options; PYP-FFA only where configured; no operational ID reuse</x:v>
      </x:c>
      <x:c r="F17" s="13" t="str">
        <x:v>Read Investor Map and Scorecard.; Inspect source hash and branch readiness.; Mix currencies and confirm only incompatible monetary branch is blocked.</x:v>
      </x:c>
      <x:c r="G17" s="13" t="str">
        <x:v>Analysis reuses Gate07E rank; no hidden FX, no rank mutation, explicit budget/resource readiness.</x:v>
      </x:c>
      <x:c r="H17" s="13" t="str">
        <x:v>Etapa técnica completada: análisis, moneda y cobertura comprobados, Investor Map, Scorecard y distribuciones consultados. No implica validación visual integral</x:v>
      </x:c>
      <x:c r="I17" s="13" t="str">
        <x:v>fresh-capital-owner-chain.json; tenant 4; Project 16; estado por etapa, no suma de fixtures</x:v>
      </x:c>
      <x:c r="J17" s="13" t="str">
        <x:v>BLOCKED</x:v>
      </x:c>
      <x:c r="K17" s="13" t="str"/>
      <x:c r="L17" s="6" t="str">
        <x:v>BLOCKED</x:v>
      </x:c>
      <x:c r="M17" s="6" t="str">
        <x:v>Not executed as this increment's end-to-end business case by scenario coverage auditor. Source/test definitions reviewed; prior release assertions are historical only.</x:v>
      </x:c>
      <x:c r="N17" s="6" t="str">
        <x:v>source_tests: backend/tests/test_portfolio_analysis_gate07f.py::test_analysis_reuses_gate07e_rank_and_produces_map_scorecard_and_readiness; backend/tests/test_portfolio_analysis_gate07f.py::test_currency_guardrail_disables_monetary_size_and_budget_branch_only; implementation: backend/app/modules/portfolio_analysis/service.py; current_increment_execution: ; evidence_class: SOURCE_REVIEW_ONLY; historical execution must be linked separately</x:v>
      </x:c>
      <x:c r="O17" s="6" t="str">
        <x:v>2026-10-15</x:v>
      </x:c>
      <x:c r="P17" s="6" t="str">
        <x:v>fresh-capital-owner-chain.json; tenant 4; Project 16; estado por etapa, no suma de fixtures</x:v>
      </x:c>
    </x:row>
    <x:row r="18" ht="105" customHeight="1">
      <x:c r="A18" s="14" t="str">
        <x:v>A10</x:v>
      </x:c>
      <x:c r="B18" s="6" t="str">
        <x:v>Budget Planning and scenarios</x:v>
      </x:c>
      <x:c r="C18" s="6" t="str">
        <x:v>Current analysis, published contextual budget configuration and target; Disposable isolated UAT database; protected Project ID14 baseline captured; actual scoped RBAC actors</x:v>
      </x:c>
      <x:c r="D18" s="6" t="str">
        <x:v>Portfolio Manager; Project Controls; Cost / Finance Reviewer</x:v>
      </x:c>
      <x:c r="E18" s="6" t="str">
        <x:v>UAT-CAPITAL-COPPER; CAPITAL_OWNER; governed taxonomy resolved from options; PYP-FFA only where configured; no operational ID reuse</x:v>
      </x:c>
      <x:c r="F18" s="6" t="str">
        <x:v>Create/publish budget target with periods.; Create multiple scenarios and inspect selection, CAPEX/Expense, time phasing and Waterline.; Freeze scenario and compare; confirm no approval or Budget write-back.</x:v>
      </x:c>
      <x:c r="G18" s="6" t="str">
        <x:v>FROZEN is immutable analytical state, not investment approval; over-budget is explicit analytical result.</x:v>
      </x:c>
      <x:c r="H18" s="6" t="str">
        <x:v>Budget Target publicado y escenario Budget FROZEN mediante comandos normales; no constituye inversión aprobada</x:v>
      </x:c>
      <x:c r="I18" s="6" t="str">
        <x:v>fresh-capital-owner-chain.json; tenant 4; Project 16; estado por etapa, no suma de fixtures</x:v>
      </x:c>
      <x:c r="J18" s="6" t="str">
        <x:v>BLOCKED</x:v>
      </x:c>
      <x:c r="K18" s="6" t="str"/>
      <x:c r="L18" s="6" t="str">
        <x:v>BLOCKED</x:v>
      </x:c>
      <x:c r="M18" s="6" t="str">
        <x:v>Not executed as this increment's end-to-end business case by scenario coverage auditor. Source/test definitions reviewed; prior release assertions are historical only.</x:v>
      </x:c>
      <x:c r="N18" s="6" t="str">
        <x:v>source_tests: backend/tests/test_portfolio_budget_gate07g.py::test_happy_path_target_scenarios_comparison_and_final_contract; backend/tests/test_portfolio_budget_gate07g_a.py::test_waterline_reuses_rank_and_exposes_governed_budget_breakdown; implementation: backend/app/modules/portfolio_budget/service.py; current_increment_execution: ; evidence_class: SOURCE_REVIEW_ONLY; historical execution must be linked separately</x:v>
      </x:c>
      <x:c r="O18" s="6" t="str">
        <x:v>2026-10-15</x:v>
      </x:c>
      <x:c r="P18" s="6" t="str">
        <x:v>fresh-capital-owner-chain.json; tenant 4; Project 16; estado por etapa, no suma de fixtures</x:v>
      </x:c>
    </x:row>
    <x:row r="19" ht="105" customHeight="1">
      <x:c r="A19" s="15" t="str">
        <x:v>A11</x:v>
      </x:c>
      <x:c r="B19" s="13" t="str">
        <x:v>Resource Planning and scenarios</x:v>
      </x:c>
      <x:c r="C19" s="13" t="str">
        <x:v>Published Capacity Plan; actual Project demand profiles; current analysis; Disposable isolated UAT database; protected Project ID14 baseline captured; actual scoped RBAC actors</x:v>
      </x:c>
      <x:c r="D19" s="13" t="str">
        <x:v>Portfolio Manager; Project Controls</x:v>
      </x:c>
      <x:c r="E19" s="13" t="str">
        <x:v>UAT-CAPITAL-COPPER; CAPITAL_OWNER; governed taxonomy resolved from options; PYP-FFA only where configured; no operational ID reuse</x:v>
      </x:c>
      <x:c r="F19" s="13" t="str">
        <x:v>Create/publish role-period capacity and Project demand.; Create scenarios and inspect overload/timing/comparison.; Freeze and verify no Project date mutation or named-person staffing.</x:v>
      </x:c>
      <x:c r="G19" s="13" t="str">
        <x:v>Strategic role capacity only, not P6 leveling or named staffing; missing demand not fabricated.</x:v>
      </x:c>
      <x:c r="H19" s="13" t="str">
        <x:v>Capacity y Demand publicados y escenario Resource FROZEN en esta cadena; la identidad y fechas fuente del Project se conservaron</x:v>
      </x:c>
      <x:c r="I19" s="13" t="str">
        <x:v>fresh-capital-owner-chain.json; tenant 4; Project 16; estado por etapa, no suma de fixtures</x:v>
      </x:c>
      <x:c r="J19" s="13" t="str">
        <x:v>BLOCKED</x:v>
      </x:c>
      <x:c r="K19" s="13" t="str"/>
      <x:c r="L19" s="6" t="str">
        <x:v>BLOCKED</x:v>
      </x:c>
      <x:c r="M19" s="6" t="str">
        <x:v>Not executed as this increment's end-to-end business case by scenario coverage auditor. Source/test definitions reviewed; prior release assertions are historical only.</x:v>
      </x:c>
      <x:c r="N19" s="6" t="str">
        <x:v>source_tests: backend/tests/test_portfolio_resource_gate07h.py::test_gate07h_happy_path_overload_timing_comparison_and_final_output; backend/tests/test_portfolio_resource_gate07h.py::test_missing_demand_is_not_fabricated_and_unit_mismatch_blocks; implementation: backend/app/modules/portfolio_resource/service.py; current_increment_execution: ; evidence_class: SOURCE_REVIEW_ONLY; historical execution must be linked separately</x:v>
      </x:c>
      <x:c r="O19" s="6" t="str">
        <x:v>2026-10-15</x:v>
      </x:c>
      <x:c r="P19" s="6" t="str">
        <x:v>fresh-capital-owner-chain.json; tenant 4; Project 16; estado por etapa, no suma de fixtures</x:v>
      </x:c>
    </x:row>
    <x:row r="20" ht="105" customHeight="1">
      <x:c r="A20" s="14" t="str">
        <x:v>A12</x:v>
      </x:c>
      <x:c r="B20" s="6" t="str">
        <x:v>Scenario Convergence and Recommendation</x:v>
      </x:c>
      <x:c r="C20" s="6" t="str">
        <x:v>Frozen compatible budget/resource source alternatives required by effective convergence configuration; Disposable isolated UAT database; protected Project ID14 baseline captured; actual scoped RBAC actors</x:v>
      </x:c>
      <x:c r="D20" s="6" t="str">
        <x:v>Portfolio Manager</x:v>
      </x:c>
      <x:c r="E20" s="6" t="str">
        <x:v>UAT-CAPITAL-COPPER; CAPITAL_OWNER; governed taxonomy resolved from options; PYP-FFA only where configured; no operational ID reuse</x:v>
      </x:c>
      <x:c r="F20" s="6" t="str">
        <x:v>Create convergence and alternatives linking branch scenarios.; Evaluate feasibility and alignment.; Recommend only feasible alternative; test mismatch/forced conflict separately.</x:v>
      </x:c>
      <x:c r="G20" s="6" t="str">
        <x:v>Immutable formal recommendation with source hashes; recommendation is not FID and does not activate Project.</x:v>
      </x:c>
      <x:c r="H20" s="6" t="str">
        <x:v>Budget y Resource actuales convergieron en alternativa RECOMMENDED y READY_FOR_INVESTMENT_GATE_PREPARATION; todavía no es FID</x:v>
      </x:c>
      <x:c r="I20" s="6" t="str">
        <x:v>fresh-capital-owner-chain.json; tenant 4; Project 16; estado por etapa, no suma de fixtures</x:v>
      </x:c>
      <x:c r="J20" s="6" t="str">
        <x:v>BLOCKED</x:v>
      </x:c>
      <x:c r="K20" s="6" t="str"/>
      <x:c r="L20" s="6" t="str">
        <x:v>BLOCKED</x:v>
      </x:c>
      <x:c r="M20" s="6" t="str">
        <x:v>Not executed as this increment's end-to-end business case by scenario coverage auditor. Source/test definitions reviewed; prior release assertions are historical only.</x:v>
      </x:c>
      <x:c r="N20" s="6" t="str">
        <x:v>source_tests: backend/tests/test_portfolio_convergence_gate07i.py::test_happy_path_formal_recommendation_and_downstream_contract; backend/tests/test_portfolio_convergence_gate07i.py::test_misaligned_and_forced_conflict_alternative_is_not_recommendable; implementation: backend/app/modules/portfolio_convergence/service.py; current_increment_execution: ; evidence_class: SOURCE_REVIEW_ONLY; historical execution must be linked separately</x:v>
      </x:c>
      <x:c r="O20" s="6" t="str">
        <x:v>2026-10-15</x:v>
      </x:c>
      <x:c r="P20" s="6" t="str">
        <x:v>fresh-capital-owner-chain.json; tenant 4; Project 16; estado por etapa, no suma de fixtures</x:v>
      </x:c>
    </x:row>
    <x:row r="21" ht="105" customHeight="1">
      <x:c r="A21" s="15" t="str">
        <x:v>A13</x:v>
      </x:c>
      <x:c r="B21" s="13" t="str">
        <x:v>Periodic Portfolio Review / actions</x:v>
      </x:c>
      <x:c r="C21" s="13" t="str">
        <x:v>Applicable review policy and available required allocation/budget/resource/Gate sources; Disposable isolated UAT database; protected Project ID14 baseline captured; actual scoped RBAC actors</x:v>
      </x:c>
      <x:c r="D21" s="13" t="str">
        <x:v>Portfolio Manager; independent Portfolio Reviewer</x:v>
      </x:c>
      <x:c r="E21" s="13" t="str">
        <x:v>UAT-CAPITAL-COPPER; CAPITAL_OWNER; governed taxonomy resolved from options; PYP-FFA only where configured; no operational ID reuse</x:v>
      </x:c>
      <x:c r="F21" s="13" t="str">
        <x:v>Prepare review, preview/capture snapshot and freeze/review.; Inspect Project Matrix, conclusions and linked authority context.; Create governance action and verify source authority remains unchanged.</x:v>
      </x:c>
      <x:c r="G21" s="13" t="str">
        <x:v>Historical frozen sources not reinterpreted; HOLD_FOR_CAPACITY is request-only portfolio action, not Gate07K HOLD.</x:v>
      </x:c>
      <x:c r="H21" s="13" t="str">
        <x:v>Review real COMPLETED con snapshot histórico congelado, conclusión y acción por actores independientes; Project y membership preservados. No es decisión de inversión</x:v>
      </x:c>
      <x:c r="I21" s="13" t="str">
        <x:v>fresh-capital-owner-chain.json; tenant 4; Project 16; estado por etapa, no suma de fixtures</x:v>
      </x:c>
      <x:c r="J21" s="13" t="str">
        <x:v>BLOCKED</x:v>
      </x:c>
      <x:c r="K21" s="13" t="str"/>
      <x:c r="L21" s="6" t="str">
        <x:v>BLOCKED</x:v>
      </x:c>
      <x:c r="M21" s="6" t="str">
        <x:v>Not executed as this increment's end-to-end business case by scenario coverage auditor. Source/test definitions reviewed; prior release assertions are historical only.</x:v>
      </x:c>
      <x:c r="N21" s="6" t="str">
        <x:v>source_tests: backend/tests/test_portfolio_review_wave3a.py::test_wave3a_two_actor_lifecycle_snapshot_preview_freeze_idempotency_and_sod; backend/tests/test_portfolio_review_wave3a.py::test_wave3a_action_semantics_are_request_only_without_source_mutations; implementation: backend/app/modules/portfolio_review/service.py; current_increment_execution: ; evidence_class: SOURCE_REVIEW_ONLY; historical execution must be linked separately</x:v>
      </x:c>
      <x:c r="O21" s="6" t="str">
        <x:v>2026-10-15</x:v>
      </x:c>
      <x:c r="P21" s="6" t="str">
        <x:v>fresh-capital-owner-chain.json; tenant 4; Project 16; estado por etapa, no suma de fixtures</x:v>
      </x:c>
    </x:row>
    <x:row r="22" ht="105" customHeight="1">
      <x:c r="A22" s="14" t="str">
        <x:v>A14</x:v>
      </x:c>
      <x:c r="B22" s="6" t="str">
        <x:v>Five Case Business Case</x:v>
      </x:c>
      <x:c r="C22" s="6" t="str">
        <x:v>Canonical capital Project, proposal/BA lineage and policy-required governed sources; Disposable isolated UAT database; protected Project ID14 baseline captured; actual scoped RBAC actors</x:v>
      </x:c>
      <x:c r="D22" s="6" t="str">
        <x:v>Investment / Project Manager; Project Sponsor; independent Business Case Reviewer</x:v>
      </x:c>
      <x:c r="E22" s="6" t="str">
        <x:v>UAT-CAPITAL-COPPER; CAPITAL_OWNER; governed taxonomy resolved from options; PYP-FFA only where configured; no operational ID reuse</x:v>
      </x:c>
      <x:c r="F22" s="6" t="str">
        <x:v>Create revision from actual source bundle.; Complete Strategic/Economic/Commercial/Financial/Management cases with source refs.; Submit and independently complete; create successor rather than edit completed revision.</x:v>
      </x:c>
      <x:c r="G22" s="6" t="str">
        <x:v>Five Case readiness and source hashes are governed; historical revision data is frozen; FIN bridge exact id/version/hash.</x:v>
      </x:c>
      <x:c r="H22" s="6" t="str">
        <x:v>Revisión Five Case FFA final completada por revisor independiente y providers actuales comprobados; falta acreditación completa del caso formal y del E2E browser</x:v>
      </x:c>
      <x:c r="I22" s="6" t="str">
        <x:v>fresh-capital-owner-chain.json; tenant 4; Project 16; estado por etapa, no suma de fixtures</x:v>
      </x:c>
      <x:c r="J22" s="6" t="str">
        <x:v>BLOCKED</x:v>
      </x:c>
      <x:c r="K22" s="6" t="str"/>
      <x:c r="L22" s="6" t="str">
        <x:v>BLOCKED</x:v>
      </x:c>
      <x:c r="M22" s="6" t="str">
        <x:v>Not executed as this increment's end-to-end business case by scenario coverage auditor. Source/test definitions reviewed; prior release assertions are historical only.</x:v>
      </x:c>
      <x:c r="N22" s="6" t="str">
        <x:v>source_tests: backend/tests/test_business_case_gate07m_bc_5c.py::test_historical_five_case_is_derived_only_from_frozen_revision_data; backend/tests/test_business_case_gate07m.py::test_complete_snapshot_and_new_revision_preserve_longitudinal_history; implementation: backend/app/modules/business_case/service.py; current_increment_execution: ; evidence_class: SOURCE_REVIEW_ONLY; historical execution must be linked separately</x:v>
      </x:c>
      <x:c r="O22" s="6" t="str">
        <x:v>2026-10-15</x:v>
      </x:c>
      <x:c r="P22" s="6" t="str">
        <x:v>fresh-capital-owner-chain.json; tenant 4; Project 16; estado por etapa, no suma de fixtures</x:v>
      </x:c>
    </x:row>
    <x:row r="23" ht="105" customHeight="1">
      <x:c r="A23" s="15" t="str">
        <x:v>A15</x:v>
      </x:c>
      <x:c r="B23" s="13" t="str">
        <x:v>Strategic Benefits</x:v>
      </x:c>
      <x:c r="C23" s="13" t="str">
        <x:v>Capital Project, effective benefits configuration and objective/source references; Disposable isolated UAT database; protected Project ID14 baseline captured; actual scoped RBAC actors</x:v>
      </x:c>
      <x:c r="D23" s="13" t="str">
        <x:v>Project Sponsor; Benefits Author; independent Benefits Reviewer</x:v>
      </x:c>
      <x:c r="E23" s="13" t="str">
        <x:v>UAT-CAPITAL-COPPER; CAPITAL_OWNER; governed taxonomy resolved from options; PYP-FFA only where configured; no operational ID reuse</x:v>
      </x:c>
      <x:c r="F23" s="13" t="str">
        <x:v>Create Plan/Register and benefit stable identities.; Assign accountable owner and primary measures with known baseline/target.; Submit/review/complete and inspect readiness/history.</x:v>
      </x:c>
      <x:c r="G23" s="13" t="str">
        <x:v>Unknown baseline stays null and blocks where mandatory; strategy traceability; no Benefits Realization execution.</x:v>
      </x:c>
      <x:c r="H23" s="13" t="str">
        <x:v>Benefits completado y provider source_current comprobado tras el enlace inverso final del Business Case; no se acredita todo el caso compuesto automáticamente</x:v>
      </x:c>
      <x:c r="I23" s="13" t="str">
        <x:v>fresh-capital-owner-chain.json; tenant 4; Project 16; estado por etapa, no suma de fixtures</x:v>
      </x:c>
      <x:c r="J23" s="13" t="str">
        <x:v>BLOCKED</x:v>
      </x:c>
      <x:c r="K23" s="13" t="str"/>
      <x:c r="L23" s="6" t="str">
        <x:v>BLOCKED</x:v>
      </x:c>
      <x:c r="M23" s="6" t="str">
        <x:v>Not executed as this increment's end-to-end business case by scenario coverage auditor. Source/test definitions reviewed; prior release assertions are historical only.</x:v>
      </x:c>
      <x:c r="N23" s="6" t="str">
        <x:v>source_tests: backend/tests/test_strategic_benefits_gate07m_ben.py::test_lifecycle_stable_identity_sod_provider_and_terminal_immutability; backend/tests/test_strategic_benefits_gate07m_ben.py::test_unknown_baseline_is_null_and_blocks_submission_with_explicit_denominators; implementation: backend/app/modules/strategic_benefits/service.py; current_increment_execution: ; evidence_class: SOURCE_REVIEW_ONLY; historical execution must be linked separately</x:v>
      </x:c>
      <x:c r="O23" s="6" t="str">
        <x:v>2026-10-15</x:v>
      </x:c>
      <x:c r="P23" s="6" t="str">
        <x:v>fresh-capital-owner-chain.json; tenant 4; Project 16; estado por etapa, no suma de fixtures</x:v>
      </x:c>
    </x:row>
    <x:row r="24" ht="105" customHeight="1">
      <x:c r="A24" s="14" t="str">
        <x:v>A16</x:v>
      </x:c>
      <x:c r="B24" s="6" t="str">
        <x:v>Commercial &amp; Contracting Strategy</x:v>
      </x:c>
      <x:c r="C24" s="6" t="str">
        <x:v>Effective commercial framework and actual source context; Disposable isolated UAT database; protected Project ID14 baseline captured; actual scoped RBAC actors</x:v>
      </x:c>
      <x:c r="D24" s="6" t="str">
        <x:v>Commercial Reviewer; Investment / Project Manager</x:v>
      </x:c>
      <x:c r="E24" s="6" t="str">
        <x:v>UAT-CAPITAL-COPPER; CAPITAL_OWNER; governed taxonomy resolved from options; PYP-FFA only where configured; no operational ID reuse</x:v>
      </x:c>
      <x:c r="F24" s="6" t="str">
        <x:v>Create strategy version and fill governed delivery/packaging/commercial model/contracting/risk allocation.; Review readiness, source currentness and warnings.; Independently complete and inspect terminal immutability.</x:v>
      </x:c>
      <x:c r="G24" s="6" t="str">
        <x:v>Strategic commercial evidence only; no procurement, contract award or commitments execution.</x:v>
      </x:c>
      <x:c r="H24" s="6" t="str">
        <x:v>Commercial completado y provider source_current comprobado tras el Business Case final; no se infiere aprobación de inversión</x:v>
      </x:c>
      <x:c r="I24" s="6" t="str">
        <x:v>fresh-capital-owner-chain.json; tenant 4; Project 16; estado por etapa, no suma de fixtures</x:v>
      </x:c>
      <x:c r="J24" s="6" t="str">
        <x:v>BLOCKED</x:v>
      </x:c>
      <x:c r="K24" s="6" t="str"/>
      <x:c r="L24" s="6" t="str">
        <x:v>BLOCKED</x:v>
      </x:c>
      <x:c r="M24" s="6" t="str">
        <x:v>Not executed as this increment's end-to-end business case by scenario coverage auditor. Source/test definitions reviewed; prior release assertions are historical only.</x:v>
      </x:c>
      <x:c r="N24" s="6" t="str">
        <x:v>source_tests: backend/tests/test_commercial_strategy_gate07m_comm.py::test_lifecycle_etag_idempotency_sod_provider_and_terminal_immutability; backend/tests/test_commercial_strategy_gate07m_comm.py::test_tailoring_applies_only_to_matching_project_context_and_rejects_invalid_rules; implementation: backend/app/modules/commercial_strategy/service.py; current_increment_execution: ; evidence_class: SOURCE_REVIEW_ONLY; historical execution must be linked separately</x:v>
      </x:c>
      <x:c r="O24" s="6" t="str">
        <x:v>2026-10-15</x:v>
      </x:c>
      <x:c r="P24" s="6" t="str">
        <x:v>fresh-capital-owner-chain.json; tenant 4; Project 16; estado por etapa, no suma de fixtures</x:v>
      </x:c>
    </x:row>
    <x:row r="25" ht="105" customHeight="1">
      <x:c r="A25" s="15" t="str">
        <x:v>A17</x:v>
      </x:c>
      <x:c r="B25" s="13" t="str">
        <x:v>FEL and Definition Maturity / PDRI-compatible assessment</x:v>
      </x:c>
      <x:c r="C25" s="13" t="str">
        <x:v>Effective stage framework, canonical Project and stage entry readiness; Disposable isolated UAT database; protected Project ID14 baseline captured; actual scoped RBAC actors</x:v>
      </x:c>
      <x:c r="D25" s="13" t="str">
        <x:v>Technical Assurance / FEL Reviewer; Investment / Project Manager</x:v>
      </x:c>
      <x:c r="E25" s="13" t="str">
        <x:v>UAT-CAPITAL-COPPER; CAPITAL_OWNER; governed taxonomy resolved from options; PYP-FFA only where configured; no operational ID reuse</x:v>
      </x:c>
      <x:c r="F25" s="13" t="str">
        <x:v>Start FEL and complete stage-specific maturity assessment.; Submit review and independent stage completion without skipping.; Inspect blocking elements/actions and immutable history.</x:v>
      </x:c>
      <x:c r="G25" s="13" t="str">
        <x:v>FEL Stage is lifecycle context, not numeric maturity; score alone cannot hide mandatory gaps.</x:v>
      </x:c>
      <x:c r="H25" s="13" t="str">
        <x:v>Las etapas FEL 1, FEL 2 y FEL 3 recorrieron assessment y revisión independiente antes de las fuentes finales. El Business Case final completado consume la definición vigente; no equivale a aprobación FID</x:v>
      </x:c>
      <x:c r="I25" s="13" t="str">
        <x:v>fresh-capital-owner-chain.json; tenant 4; Project 16; estado por etapa, no suma de fixtures</x:v>
      </x:c>
      <x:c r="J25" s="13" t="str">
        <x:v>BLOCKED</x:v>
      </x:c>
      <x:c r="K25" s="13" t="str"/>
      <x:c r="L25" s="6" t="str">
        <x:v>BLOCKED</x:v>
      </x:c>
      <x:c r="M25" s="6" t="str">
        <x:v>Not executed as this increment's end-to-end business case by scenario coverage auditor. Source/test definitions reviewed; prior release assertions are historical only.</x:v>
      </x:c>
      <x:c r="N25" s="6" t="str">
        <x:v>source_tests: backend/tests/test_project_definition_gate07j_fel.py::test_custom_framework_happy_path_supplies_gate07j_evidence_without_fid; backend/tests/test_project_definition_gate07j_fel.py::test_governance_stage_skip_staleness_and_completed_immutability; implementation: backend/app/modules/project_definition/service.py; current_increment_execution: ; evidence_class: SOURCE_REVIEW_ONLY; historical execution must be linked separately</x:v>
      </x:c>
      <x:c r="O25" s="6" t="str">
        <x:v>2026-10-15</x:v>
      </x:c>
      <x:c r="P25" s="6" t="str">
        <x:v>fresh-capital-owner-chain.json; tenant 4; Project 16; estado por etapa, no suma de fixtures</x:v>
      </x:c>
    </x:row>
    <x:row r="26" ht="105" customHeight="1">
      <x:c r="A26" s="14" t="str">
        <x:v>A18</x:v>
      </x:c>
      <x:c r="B26" s="6" t="str">
        <x:v>Basic Data Readiness</x:v>
      </x:c>
      <x:c r="C26" s="6" t="str">
        <x:v>Stage-aware effective Basic Data policy and requirements; Disposable isolated UAT database; protected Project ID14 baseline captured; actual scoped RBAC actors</x:v>
      </x:c>
      <x:c r="D26" s="6" t="str">
        <x:v>Technical Assurance / FEL Reviewer; Project Controls</x:v>
      </x:c>
      <x:c r="E26" s="6" t="str">
        <x:v>UAT-CAPITAL-COPPER; CAPITAL_OWNER; governed taxonomy resolved from options; PYP-FFA only where configured; no operational ID reuse</x:v>
      </x:c>
      <x:c r="F26" s="6" t="str">
        <x:v>Populate data items with availability/quality/confidence/source refs.; Independently validate items and complete readiness assessment.; Inspect exact denominator and critical missing/expired data blockers.</x:v>
      </x:c>
      <x:c r="G26" s="6" t="str">
        <x:v>Basic Data is independent of FEL/PDRI; 90% cannot hide critical geotechnical missing data.</x:v>
      </x:c>
      <x:c r="H26" s="6" t="str">
        <x:v>Basic Data completó su lifecycle con validación y revisión independientes; el caso formal completo no se infiere solo de su provider</x:v>
      </x:c>
      <x:c r="I26" s="6" t="str">
        <x:v>fresh-capital-owner-chain.json; tenant 4; Project 16; estado por etapa, no suma de fixtures</x:v>
      </x:c>
      <x:c r="J26" s="6" t="str">
        <x:v>BLOCKED</x:v>
      </x:c>
      <x:c r="K26" s="6" t="str"/>
      <x:c r="L26" s="6" t="str">
        <x:v>BLOCKED</x:v>
      </x:c>
      <x:c r="M26" s="6" t="str">
        <x:v>Not executed as this increment's end-to-end business case by scenario coverage auditor. Source/test definitions reviewed; prior release assertions are historical only.</x:v>
      </x:c>
      <x:c r="N26" s="6" t="str">
        <x:v>source_tests: backend/tests/test_basic_data_wave2b.py::test_basic_data_mining_happy_path_exact_denominator_provider_and_authority_independence; backend/tests/test_basic_data_wave2b.py::test_basic_data_90_percent_cannot_hide_critical_missing_geotechnical; implementation: backend/app/modules/basic_data/service.py; current_increment_execution: ; evidence_class: SOURCE_REVIEW_ONLY; historical execution must be linked separately</x:v>
      </x:c>
      <x:c r="O26" s="6" t="str">
        <x:v>2026-10-15</x:v>
      </x:c>
      <x:c r="P26" s="6" t="str">
        <x:v>fresh-capital-owner-chain.json; tenant 4; Project 16; estado por etapa, no suma de fixtures</x:v>
      </x:c>
    </x:row>
    <x:row r="27" ht="105" customHeight="1">
      <x:c r="A27" s="15" t="str">
        <x:v>A19</x:v>
      </x:c>
      <x:c r="B27" s="13" t="str">
        <x:v>Risk Governance effective context</x:v>
      </x:c>
      <x:c r="C27" s="13" t="str">
        <x:v>Published scoped risk capacity/appetite/threshold policy with dates; Disposable isolated UAT database; protected Project ID14 baseline captured; actual scoped RBAC actors</x:v>
      </x:c>
      <x:c r="D27" s="13" t="str">
        <x:v>Risk Reviewer; Risk Configuration Administrator</x:v>
      </x:c>
      <x:c r="E27" s="13" t="str">
        <x:v>UAT-CAPITAL-COPPER; CAPITAL_OWNER; governed taxonomy resolved from options; PYP-FFA only where configured; no operational ID reuse</x:v>
      </x:c>
      <x:c r="F27" s="13" t="str">
        <x:v>Resolve inherited effective policy for actual Project context.; Evaluate configured thresholds against governed inputs.; Review read-only USER context and historical policy revision.</x:v>
      </x:c>
      <x:c r="G27" s="13" t="str">
        <x:v>Declarative capacity/appetite/threshold context, not automatic investment decision; project_type ≠ governance_model.</x:v>
      </x:c>
      <x:c r="H27" s="13" t="str">
        <x:v>BLOCKED NOT EXECUTED como caso UAT completo en esta revisión</x:v>
      </x:c>
      <x:c r="I27" s="13" t="str">
        <x:v>Sin acreditación completa de todos los controles del caso</x:v>
      </x:c>
      <x:c r="J27" s="13" t="str">
        <x:v>BLOCKED</x:v>
      </x:c>
      <x:c r="K27" s="13" t="str"/>
      <x:c r="L27" s="6" t="str">
        <x:v>BLOCKED</x:v>
      </x:c>
      <x:c r="M27" s="6" t="str">
        <x:v>Not executed as this increment's end-to-end business case by scenario coverage auditor. Source/test definitions reviewed; prior release assertions are historical only.</x:v>
      </x:c>
      <x:c r="N27" s="6" t="str">
        <x:v>source_tests: backend/tests/test_risk_governance_wave2b.py::test_wave2b_risk_inheritance_effective_dates_context_overrides_and_history; backend/tests/test_risk_governance_wave2b.py::test_wave2b_risk_canonical_project_classifiers_do_not_equate_mining_with_capital_owner; implementation: backend/app/modules/risk_governance/service.py; current_increment_execution: ; evidence_class: SOURCE_REVIEW_ONLY; historical execution must be linked separately</x:v>
      </x:c>
      <x:c r="O27" s="6" t="str">
        <x:v>2026-10-15</x:v>
      </x:c>
      <x:c r="P27" s="6" t="str">
        <x:v>Sin acreditación completa de todos los controles del caso</x:v>
      </x:c>
    </x:row>
    <x:row r="28" ht="105" customHeight="1">
      <x:c r="A28" s="14" t="str">
        <x:v>A20</x:v>
      </x:c>
      <x:c r="B28" s="6" t="str">
        <x:v>Risk Readiness</x:v>
      </x:c>
      <x:c r="C28" s="6" t="str">
        <x:v>Risk policy and scoped Project risks; Disposable isolated UAT database; protected Project ID14 baseline captured; actual scoped RBAC actors</x:v>
      </x:c>
      <x:c r="D28" s="6" t="str">
        <x:v>Risk Reviewer; Risk Owner; independent Risk Acceptance Authority</x:v>
      </x:c>
      <x:c r="E28" s="6" t="str">
        <x:v>UAT-CAPITAL-COPPER; CAPITAL_OWNER; governed taxonomy resolved from options; PYP-FFA only where configured; no operational ID reuse</x:v>
      </x:c>
      <x:c r="F28" s="6" t="str">
        <x:v>Record inherent/residual exposure and owners/treatments.; Independently accept high residual risk where required.; Complete assessment and verify per-project/set exact coverage.</x:v>
      </x:c>
      <x:c r="G28" s="6" t="str">
        <x:v>Current completed governed readiness; owner cannot accept own high residual; expiry/change stales current provider without rewriting history.</x:v>
      </x:c>
      <x:c r="H28" s="6" t="str">
        <x:v>Risk Assessment completado en la misma cadena por actores reales. No sustituye la auditoría completa de Risk Governance ni una cuantificación QRA</x:v>
      </x:c>
      <x:c r="I28" s="6" t="str">
        <x:v>fresh-capital-owner-chain.json; tenant 4; Project 16; estado por etapa, no suma de fixtures</x:v>
      </x:c>
      <x:c r="J28" s="6" t="str">
        <x:v>BLOCKED</x:v>
      </x:c>
      <x:c r="K28" s="6" t="str"/>
      <x:c r="L28" s="6" t="str">
        <x:v>BLOCKED</x:v>
      </x:c>
      <x:c r="M28" s="6" t="str">
        <x:v>Not executed as this increment's end-to-end business case by scenario coverage auditor. Source/test definitions reviewed; prior release assertions are historical only.</x:v>
      </x:c>
      <x:c r="N28" s="6" t="str">
        <x:v>source_tests: backend/tests/test_risk_readiness_gate07j_risk.py::test_project_and_project_set_happy_path_supply_current_governed_evidence; backend/tests/test_risk_readiness_gate07j_risk.py::test_owner_cannot_accept_own_high_residual_and_etag_is_enforced; implementation: backend/app/modules/risk_readiness/service.py; current_increment_execution: ; evidence_class: SOURCE_REVIEW_ONLY; historical execution must be linked separately</x:v>
      </x:c>
      <x:c r="O28" s="6" t="str">
        <x:v>2026-10-15</x:v>
      </x:c>
      <x:c r="P28" s="6" t="str">
        <x:v>fresh-capital-owner-chain.json; tenant 4; Project 16; estado por etapa, no suma de fixtures</x:v>
      </x:c>
    </x:row>
    <x:row r="29" ht="105" customHeight="1">
      <x:c r="A29" s="15" t="str">
        <x:v>A21</x:v>
      </x:c>
      <x:c r="B29" s="13" t="str">
        <x:v>Permit Readiness</x:v>
      </x:c>
      <x:c r="C29" s="13" t="str">
        <x:v>Contextual permit requirements/catalog and actual applicable Project permits; Disposable isolated UAT database; protected Project ID14 baseline captured; actual scoped RBAC actors</x:v>
      </x:c>
      <x:c r="D29" s="13" t="str">
        <x:v>Investment / Project Manager; Permit Reviewer</x:v>
      </x:c>
      <x:c r="E29" s="13" t="str">
        <x:v>UAT-CAPITAL-COPPER; CAPITAL_OWNER; governed taxonomy resolved from options; PYP-FFA only where configured; no operational ID reuse</x:v>
      </x:c>
      <x:c r="F29" s="13" t="str">
        <x:v>Assign requirements/applicability and permit records.; Record issued status, dates and blocking/nonblocking conditions.; Complete current Project/set assessment; inspect exact contextual Class A coverage.</x:v>
      </x:c>
      <x:c r="G29" s="13" t="str">
        <x:v>Missing/submitted/rejected/suspended/expired permits block required FFA; no fabricated coverage.</x:v>
      </x:c>
      <x:c r="H29" s="13" t="str">
        <x:v>Permit completó su lifecycle y assessment mediante comandos normales y política efectiva; no se escribió un provider terminal prefabricado</x:v>
      </x:c>
      <x:c r="I29" s="13" t="str">
        <x:v>fresh-capital-owner-chain.json; tenant 4; Project 16; estado por etapa, no suma de fixtures</x:v>
      </x:c>
      <x:c r="J29" s="13" t="str">
        <x:v>BLOCKED</x:v>
      </x:c>
      <x:c r="K29" s="13" t="str"/>
      <x:c r="L29" s="6" t="str">
        <x:v>BLOCKED</x:v>
      </x:c>
      <x:c r="M29" s="6" t="str">
        <x:v>Not executed as this increment's end-to-end business case by scenario coverage auditor. Source/test definitions reviewed; prior release assertions are historical only.</x:v>
      </x:c>
      <x:c r="N29" s="6" t="str">
        <x:v>source_tests: backend/tests/test_permit_readiness_gate07j_permit.py::test_happy_path_project_and_project_set_supply_current_evidence; backend/tests/test_permit_readiness_gate07j_permit.py::test_project_set_denominator_only_counts_contextual_class_a_projects; implementation: backend/app/modules/permit_readiness/service.py; current_increment_execution: ; evidence_class: SOURCE_REVIEW_ONLY; historical execution must be linked separately</x:v>
      </x:c>
      <x:c r="O29" s="6" t="str">
        <x:v>2026-10-15</x:v>
      </x:c>
      <x:c r="P29" s="6" t="str">
        <x:v>fresh-capital-owner-chain.json; tenant 4; Project 16; estado por etapa, no suma de fixtures</x:v>
      </x:c>
    </x:row>
    <x:row r="30" ht="92" customHeight="1">
      <x:c r="A30" s="14" t="str">
        <x:v>A22</x:v>
      </x:c>
      <x:c r="B30" s="6" t="str">
        <x:v>Owner Capability Readiness</x:v>
      </x:c>
      <x:c r="C30" s="6" t="str">
        <x:v>Effective owner framework, actual sponsor/accountability and evidence; Disposable isolated UAT database; protected Project ID14 baseline captured; actual scoped RBAC actors</x:v>
      </x:c>
      <x:c r="D30" s="6" t="str">
        <x:v>Project Sponsor; Investment / Project Manager; independent Owner Capability Reviewer</x:v>
      </x:c>
      <x:c r="E30" s="6" t="str">
        <x:v>UAT-CAPITAL-COPPER; CAPITAL_OWNER; governed taxonomy resolved from options; PYP-FFA only where configured; no operational ID reuse</x:v>
      </x:c>
      <x:c r="F30" s="6" t="str">
        <x:v>Rate configured maturity separately from quality and confidence.; Record internal/external/hybrid sourcing, gaps and mitigations.; Independent review/completion; inspect exact blockers, staleness and history.</x:v>
      </x:c>
      <x:c r="G30" s="6" t="str">
        <x:v>Owner capability is not resource planning/contractor capability/operational readiness; critical gaps remain blockers even after accepted mitigation.</x:v>
      </x:c>
      <x:c r="H30" s="6" t="str">
        <x:v>Owner Capability completó preparación, revisión y completion reales; el caso formal y sus negativos permanecen sin acreditación integral</x:v>
      </x:c>
      <x:c r="I30" s="6" t="str">
        <x:v>fresh-capital-owner-chain.json; tenant 4; Project 16; estado por etapa, no suma de fixtures</x:v>
      </x:c>
      <x:c r="J30" s="6" t="str">
        <x:v>BLOCKED</x:v>
      </x:c>
      <x:c r="K30" s="6" t="str"/>
      <x:c r="L30" s="6" t="str">
        <x:v>BLOCKED</x:v>
      </x:c>
      <x:c r="M30" s="6" t="str">
        <x:v>Not executed as this increment's end-to-end business case by scenario coverage auditor. Source/test definitions reviewed; prior release assertions are historical only.</x:v>
      </x:c>
      <x:c r="N30" s="6" t="str">
        <x:v>source_tests: backend/tests/test_owner_capability_wave3b.py::test_happy_path_immutable_provider_and_history; backend/tests/test_owner_capability_wave3b.py::test_critical_gap_remains_blocker_even_with_accepted_mitigation; implementation: backend/app/modules/owner_capability/service.py; current_increment_execution: ; evidence_class: SOURCE_REVIEW_ONLY; historical execution must be linked separately</x:v>
      </x:c>
      <x:c r="O30" s="6" t="str">
        <x:v>2026-10-15</x:v>
      </x:c>
      <x:c r="P30" s="6" t="str">
        <x:v>fresh-capital-owner-chain.json; tenant 4; Project 16; estado por etapa, no suma de fixtures</x:v>
      </x:c>
    </x:row>
    <x:row r="31" ht="105" customHeight="1">
      <x:c r="A31" s="15" t="str">
        <x:v>A23</x:v>
      </x:c>
      <x:c r="B31" s="13" t="str">
        <x:v>Funding</x:v>
      </x:c>
      <x:c r="C31" s="13" t="str">
        <x:v>Published funding policy, approved funds and relevant Project/portfolio monetary requirements; Disposable isolated UAT database; protected Project ID14 baseline captured; actual scoped RBAC actors</x:v>
      </x:c>
      <x:c r="D31" s="13" t="str">
        <x:v>Cost / Finance Reviewer; Funding Planner; independent Funding Approver</x:v>
      </x:c>
      <x:c r="E31" s="13" t="str">
        <x:v>UAT-CAPITAL-COPPER; CAPITAL_OWNER; governed taxonomy resolved from options; PYP-FFA only where configured; no operational ID reuse</x:v>
      </x:c>
      <x:c r="F31" s="13" t="str">
        <x:v>Create and govern Funding Source→Fund→Funding Assignment.; Independently confirm assignments and refresh readiness.; Inspect current coverage/currency/restrictions and immutable history.</x:v>
      </x:c>
      <x:c r="G31" s="13" t="str">
        <x:v>Funding ≠ Budget; no double-counting parent-child assignments, no accounting/treasury mutation.</x:v>
      </x:c>
      <x:c r="H31" s="13" t="str">
        <x:v>Funds y asignaciones recorrieron autorización y confirmación con actores independientes; no equivalen a FID ni a ejecución del Project</x:v>
      </x:c>
      <x:c r="I31" s="13" t="str">
        <x:v>fresh-capital-owner-chain.json; tenant 4; Project 16; estado por etapa, no suma de fixtures</x:v>
      </x:c>
      <x:c r="J31" s="13" t="str">
        <x:v>BLOCKED</x:v>
      </x:c>
      <x:c r="K31" s="13" t="str"/>
      <x:c r="L31" s="6" t="str">
        <x:v>BLOCKED</x:v>
      </x:c>
      <x:c r="M31" s="6" t="str">
        <x:v>Not executed as this increment's end-to-end business case by scenario coverage auditor. Source/test definitions reviewed; prior release assertions are historical only.</x:v>
      </x:c>
      <x:c r="N31" s="6" t="str">
        <x:v>source_tests: backend/tests/test_funds_manager_gate07j_fund.py::test_confirmed_coverage_supplies_governed_gate07j_evidence_and_stales_explicitly; backend/tests/test_funds_manager_gate07j_fund.py::test_four_eyes_etag_and_idempotency_controls_are_enforced; implementation: backend/app/modules/funds_manager/service.py; current_increment_execution: ; evidence_class: SOURCE_REVIEW_ONLY; historical execution must be linked separately</x:v>
      </x:c>
      <x:c r="O31" s="6" t="str">
        <x:v>2026-10-15</x:v>
      </x:c>
      <x:c r="P31" s="6" t="str">
        <x:v>fresh-capital-owner-chain.json; tenant 4; Project 16; estado por etapa, no suma de fixtures</x:v>
      </x:c>
    </x:row>
    <x:row r="32" ht="105" customHeight="1">
      <x:c r="A32" s="14" t="str">
        <x:v>A24</x:v>
      </x:c>
      <x:c r="B32" s="6" t="str">
        <x:v>Economic / Financial Model</x:v>
      </x:c>
      <x:c r="C32" s="6" t="str">
        <x:v>Actual BC/Project baseline, funding evidence and published FIN configuration; Disposable isolated UAT database; protected Project ID14 baseline captured; actual scoped RBAC actors</x:v>
      </x:c>
      <x:c r="D32" s="6" t="str">
        <x:v>Cost / Finance Reviewer; independent FIN Reviewer</x:v>
      </x:c>
      <x:c r="E32" s="6" t="str">
        <x:v>UAT-CAPITAL-COPPER; CAPITAL_OWNER; governed taxonomy resolved from options; PYP-FFA only where configured; no operational ID reuse</x:v>
      </x:c>
      <x:c r="F32" s="6" t="str">
        <x:v>Create deterministic commercial/economic model; populate cashflow, WACC and capital instruments.; Calculate and reconcile funding, debt and returns.; Submit/independently complete, bridge BC exact FIN id/version/hash, inspect source lineage.</x:v>
      </x:c>
      <x:c r="G32" s="6" t="str">
        <x:v>NPV/IRR/BCR/Payback/WACC/capital structure/DSCR/LLCR/MOIC controlled; no Treasury/Accounting write-back.</x:v>
      </x:c>
      <x:c r="H32" s="6" t="str">
        <x:v>Modelo económico financiero y versión completados con fuentes reales. Sus resultados no sustituyen Five Case final, Gate ni decisión de inversión</x:v>
      </x:c>
      <x:c r="I32" s="6" t="str">
        <x:v>fresh-capital-owner-chain.json; tenant 4; Project 16; estado por etapa, no suma de fixtures</x:v>
      </x:c>
      <x:c r="J32" s="6" t="str">
        <x:v>BLOCKED</x:v>
      </x:c>
      <x:c r="K32" s="6" t="str"/>
      <x:c r="L32" s="6" t="str">
        <x:v>BLOCKED</x:v>
      </x:c>
      <x:c r="M32" s="6" t="str">
        <x:v>Not executed as this increment's end-to-end business case by scenario coverage auditor. Source/test definitions reviewed; prior release assertions are historical only.</x:v>
      </x:c>
      <x:c r="N32" s="6" t="str">
        <x:v>source_tests: backend/tests/test_economic_financial_model_gate07m_fin.py::test_commercial_model_lifecycle_readiness_provider_and_immutability; backend/tests/test_gate07m_fid_e2e.py::test_new_pyp_ffa_fid_path_full_stack_revalidation; implementation: backend/app/modules/economic_financial_model/service.py; current_increment_execution: ; evidence_class: SOURCE_REVIEW_ONLY; historical execution must be linked separately</x:v>
      </x:c>
      <x:c r="O32" s="6" t="str">
        <x:v>2026-10-15</x:v>
      </x:c>
      <x:c r="P32" s="6" t="str">
        <x:v>fresh-capital-owner-chain.json; tenant 4; Project 16; estado por etapa, no suma de fixtures</x:v>
      </x:c>
    </x:row>
    <x:row r="33" ht="92" customHeight="1">
      <x:c r="A33" s="15" t="str">
        <x:v>A25</x:v>
      </x:c>
      <x:c r="B33" s="13" t="str">
        <x:v>QRA Foundation</x:v>
      </x:c>
      <x:c r="C33" s="13" t="str">
        <x:v>Effective methodology and actual governed Cost/Schedule sources; released engine capability; Disposable isolated UAT database; protected Project ID14 baseline captured; actual scoped RBAC actors</x:v>
      </x:c>
      <x:c r="D33" s="13" t="str">
        <x:v>QRA Analyst; independent QRA Model Reviewer</x:v>
      </x:c>
      <x:c r="E33" s="13" t="str">
        <x:v>UAT-CAPITAL-COPPER; CAPITAL_OWNER; governed taxonomy resolved from options; PYP-FFA only where configured; no operational ID reuse</x:v>
      </x:c>
      <x:c r="F33" s="13" t="str">
        <x:v>Create/validate source snapshots and input populations.; Configure distributions/ranges/correlations/model definition with exact denominator.; Submit/independently approve model for analysis and inspect staleness.</x:v>
      </x:c>
      <x:c r="G33" s="13" t="str">
        <x:v>APPROVED_FOR_ANALYSIS requires complete current source/methodology and SoD; Foundation does not simulate.</x:v>
      </x:c>
      <x:c r="H33" s="13" t="str">
        <x:v>Preview de política efectiva capturado. La exigencia contextual QRA debe leerse de ese resultado; no se infiere una corrida ni se fabrica evidencia cuando no corresponde</x:v>
      </x:c>
      <x:c r="I33" s="13" t="str">
        <x:v>fresh-capital-owner-chain.json; tenant 4; Project 16; estado por etapa, no suma de fixtures</x:v>
      </x:c>
      <x:c r="J33" s="13" t="str">
        <x:v>BLOCKED</x:v>
      </x:c>
      <x:c r="K33" s="13" t="str"/>
      <x:c r="L33" s="6" t="str">
        <x:v>BLOCKED</x:v>
      </x:c>
      <x:c r="M33" s="6" t="str">
        <x:v>Not executed as this increment's end-to-end business case by scenario coverage auditor. Source/test definitions reviewed; prior release assertions are historical only.</x:v>
      </x:c>
      <x:c r="N33" s="6" t="str">
        <x:v>source_tests: backend/tests/test_qra_foundation.py::test_cost_schedule_model_happy_path_hash_and_zero_simulation; backend/tests/test_qra_foundation.py::test_model_preparer_and_methodology_author_sod; implementation: backend/app/modules/qra_foundation/service.py; current_increment_execution: ; evidence_class: SOURCE_REVIEW_ONLY; historical execution must be linked separately</x:v>
      </x:c>
      <x:c r="O33" s="6" t="str">
        <x:v>2026-10-15</x:v>
      </x:c>
      <x:c r="P33" s="6" t="str">
        <x:v>fresh-capital-owner-chain.json; tenant 4; Project 16; estado por etapa, no suma de fixtures</x:v>
      </x:c>
    </x:row>
    <x:row r="34" ht="92" customHeight="1">
      <x:c r="A34" s="14" t="str">
        <x:v>A26</x:v>
      </x:c>
      <x:c r="B34" s="6" t="str">
        <x:v>Contextual QRA Results</x:v>
      </x:c>
      <x:c r="C34" s="6" t="str">
        <x:v>Applicable policy and current APPROVED_FOR_ANALYSIS supported model; QRA not universal; Disposable isolated UAT database; protected Project ID14 baseline captured; actual scoped RBAC actors</x:v>
      </x:c>
      <x:c r="D34" s="6" t="str">
        <x:v>QRA Analyst; independent QRA Result Reviewer</x:v>
      </x:c>
      <x:c r="E34" s="6" t="str">
        <x:v>UAT-CAPITAL-COPPER; CAPITAL_OWNER; governed taxonomy resolved from options; PYP-FFA only where configured; no operational ID reuse</x:v>
      </x:c>
      <x:c r="F34" s="6" t="str">
        <x:v>Create/execute supported Cost or elapsed Schedule run.; Independent review then ACCEPTED; inspect percentiles/probability/convergence/warnings/provenance.; Resolve contextual provider and verify acceptance/currentness/type/scope/capability.</x:v>
      </x:c>
      <x:c r="G34" s="6" t="str">
        <x:v>QRA_RESULT_PROVIDER availability is not universal requirement; no Integrated QRA; no auto FID/contingency/Budget/schedule mutation.</x:v>
      </x:c>
      <x:c r="H34" s="6" t="str">
        <x:v>Preview de política efectiva capturado. La exigencia contextual QRA debe leerse de ese resultado; no se infiere una corrida ni se fabrica evidencia cuando no corresponde</x:v>
      </x:c>
      <x:c r="I34" s="6" t="str">
        <x:v>fresh-capital-owner-chain.json; tenant 4; Project 16; estado por etapa, no suma de fixtures</x:v>
      </x:c>
      <x:c r="J34" s="6" t="str">
        <x:v>BLOCKED</x:v>
      </x:c>
      <x:c r="K34" s="6" t="str"/>
      <x:c r="L34" s="6" t="str">
        <x:v>BLOCKED</x:v>
      </x:c>
      <x:c r="M34" s="6" t="str">
        <x:v>Not executed as this increment's end-to-end business case by scenario coverage auditor. Source/test definitions reviewed; prior release assertions are historical only.</x:v>
      </x:c>
      <x:c r="N34" s="6" t="str">
        <x:v>source_tests: backend/tests/test_qra_engine.py::test_completed_run_immutable_separate_review_acceptance_provider; backend/tests/test_qra_evidence_stack.py::test_actual_cost_schedule_policy_bc_gate_and_fid_path; implementation: backend/app/modules/qra_engine/service.py; current_increment_execution: ; evidence_class: SOURCE_REVIEW_ONLY; historical execution must be linked separately</x:v>
      </x:c>
      <x:c r="O34" s="6" t="str">
        <x:v>2026-10-15</x:v>
      </x:c>
      <x:c r="P34" s="6" t="str">
        <x:v>fresh-capital-owner-chain.json; tenant 4; Project 16; estado por etapa, no suma de fixtures</x:v>
      </x:c>
    </x:row>
    <x:row r="35" ht="180" customHeight="1">
      <x:c r="A35" s="15" t="str">
        <x:v>A27</x:v>
      </x:c>
      <x:c r="B35" s="13" t="str">
        <x:v>Gate Preparation / Evidence / Decision Criteria</x:v>
      </x:c>
      <x:c r="C35" s="13" t="str">
        <x:v>Reconstrucción autorizada; Tenant 1, Portfolio 3 y Project 4 verificados. Perfil y política efectivos publicados; cuatro requisitos Class B bloqueantes sin referencia VALID; documentos representativos UAT con ámbito y hash verificables.</x:v>
      </x:c>
      <x:c r="D35" s="13" t="str">
        <x:v>Gate Preparer; independent Evidence Reviewer</x:v>
      </x:c>
      <x:c r="E35" s="13" t="str">
        <x:v>UAT-CAPITAL-COPPER; CAPITAL_OWNER; governed taxonomy resolved from options; PYP-FFA only where configured; no operational ID reuse</x:v>
      </x:c>
      <x:c r="F35" s="13" t="str">
        <x:v>El autor 4 ejecutó add_evidence para permit-readiness, contracting-strategy-readiness, execution-plan-readiness y schedule-maturity, generando SUBMITTED. El revisor 5 ejecutó validate_evidence con la revisión vigente y obtuvo VALID en las cuatro. Se consultaron readiness y project_readiness y se conciliaron 19 filas required más la fila opcional C.</x:v>
      </x:c>
      <x:c r="G35" s="13" t="str">
        <x:v>Class B VALID, cobertura 1 de 1 y readiness READY</x:v>
      </x:c>
      <x:c r="H35" s="13" t="str">
        <x:v>Backend: PASS. Readiness capturada READY; cobertura 100.0%; cuatro Class B verificadas True.</x:v>
      </x:c>
      <x:c r="I35" s="13" t="str">
        <x:v>outputs/.qa/gate07j-controlled-class-b-rebuild/fresh-capital-owner-chain.json
outputs/.qa/gate07j-controlled-class-b-rebuild/selected-delivery-20261016.json
outputs/.qa/gate07j-controlled-class-b-rebuild/browser-actual-3/strategic-capital-current.xml</x:v>
      </x:c>
      <x:c r="J35" s="13" t="str">
        <x:v>PASS</x:v>
      </x:c>
      <x:c r="K35" s="13" t="str"/>
      <x:c r="L35" s="6" t="str">
        <x:v>BLOCKED</x:v>
      </x:c>
      <x:c r="M35" s="6" t="str">
        <x:v>Not executed as this increment's end-to-end business case by scenario coverage auditor. Source/test definitions reviewed; prior release assertions are historical only.</x:v>
      </x:c>
      <x:c r="N35" s="6" t="str">
        <x:v>source_tests: backend/tests/test_investment_gate_preparation_gate07j.py::test_happy_path_freezes_decision_ready_package_without_fid_authority; backend/tests/test_gate07j_evid2_decision_criteria.py; implementation: backend/app/modules/investment_gate_preparation/service.py; current_increment_execution: ; evidence_class: SOURCE_REVIEW_ONLY; historical execution must be linked separately</x:v>
      </x:c>
      <x:c r="O35" s="6" t="str">
        <x:v>2026-10-15</x:v>
      </x:c>
      <x:c r="P35" s="6" t="str">
        <x:v>fresh-capital-owner-chain.json; tenant 4; Project 16; estado por etapa, no suma de fixtures</x:v>
      </x:c>
      <x:c r="Q35" s="6" t="str">
        <x:v>BLOCKED</x:v>
      </x:c>
      <x:c r="R35" s="6" t="str">
        <x:v>Gate creado como DRAFT con fuentes actuales. La política exige cuatro referencias Class B todavía sin presentación y validación independiente; readiness BLOCKED. No es defecto por provider STALE</x:v>
      </x:c>
      <x:c r="S35" s="6" t="str">
        <x:v>fresh-capital-owner-chain.json; tenant 4; Project 16; estado por etapa, no suma de fixtures</x:v>
      </x:c>
      <x:c r="T35" s="29" t="d">
        <x:v>2026-10-15T22:56:32.584Z</x:v>
      </x:c>
      <x:c r="U35" s="6" t="str">
        <x:v>preflight.json. BLOCKED_UAT_DATABASE_NOT_AVAILABLE. Tenant 4 / Project 16 no verificables en vivo. Pruebas y navegador NOT_RUN. Los JSON previos son historia, no sustituyen PostgreSQL</x:v>
      </x:c>
      <x:c r="V35" s="6" t="str">
        <x:v>BLOCKED</x:v>
      </x:c>
      <x:c r="W35" s="6" t="str">
        <x:v>BLOCKED_UAT_DATABASE_NOT_AVAILABLE. No se revalidó Gate07J ni se presentaron o validaron referencias Class B. La base UAT tmpfs está detenida y no dispone de PG_VERSION ni backup coincidente</x:v>
      </x:c>
      <x:c r="X35" s="6" t="str">
        <x:v>preflight.json. BLOCKED_UAT_DATABASE_NOT_AVAILABLE. Tenant 4 / Project 16 no verificables en vivo. Pruebas y navegador NOT_RUN. Los JSON previos son historia, no sustituyen PostgreSQL</x:v>
      </x:c>
      <x:c r="Y35" s="29" t="d">
        <x:v>2026-10-16T21:39:07.000Z</x:v>
      </x:c>
      <x:c r="Z35" s="6" t="str">
        <x:v>outputs/.qa/gate07j-controlled-class-b-rebuild/fresh-capital-owner-chain.json
outputs/.qa/gate07j-controlled-class-b-rebuild/selected-delivery-20261016.json
outputs/.qa/gate07j-controlled-class-b-rebuild/browser-actual-3/strategic-capital-current.xml</x:v>
      </x:c>
    </x:row>
    <x:row r="36" ht="180" customHeight="1">
      <x:c r="A36" s="14" t="str">
        <x:v>A28</x:v>
      </x:c>
      <x:c r="B36" s="6" t="str">
        <x:v>Business Case ↔ Gate source consistency</x:v>
      </x:c>
      <x:c r="C36" s="6" t="str">
        <x:v>Reconstrucción autorizada; Tenant 1, Portfolio 3 y Project 4 verificados. Readiness READY y cobertura del Project 100%; Business Case final y fuentes gobernadas actuales disponibles sin modificar sus resultados para el Gate.</x:v>
      </x:c>
      <x:c r="D36" s="6" t="str">
        <x:v>Gate Preparer; Cost / Finance Reviewer</x:v>
      </x:c>
      <x:c r="E36" s="6" t="str">
        <x:v>UAT-CAPITAL-COPPER; CAPITAL_OWNER; governed taxonomy resolved from options; PYP-FFA only where configured; no operational ID reuse</x:v>
      </x:c>
      <x:c r="F36" s="6" t="str">
        <x:v>Se compararon los IDs, versiones y hashes de las referencias proveedor capturadas con Business Case, FIN, Benefits, Commercial, FEL, Risk, Funding, Permit y fuentes de Portfolio. Se conservaron provider_evidence, política capturada, source_current y cross_source_consistency; no se reemplazaron proveedores por referencias manuales.</x:v>
      </x:c>
      <x:c r="G36" s="6" t="str">
        <x:v>Fuentes y hashes consistentes según el contrato aplicable</x:v>
      </x:c>
      <x:c r="H36" s="6" t="str">
        <x:v>Backend: PASS. Consistencia antes del freeze comprobada True; situación actual Post-FID NO_REACTIVATION_REQUIRED, source_current=True.</x:v>
      </x:c>
      <x:c r="I36" s="6" t="str">
        <x:v>outputs/.qa/gate07j-controlled-class-b-rebuild/fresh-capital-owner-chain.json
outputs/.qa/gate07j-controlled-class-b-rebuild/selected-delivery-20261016.json
outputs/.qa/gate07j-controlled-class-b-rebuild/browser-actual-3/strategic-capital-current.xml</x:v>
      </x:c>
      <x:c r="J36" s="6" t="str">
        <x:v>PASS</x:v>
      </x:c>
      <x:c r="K36" s="6" t="str"/>
      <x:c r="L36" s="6" t="str">
        <x:v>BLOCKED</x:v>
      </x:c>
      <x:c r="M36" s="6" t="str">
        <x:v>Not executed as this increment's end-to-end business case by scenario coverage auditor. Source/test definitions reviewed; prior release assertions are historical only.</x:v>
      </x:c>
      <x:c r="N36" s="6" t="str">
        <x:v>source_tests: backend/tests/test_qra_evidence_policy.py::test_business_case_qra_strict_consistency_reuses_cross_source_mismatch; backend/tests/test_qra_evidence_policy.py::test_bc_consistency_compares_trusted_native_project_source_not_readiness_wrapper; implementation: backend/app/modules/investment_evidence_policy/service.py; current_increment_execution: ; evidence_class: SOURCE_REVIEW_ONLY; historical execution must be linked separately</x:v>
      </x:c>
      <x:c r="O36" s="6" t="str">
        <x:v>2026-10-15</x:v>
      </x:c>
      <x:c r="P36" s="6" t="str">
        <x:v>fresh-capital-owner-chain.json; tenant 4; Project 16; estado por etapa, no suma de fixtures</x:v>
      </x:c>
      <x:c r="Q36" s="6" t="str">
        <x:v>BLOCKED</x:v>
      </x:c>
      <x:c r="R36" s="6" t="str">
        <x:v>Business Case, FIN, Benefits y Commercial actuales antes del Gate; falta la cobertura de evidencias controladas y la auditoría completa de compatibilidad y negativos</x:v>
      </x:c>
      <x:c r="S36" s="6" t="str">
        <x:v>fresh-capital-owner-chain.json; tenant 4; Project 16; estado por etapa, no suma de fixtures</x:v>
      </x:c>
      <x:c r="T36" s="29" t="d">
        <x:v>2026-10-15T22:56:32.584Z</x:v>
      </x:c>
      <x:c r="U36" s="6" t="str">
        <x:v>preflight.json. BLOCKED_UAT_DATABASE_NOT_AVAILABLE. Tenant 4 / Project 16 no verificables en vivo. Pruebas y navegador NOT_RUN. Los JSON previos son historia, no sustituyen PostgreSQL</x:v>
      </x:c>
      <x:c r="V36" s="6" t="str">
        <x:v>BLOCKED</x:v>
      </x:c>
      <x:c r="W36" s="6" t="str">
        <x:v>BLOCKED_UAT_DATABASE_NOT_AVAILABLE. La consistencia Business Case / Gate y su currentness no se pudieron verificar en vivo. El resultado anterior se conserva como histórico</x:v>
      </x:c>
      <x:c r="X36" s="6" t="str">
        <x:v>preflight.json. BLOCKED_UAT_DATABASE_NOT_AVAILABLE. Tenant 4 / Project 16 no verificables en vivo. Pruebas y navegador NOT_RUN. Los JSON previos son historia, no sustituyen PostgreSQL</x:v>
      </x:c>
      <x:c r="Y36" s="29" t="d">
        <x:v>2026-10-16T21:39:07.000Z</x:v>
      </x:c>
      <x:c r="Z36" s="6" t="str">
        <x:v>outputs/.qa/gate07j-controlled-class-b-rebuild/fresh-capital-owner-chain.json
outputs/.qa/gate07j-controlled-class-b-rebuild/selected-delivery-20261016.json
outputs/.qa/gate07j-controlled-class-b-rebuild/browser-actual-3/strategic-capital-current.xml</x:v>
      </x:c>
    </x:row>
    <x:row r="37" ht="180" customHeight="1">
      <x:c r="A37" s="15" t="str">
        <x:v>A29</x:v>
      </x:c>
      <x:c r="B37" s="13" t="str">
        <x:v>Freeze Gate package</x:v>
      </x:c>
      <x:c r="C37" s="13" t="str">
        <x:v>Reconstrucción autorizada; Tenant 1, Portfolio 3 y Project 4 verificados. Preparación 1 READY, fuentes actuales, referencias revisadas; autor y congelador independientes con permiso y revisión vigente.</x:v>
      </x:c>
      <x:c r="D37" s="13" t="str">
        <x:v>Gate Preparer; independent Evidence Reviewer</x:v>
      </x:c>
      <x:c r="E37" s="13" t="str">
        <x:v>UAT-CAPITAL-COPPER; CAPITAL_OWNER; governed taxonomy resolved from options; PYP-FFA only where configured; no operational ID reuse</x:v>
      </x:c>
      <x:c r="F37" s="13" t="str">
        <x:v>El autor 4 ejecutó ready_for_review y el revisor independiente 5 ejecutó freeze, pasando en cada comando la revision_version vigente, equivalente al control If-Match. Se verificaron hash inmutable, status FROZEN y handoff sin autoridad FID.</x:v>
      </x:c>
      <x:c r="G37" s="13" t="str">
        <x:v>FROZEN y READY_FOR_INVESTMENT_DECISION sin autoridad FID</x:v>
      </x:c>
      <x:c r="H37" s="13" t="str">
        <x:v>Backend: PASS. Paquete 1 FROZEN; hash a43ef7a9362c102f0eb0d878d53b388379b4410c5b1e55d364b49c35f3999583. Freeze no es FID.</x:v>
      </x:c>
      <x:c r="I37" s="13" t="str">
        <x:v>outputs/.qa/gate07j-controlled-class-b-rebuild/fresh-capital-owner-chain.json
outputs/.qa/gate07j-controlled-class-b-rebuild/selected-delivery-20261016.json
outputs/.qa/gate07j-controlled-class-b-rebuild/browser-actual-3/strategic-capital-current.xml</x:v>
      </x:c>
      <x:c r="J37" s="13" t="str">
        <x:v>PASS</x:v>
      </x:c>
      <x:c r="K37" s="13" t="str"/>
      <x:c r="L37" s="6" t="str">
        <x:v>BLOCKED</x:v>
      </x:c>
      <x:c r="M37" s="6" t="str">
        <x:v>Not executed as this increment's end-to-end business case by scenario coverage auditor. Source/test definitions reviewed; prior release assertions are historical only.</x:v>
      </x:c>
      <x:c r="N37" s="6" t="str">
        <x:v>source_tests: backend/tests/test_investment_gate_preparation_gate07j.py::test_sod_is_enforced_and_frozen_revision_is_immutable; backend/tests/test_qra_evidence_stack.py::test_actual_accepted_successor_preserves_frozen_gate_and_completed_bc; implementation: backend/app/modules/investment_gate_preparation/service.py; current_increment_execution: ; evidence_class: SOURCE_REVIEW_ONLY; historical execution must be linked separately</x:v>
      </x:c>
      <x:c r="O37" s="6" t="str">
        <x:v>2026-10-15</x:v>
      </x:c>
      <x:c r="P37" s="6" t="str">
        <x:v>fresh-capital-owner-chain.json; tenant 4; Project 16; estado por etapa, no suma de fixtures</x:v>
      </x:c>
      <x:c r="Q37" s="6" t="str">
        <x:v>BLOCKED</x:v>
      </x:c>
      <x:c r="R37" s="6" t="str">
        <x:v>Freeze no ejecutado: el paquete sigue DRAFT/BLOCKED bajo su política sin rebajar requisitos. No existe handoff frozen nuevo</x:v>
      </x:c>
      <x:c r="S37" s="6" t="str">
        <x:v>fresh-capital-owner-chain.json; tenant 4; Project 16; estado por etapa, no suma de fixtures</x:v>
      </x:c>
      <x:c r="T37" s="29" t="d">
        <x:v>2026-10-15T22:56:32.584Z</x:v>
      </x:c>
      <x:c r="U37" s="6" t="str">
        <x:v>preflight.json. BLOCKED_UAT_DATABASE_NOT_AVAILABLE. Tenant 4 / Project 16 no verificables en vivo. Pruebas y navegador NOT_RUN. Los JSON previos son historia, no sustituyen PostgreSQL</x:v>
      </x:c>
      <x:c r="V37" s="6" t="str">
        <x:v>BLOCKED</x:v>
      </x:c>
      <x:c r="W37" s="6" t="str">
        <x:v>BLOCKED_UAT_DATABASE_NOT_AVAILABLE. Freeze no ejecutado. No se reconstruyó la cadena ni se reutilizaron snapshots como estados terminales</x:v>
      </x:c>
      <x:c r="X37" s="6" t="str">
        <x:v>preflight.json. BLOCKED_UAT_DATABASE_NOT_AVAILABLE. Tenant 4 / Project 16 no verificables en vivo. Pruebas y navegador NOT_RUN. Los JSON previos son historia, no sustituyen PostgreSQL</x:v>
      </x:c>
      <x:c r="Y37" s="29" t="d">
        <x:v>2026-10-16T21:39:07.000Z</x:v>
      </x:c>
      <x:c r="Z37" s="6" t="str">
        <x:v>outputs/.qa/gate07j-controlled-class-b-rebuild/fresh-capital-owner-chain.json
outputs/.qa/gate07j-controlled-class-b-rebuild/selected-delivery-20261016.json
outputs/.qa/gate07j-controlled-class-b-rebuild/browser-actual-3/strategic-capital-current.xml</x:v>
      </x:c>
    </x:row>
    <x:row r="38" ht="180" customHeight="1">
      <x:c r="A38" s="14" t="str">
        <x:v>A30</x:v>
      </x:c>
      <x:c r="B38" s="6" t="str">
        <x:v>Investment Decision / FID</x:v>
      </x:c>
      <x:c r="C38" s="6" t="str">
        <x:v>Reconstrucción autorizada; Tenant 1, Portfolio 3 y Project 4 verificados. Preparación FROZEN con handoff READY_FOR_INVESTMENT_DECISION; Project aún pending; autoridad FID independiente y checklist de decisión disponible.</x:v>
      </x:c>
      <x:c r="D38" s="6" t="str">
        <x:v>Investment Committee / Decision Maker independent of preparer/reviewer</x:v>
      </x:c>
      <x:c r="E38" s="6" t="str">
        <x:v>UAT-CAPITAL-COPPER; CAPITAL_OWNER; governed taxonomy resolved from options; PYP-FFA only where configured; no operational ID reuse</x:v>
      </x:c>
      <x:c r="F38" s="6" t="str">
        <x:v>Se creó o reutilizó la misma decisión de la preparación, se asignó al decisor 11 y se ejecutó submit → start_review → ready con checklist. El decisor independiente 11 ejecutó decide GO. Se comprobaron is_fid, fondos y autorización de inversión, hash fuente y que Project seguía pending.</x:v>
      </x:c>
      <x:c r="G38" s="6" t="str">
        <x:v>PYP-FFA GO DECIDED con FID y fondos autorizados sin activar</x:v>
      </x:c>
      <x:c r="H38" s="6" t="str">
        <x:v>Backend: PASS. Decisión 1 DECIDED / GO; PYP-FFA, is_fid=True; sin activación automática.</x:v>
      </x:c>
      <x:c r="I38" s="6" t="str">
        <x:v>outputs/.qa/gate07j-controlled-class-b-rebuild/fresh-capital-owner-chain.json
outputs/.qa/gate07j-controlled-class-b-rebuild/selected-delivery-20261016.json
outputs/.qa/gate07j-controlled-class-b-rebuild/browser-actual-3/strategic-capital-current.xml</x:v>
      </x:c>
      <x:c r="J38" s="6" t="str">
        <x:v>PASS</x:v>
      </x:c>
      <x:c r="K38" s="6" t="str">
        <x:v>UAT-S2-003</x:v>
      </x:c>
      <x:c r="L38" s="6" t="str">
        <x:v>BLOCKED</x:v>
      </x:c>
      <x:c r="M38" s="6" t="str">
        <x:v>El ensayo FID heredado no completa el BC por BA Benefits Commercial Permit FEL FIN requeridos; no se acredita Gate07K FID nuevo empresarial</x:v>
      </x:c>
      <x:c r="N38" s="6" t="str">
        <x:v>backend-strategic-regression.xml</x:v>
      </x:c>
      <x:c r="O38" s="6" t="str">
        <x:v>2026-10-15</x:v>
      </x:c>
      <x:c r="P38" s="6" t="str">
        <x:v>Sin acreditación completa de todos los controles del caso</x:v>
      </x:c>
      <x:c r="Q38" s="6" t="str">
        <x:v>BLOCKED</x:v>
      </x:c>
      <x:c r="R38" s="6" t="str">
        <x:v>BLOCKED NOT EXECUTED como caso UAT completo en esta revisión</x:v>
      </x:c>
      <x:c r="S38" s="6" t="str">
        <x:v>Sin acreditación completa de todos los controles del caso</x:v>
      </x:c>
      <x:c r="T38" s="29" t="d">
        <x:v>2026-10-15T22:56:32.584Z</x:v>
      </x:c>
      <x:c r="U38" s="6" t="str">
        <x:v>preflight.json. BLOCKED_UAT_DATABASE_NOT_AVAILABLE. Tenant 4 / Project 16 no verificables en vivo. Pruebas y navegador NOT_RUN. Los JSON previos son historia, no sustituyen PostgreSQL</x:v>
      </x:c>
      <x:c r="V38" s="6" t="str">
        <x:v>BLOCKED</x:v>
      </x:c>
      <x:c r="W38" s="6" t="str">
        <x:v>BLOCKED_UAT_DATABASE_NOT_AVAILABLE. FID no ejecutado ni acreditado en esta continuación. No hay nueva decisión GO ni autorización de fondos</x:v>
      </x:c>
      <x:c r="X38" s="6" t="str">
        <x:v>preflight.json. BLOCKED_UAT_DATABASE_NOT_AVAILABLE. Tenant 4 / Project 16 no verificables en vivo. Pruebas y navegador NOT_RUN. Los JSON previos son historia, no sustituyen PostgreSQL</x:v>
      </x:c>
      <x:c r="Y38" s="29" t="d">
        <x:v>2026-10-16T21:39:07.000Z</x:v>
      </x:c>
      <x:c r="Z38" s="6" t="str">
        <x:v>outputs/.qa/gate07j-controlled-class-b-rebuild/fresh-capital-owner-chain.json
outputs/.qa/gate07j-controlled-class-b-rebuild/selected-delivery-20261016.json
outputs/.qa/gate07j-controlled-class-b-rebuild/browser-actual-3/strategic-capital-current.xml</x:v>
      </x:c>
    </x:row>
    <x:row r="39" ht="180" customHeight="1">
      <x:c r="A39" s="15" t="str">
        <x:v>A31</x:v>
      </x:c>
      <x:c r="B39" s="13" t="str">
        <x:v>Post-FID Governance and operational boundary</x:v>
      </x:c>
      <x:c r="C39" s="13" t="str">
        <x:v>Reconstrucción autorizada; Tenant 1, Portfolio 3 y Project 4 verificados. Decisión PYP-FFA DECIDED / GO y FID real; Project pending; configuración publicada de inicialización y activación y permisos de actores independientes.</x:v>
      </x:c>
      <x:c r="D39" s="13" t="str">
        <x:v>Post-FID Governance User; Project Workspace Initializer; independent Activator</x:v>
      </x:c>
      <x:c r="E39" s="13" t="str">
        <x:v>UAT-CAPITAL-COPPER; CAPITAL_OWNER; governed taxonomy resolved from options; PYP-FFA only where configured; no operational ID reuse</x:v>
      </x:c>
      <x:c r="F39" s="13" t="str">
        <x:v>Se ejecutó evaluate 07L y se comprobó READY_FOR_PROJECT_WORKSPACE_INITIALIZATION. El inicializador 12 obtuvo el handoff y ejecutó start y validate sin activar. Tras refresh 07L se verificó READY_FOR_PROJECT_WORKSPACE_ACTIVATION. El activador independiente 13 ejecutó activate con la revisión delegada. La verificación posterior usa refresh 07L, sin ejecutar una segunda activación, y exige NO_REACTIVATION_REQUIRED. La comprobación Chromium de la misma identidad se informa por separado según su evidencia real.</x:v>
      </x:c>
      <x:c r="G39" s="13" t="str">
        <x:v>Inicialización y activación separadas; currentness posterior correcto sin reactivación</x:v>
      </x:c>
      <x:c r="H39" s="13" t="str">
        <x:v>Backend: PASS. Post-FID inicial READY_FOR_PROJECT_WORKSPACE_INITIALIZATION; comando de activación ACTIVATED por actor 13; currentness posterior NO_REACTIVATION_REQUIRED, bloqueos [].</x:v>
      </x:c>
      <x:c r="I39" s="13" t="str">
        <x:v>outputs/.qa/gate07j-controlled-class-b-rebuild/fresh-capital-owner-chain.json
outputs/.qa/gate07j-controlled-class-b-rebuild/selected-delivery-20261016.json
outputs/.qa/gate07j-controlled-class-b-rebuild/browser-actual-3/strategic-capital-current.xml</x:v>
      </x:c>
      <x:c r="J39" s="13" t="str">
        <x:v>PASS</x:v>
      </x:c>
      <x:c r="K39" s="13" t="str"/>
      <x:c r="L39" s="6" t="str">
        <x:v>BLOCKED</x:v>
      </x:c>
      <x:c r="M39" s="6" t="str">
        <x:v>Not executed as this increment's end-to-end business case by scenario coverage auditor. Source/test definitions reviewed; prior release assertions are historical only.</x:v>
      </x:c>
      <x:c r="N39" s="6" t="str">
        <x:v>source_tests: backend/tests/test_post_fid_governance_gate07l.py::test_project_state_routes_reuse_existing_initialization_state; backend/tests/test_post_fid_governance_gate07l.py::test_valid_fid_persists_immutable_per_project_snapshots_idempotently; implementation: backend/app/modules/post_fid_governance/service.py; current_increment_execution: ; evidence_class: SOURCE_REVIEW_ONLY; historical execution must be linked separately</x:v>
      </x:c>
      <x:c r="O39" s="6" t="str">
        <x:v>2026-10-15</x:v>
      </x:c>
      <x:c r="P39" s="6" t="str">
        <x:v>Sin acreditación completa de todos los controles del caso</x:v>
      </x:c>
      <x:c r="Q39" s="6" t="str">
        <x:v>BLOCKED</x:v>
      </x:c>
      <x:c r="R39" s="6" t="str">
        <x:v>BLOCKED NOT EXECUTED como caso UAT completo en esta revisión</x:v>
      </x:c>
      <x:c r="S39" s="6" t="str">
        <x:v>Sin acreditación completa de todos los controles del caso</x:v>
      </x:c>
      <x:c r="T39" s="29" t="d">
        <x:v>2026-10-15T22:56:32.584Z</x:v>
      </x:c>
      <x:c r="U39" s="6" t="str">
        <x:v>preflight.json. BLOCKED_UAT_DATABASE_NOT_AVAILABLE. Tenant 4 / Project 16 no verificables en vivo. Pruebas y navegador NOT_RUN. Los JSON previos son historia, no sustituyen PostgreSQL</x:v>
      </x:c>
      <x:c r="V39" s="6" t="str">
        <x:v>BLOCKED</x:v>
      </x:c>
      <x:c r="W39" s="6" t="str">
        <x:v>BLOCKED_UAT_DATABASE_NOT_AVAILABLE. Post-FID no ejecutado. No se inicializó, activó ni modificó el Project operativo</x:v>
      </x:c>
      <x:c r="X39" s="6" t="str">
        <x:v>preflight.json. BLOCKED_UAT_DATABASE_NOT_AVAILABLE. Tenant 4 / Project 16 no verificables en vivo. Pruebas y navegador NOT_RUN. Los JSON previos son historia, no sustituyen PostgreSQL</x:v>
      </x:c>
      <x:c r="Y39" s="29" t="d">
        <x:v>2026-10-16T21:39:07.000Z</x:v>
      </x:c>
      <x:c r="Z39" s="6" t="str">
        <x:v>outputs/.qa/gate07j-controlled-class-b-rebuild/fresh-capital-owner-chain.json
outputs/.qa/gate07j-controlled-class-b-rebuild/selected-delivery-20261016.json
outputs/.qa/gate07j-controlled-class-b-rebuild/browser-actual-3/strategic-capital-current.xml</x:v>
      </x:c>
    </x:row>
    <x:row r="40" ht="92" customHeight="1">
      <x:c r="A40" s="14" t="str">
        <x:v>B1</x:v>
      </x:c>
      <x:c r="B40" s="6" t="str">
        <x:v>CONTRACTOR_DELIVERY compact creation→initialization→activation</x:v>
      </x:c>
      <x:c r="C40" s="6" t="str">
        <x:v>Published reusable source-specific governance policy and exact Project template; Eligible parent and active manager; requestor/reviewer/approver/materializer/initializer/activator are separate scoped actors</x:v>
      </x:c>
      <x:c r="D40" s="6" t="str">
        <x:v>Investment / Project Manager; Project Workspace Initializer; independent Project Workspace Activator</x:v>
      </x:c>
      <x:c r="E40" s="6" t="str">
        <x:v>governance_model: CONTRACTOR_DELIVERY; source_context_type: CONTRACT_AWARD; required_source_fields: client; contract_number; contractual_scope; mobilization_authorized; operational_records: Excluded; isolated disposable fixture</x:v>
      </x:c>
      <x:c r="F40" s="6" t="str">
        <x:v>Preview correct source adapter; verify no default portfolio/FEL/PDRI/FID requirement.; Create source request; submit, review and independently approve; materialize one pending Project.; Reject premature activation; initialize; independently activate using legitimate source authorization; verify identity unchanged.</x:v>
      </x:c>
      <x:c r="G40" s="6" t="str">
        <x:v>Canonical active Project, explicit model/source lineage, no compulsory Idea/Portfolio/FEL/Funding/QRA/FID, no manufactured investment decision or membership; no operational execution.</x:v>
      </x:c>
      <x:c r="H40" s="6" t="str">
        <x:v>Caso no reejecutado de manera formal en esta revisión; resultado previo preservado</x:v>
      </x:c>
      <x:c r="I40" s="6" t="str">
        <x:v>Historial de ejecución en columnas L a N</x:v>
      </x:c>
      <x:c r="J40" s="6" t="str">
        <x:v>BLOCKED</x:v>
      </x:c>
      <x:c r="K40" s="6" t="str"/>
      <x:c r="L40" s="6" t="str">
        <x:v>PASS</x:v>
      </x:c>
      <x:c r="M40" s="6" t="str">
        <x:v>CONTRACTOR_DELIVERY contrato a solicitud revisada, materialización pending, rechazo de activación prematura, inicialización e independiente ACTIVATED sin FID ni Portfolio membership</x:v>
      </x:c>
      <x:c r="N40" s="6" t="str">
        <x:v>routes-postgresql-final.xml; scenario-routes-sqlite-junit.xml</x:v>
      </x:c>
      <x:c r="O40" s="6" t="str">
        <x:v>2026-10-15</x:v>
      </x:c>
      <x:c r="P40" s="6" t="str">
        <x:v>Sin nueva ejecución formal de este caso; consultar historial</x:v>
      </x:c>
    </x:row>
    <x:row r="41" ht="92" customHeight="1">
      <x:c r="A41" s="15" t="str">
        <x:v>C1</x:v>
      </x:c>
      <x:c r="B41" s="13" t="str">
        <x:v>DIRECT_INTERNAL compact creation→initialization→activation</x:v>
      </x:c>
      <x:c r="C41" s="13" t="str">
        <x:v>Published reusable source-specific governance policy and exact Project template; Eligible parent and active manager; requestor/reviewer/approver/materializer/initializer/activator are separate scoped actors</x:v>
      </x:c>
      <x:c r="D41" s="13" t="str">
        <x:v>Investment / Project Manager; Project Workspace Initializer; independent Project Workspace Activator</x:v>
      </x:c>
      <x:c r="E41" s="13" t="str">
        <x:v>governance_model: DIRECT_INTERNAL; source_context_type: DIRECT_AUTHORIZATION; required_source_fields: authorization_reference; sponsor; authorization_approved; operational_records: Excluded; isolated disposable fixture</x:v>
      </x:c>
      <x:c r="F41" s="13" t="str">
        <x:v>Preview correct source adapter; verify no default portfolio/FEL/PDRI/FID requirement.; Create source request; submit, review and independently approve; materialize one pending Project.; Reject premature activation; initialize; independently activate using legitimate source authorization; verify identity unchanged.</x:v>
      </x:c>
      <x:c r="G41" s="13" t="str">
        <x:v>Canonical active Project, explicit model/source lineage, no compulsory Idea/Portfolio/FEL/Funding/QRA/FID, no manufactured investment decision or membership; no operational execution.</x:v>
      </x:c>
      <x:c r="H41" s="13" t="str">
        <x:v>Caso no reejecutado de manera formal en esta revisión; resultado previo preservado</x:v>
      </x:c>
      <x:c r="I41" s="13" t="str">
        <x:v>Historial de ejecución en columnas L a N</x:v>
      </x:c>
      <x:c r="J41" s="13" t="str">
        <x:v>BLOCKED</x:v>
      </x:c>
      <x:c r="K41" s="13" t="str"/>
      <x:c r="L41" s="6" t="str">
        <x:v>PASS</x:v>
      </x:c>
      <x:c r="M41" s="6" t="str">
        <x:v>DIRECT_INTERNAL autorización directa a solicitud revisada, materialización pending, inicialización e independiente ACTIVATED sin FID ni Portfolio membership</x:v>
      </x:c>
      <x:c r="N41" s="6" t="str">
        <x:v>routes-postgresql-final.xml; scenario-routes-sqlite-junit.xml</x:v>
      </x:c>
      <x:c r="O41" s="6" t="str">
        <x:v>2026-10-15</x:v>
      </x:c>
      <x:c r="P41" s="6" t="str">
        <x:v>Sin nueva ejecución formal de este caso; consultar historial</x:v>
      </x:c>
    </x:row>
    <x:row r="42" ht="66" customHeight="1">
      <x:c r="A42" s="14" t="str">
        <x:v>N01</x:v>
      </x:c>
      <x:c r="B42" s="6" t="str">
        <x:v>Strategic Gate RETURN</x:v>
      </x:c>
      <x:c r="C42" s="6" t="str">
        <x:v>Ready proposal and reviewed Strategic Gate; Isolated disposable fixture; exact current source and history hashes captured</x:v>
      </x:c>
      <x:c r="D42" s="6" t="str">
        <x:v>Gate Preparer; Strategic Decision Maker</x:v>
      </x:c>
      <x:c r="E42" s="6" t="str">
        <x:v>RETURN</x:v>
      </x:c>
      <x:c r="F42" s="6" t="str">
        <x:v>Prepare prerequisite: Ready proposal and reviewed Strategic Gate.; Attempt boundary: RETURN.; Read response, stored state and original snapshots; compare before/after hashes.</x:v>
      </x:c>
      <x:c r="G42" s="6" t="str">
        <x:v>No intake; returned Proposal/decision history retained.</x:v>
      </x:c>
      <x:c r="H42" s="6" t="str">
        <x:v>Caso no reejecutado de manera formal en esta revisión; resultado previo preservado</x:v>
      </x:c>
      <x:c r="I42" s="6" t="str">
        <x:v>Historial de ejecución en columnas L a N</x:v>
      </x:c>
      <x:c r="J42" s="6" t="str">
        <x:v>BLOCKED</x:v>
      </x:c>
      <x:c r="K42" s="6" t="str"/>
      <x:c r="L42" s="6" t="str">
        <x:v>BLOCKED</x:v>
      </x:c>
      <x:c r="M42" s="6" t="str">
        <x:v>No fresh execution linked by scenario coverage auditor; matching automated test definitions and historical release scope reviewed.</x:v>
      </x:c>
      <x:c r="N42" s="6" t="str">
        <x:v>source_tests: backend/tests/test_strategic_gate_gate07c.py::test_gate07c_non_approval_outcomes_never_produce_portfolio_intake; current_increment_execution: ; evidence_class: SOURCE_REVIEW_ONLY; historical regression does not equal fresh case execution</x:v>
      </x:c>
      <x:c r="O42" s="6" t="str">
        <x:v>2026-10-15</x:v>
      </x:c>
      <x:c r="P42" s="6" t="str">
        <x:v>Sin nueva ejecución formal de este caso; consultar historial</x:v>
      </x:c>
    </x:row>
    <x:row r="43" ht="66" customHeight="1">
      <x:c r="A43" s="15" t="str">
        <x:v>N02</x:v>
      </x:c>
      <x:c r="B43" s="13" t="str">
        <x:v>Strategic Gate REJECT</x:v>
      </x:c>
      <x:c r="C43" s="13" t="str">
        <x:v>Ready proposal and reviewed Strategic Gate; Isolated disposable fixture; exact current source and history hashes captured</x:v>
      </x:c>
      <x:c r="D43" s="13" t="str">
        <x:v>Gate Preparer; Strategic Decision Maker</x:v>
      </x:c>
      <x:c r="E43" s="13" t="str">
        <x:v>REJECT</x:v>
      </x:c>
      <x:c r="F43" s="13" t="str">
        <x:v>Prepare prerequisite: Ready proposal and reviewed Strategic Gate.; Attempt boundary: REJECT.; Read response, stored state and original snapshots; compare before/after hashes.</x:v>
      </x:c>
      <x:c r="G43" s="13" t="str">
        <x:v>No intake; rejected strategic source cannot create Project through Gate07D.</x:v>
      </x:c>
      <x:c r="H43" s="13" t="str">
        <x:v>Caso no reejecutado de manera formal en esta revisión; resultado previo preservado</x:v>
      </x:c>
      <x:c r="I43" s="13" t="str">
        <x:v>Historial de ejecución en columnas L a N</x:v>
      </x:c>
      <x:c r="J43" s="13" t="str">
        <x:v>BLOCKED</x:v>
      </x:c>
      <x:c r="K43" s="13" t="str"/>
      <x:c r="L43" s="6" t="str">
        <x:v>BLOCKED</x:v>
      </x:c>
      <x:c r="M43" s="6" t="str">
        <x:v>No fresh execution linked by scenario coverage auditor; matching automated test definitions and historical release scope reviewed.</x:v>
      </x:c>
      <x:c r="N43" s="6" t="str">
        <x:v>source_tests: backend/tests/test_strategic_gate_gate07c.py::test_gate07c_non_approval_outcomes_never_produce_portfolio_intake; current_increment_execution: ; evidence_class: SOURCE_REVIEW_ONLY; historical regression does not equal fresh case execution</x:v>
      </x:c>
      <x:c r="O43" s="6" t="str">
        <x:v>2026-10-15</x:v>
      </x:c>
      <x:c r="P43" s="6" t="str">
        <x:v>Sin nueva ejecución formal de este caso; consultar historial</x:v>
      </x:c>
    </x:row>
    <x:row r="44" ht="66" customHeight="1">
      <x:c r="A44" s="14" t="str">
        <x:v>N03</x:v>
      </x:c>
      <x:c r="B44" s="6" t="str">
        <x:v>Strategic Gate DEFER</x:v>
      </x:c>
      <x:c r="C44" s="6" t="str">
        <x:v>Ready proposal and reviewed Strategic Gate; Isolated disposable fixture; exact current source and history hashes captured</x:v>
      </x:c>
      <x:c r="D44" s="6" t="str">
        <x:v>Gate Preparer; Strategic Decision Maker</x:v>
      </x:c>
      <x:c r="E44" s="6" t="str">
        <x:v>DEFER</x:v>
      </x:c>
      <x:c r="F44" s="6" t="str">
        <x:v>Prepare prerequisite: Ready proposal and reviewed Strategic Gate.; Attempt boundary: DEFER.; Read response, stored state and original snapshots; compare before/after hashes.</x:v>
      </x:c>
      <x:c r="G44" s="6" t="str">
        <x:v>No intake; new historical round does not overwrite prior decision.</x:v>
      </x:c>
      <x:c r="H44" s="6" t="str">
        <x:v>Caso no reejecutado de manera formal en esta revisión; resultado previo preservado</x:v>
      </x:c>
      <x:c r="I44" s="6" t="str">
        <x:v>Historial de ejecución en columnas L a N</x:v>
      </x:c>
      <x:c r="J44" s="6" t="str">
        <x:v>BLOCKED</x:v>
      </x:c>
      <x:c r="K44" s="6" t="str"/>
      <x:c r="L44" s="6" t="str">
        <x:v>BLOCKED</x:v>
      </x:c>
      <x:c r="M44" s="6" t="str">
        <x:v>No fresh execution linked by scenario coverage auditor; matching automated test definitions and historical release scope reviewed.</x:v>
      </x:c>
      <x:c r="N44" s="6" t="str">
        <x:v>source_tests: backend/tests/test_strategic_gate_gate07c.py::test_gate07c_defer_allows_a_new_historical_round_without_overwrite; current_increment_execution: ; evidence_class: SOURCE_REVIEW_ONLY; historical regression does not equal fresh case execution</x:v>
      </x:c>
      <x:c r="O44" s="6" t="str">
        <x:v>2026-10-15</x:v>
      </x:c>
      <x:c r="P44" s="6" t="str">
        <x:v>Sin nueva ejecución formal de este caso; consultar historial</x:v>
      </x:c>
    </x:row>
    <x:row r="45" ht="66" customHeight="1">
      <x:c r="A45" s="15" t="str">
        <x:v>N04</x:v>
      </x:c>
      <x:c r="B45" s="13" t="str">
        <x:v>Portfolio infeasibility</x:v>
      </x:c>
      <x:c r="C45" s="13" t="str">
        <x:v>Current budget/resource alternatives; Isolated disposable fixture; exact current source and history hashes captured</x:v>
      </x:c>
      <x:c r="D45" s="13" t="str">
        <x:v>Portfolio Manager</x:v>
      </x:c>
      <x:c r="E45" s="13" t="str">
        <x:v>Forced/misaligned incompatible selection</x:v>
      </x:c>
      <x:c r="F45" s="13" t="str">
        <x:v>Prepare prerequisite: Current budget/resource alternatives.; Attempt boundary: Forced/misaligned incompatible selection.; Read response, stored state and original snapshots; compare before/after hashes.</x:v>
      </x:c>
      <x:c r="G45" s="13" t="str">
        <x:v>Alternative cannot be recommended; recommendation never overrides source authority.</x:v>
      </x:c>
      <x:c r="H45" s="13" t="str">
        <x:v>Caso no reejecutado de manera formal en esta revisión; resultado previo preservado</x:v>
      </x:c>
      <x:c r="I45" s="13" t="str">
        <x:v>Historial de ejecución en columnas L a N</x:v>
      </x:c>
      <x:c r="J45" s="13" t="str">
        <x:v>BLOCKED</x:v>
      </x:c>
      <x:c r="K45" s="13" t="str"/>
      <x:c r="L45" s="6" t="str">
        <x:v>BLOCKED</x:v>
      </x:c>
      <x:c r="M45" s="6" t="str">
        <x:v>No fresh execution linked by scenario coverage auditor; matching automated test definitions and historical release scope reviewed.</x:v>
      </x:c>
      <x:c r="N45" s="6" t="str">
        <x:v>source_tests: backend/tests/test_portfolio_convergence_gate07i.py::test_misaligned_and_forced_conflict_alternative_is_not_recommendable; current_increment_execution: ; evidence_class: SOURCE_REVIEW_ONLY; historical regression does not equal fresh case execution</x:v>
      </x:c>
      <x:c r="O45" s="6" t="str">
        <x:v>2026-10-15</x:v>
      </x:c>
      <x:c r="P45" s="6" t="str">
        <x:v>Sin nueva ejecución formal de este caso; consultar historial</x:v>
      </x:c>
    </x:row>
    <x:row r="46" ht="92" customHeight="1">
      <x:c r="A46" s="14" t="str">
        <x:v>N05</x:v>
      </x:c>
      <x:c r="B46" s="6" t="str">
        <x:v>Budget / Resource conflict</x:v>
      </x:c>
      <x:c r="C46" s="6" t="str">
        <x:v>Current ranked Projects and governed branch scenarios; Isolated disposable fixture; exact current source and history hashes captured</x:v>
      </x:c>
      <x:c r="D46" s="6" t="str">
        <x:v>Project Controls; Portfolio Manager</x:v>
      </x:c>
      <x:c r="E46" s="6" t="str">
        <x:v>Capacity overload, forced conflict and unmet dependency</x:v>
      </x:c>
      <x:c r="F46" s="6" t="str">
        <x:v>Prepare prerequisite: Current ranked Projects and governed branch scenarios.; Attempt boundary: Capacity overload, forced conflict and unmet dependency.; Read response, stored state and original snapshots; compare before/after hashes.</x:v>
      </x:c>
      <x:c r="G46" s="6" t="str">
        <x:v>Conflicts shown explicitly and blocking rules enforced; no hidden dates/amounts mutation.</x:v>
      </x:c>
      <x:c r="H46" s="6" t="str">
        <x:v>Caso no reejecutado de manera formal en esta revisión; resultado previo preservado</x:v>
      </x:c>
      <x:c r="I46" s="6" t="str">
        <x:v>Historial de ejecución en columnas L a N</x:v>
      </x:c>
      <x:c r="J46" s="6" t="str">
        <x:v>BLOCKED</x:v>
      </x:c>
      <x:c r="K46" s="6" t="str"/>
      <x:c r="L46" s="6" t="str">
        <x:v>BLOCKED</x:v>
      </x:c>
      <x:c r="M46" s="6" t="str">
        <x:v>No fresh execution linked by scenario coverage auditor; matching automated test definitions and historical release scope reviewed.</x:v>
      </x:c>
      <x:c r="N46" s="6" t="str">
        <x:v>source_tests: backend/tests/test_portfolio_budget_gate07g_a.py::test_forced_conflict_and_transitive_unmet_dependency_are_derived; backend/tests/test_portfolio_resource_gate07h.py::test_gate07h_happy_path_overload_timing_comparison_and_final_output; current_increment_execution: ; evidence_class: SOURCE_REVIEW_ONLY; historical regression does not equal fresh case execution</x:v>
      </x:c>
      <x:c r="O46" s="6" t="str">
        <x:v>2026-10-15</x:v>
      </x:c>
      <x:c r="P46" s="6" t="str">
        <x:v>Sin nueva ejecución formal de este caso; consultar historial</x:v>
      </x:c>
    </x:row>
    <x:row r="47" ht="66" customHeight="1">
      <x:c r="A47" s="15" t="str">
        <x:v>N06</x:v>
      </x:c>
      <x:c r="B47" s="13" t="str">
        <x:v>Stale Class A evidence</x:v>
      </x:c>
      <x:c r="C47" s="13" t="str">
        <x:v>Current completed FIN and frozen historical Gate/FID; Isolated disposable fixture; exact current source and history hashes captured</x:v>
      </x:c>
      <x:c r="D47" s="13" t="str">
        <x:v>Gate Preparer; Cost / Finance Reviewer</x:v>
      </x:c>
      <x:c r="E47" s="13" t="str">
        <x:v>Suspend source Funding Source in disposable fixture</x:v>
      </x:c>
      <x:c r="F47" s="13" t="str">
        <x:v>Prepare prerequisite: Current completed FIN and frozen historical Gate/FID.; Attempt boundary: Suspend source Funding Source in disposable fixture.; Read response, stored state and original snapshots; compare before/after hashes.</x:v>
      </x:c>
      <x:c r="G47" s="13" t="str">
        <x:v>Live FIN STALE and new Gate blocked; existing package and decision hashes unchanged.</x:v>
      </x:c>
      <x:c r="H47" s="13" t="str">
        <x:v>Caso no reejecutado de manera formal en esta revisión; resultado previo preservado</x:v>
      </x:c>
      <x:c r="I47" s="13" t="str">
        <x:v>Historial de ejecución en columnas L a N</x:v>
      </x:c>
      <x:c r="J47" s="13" t="str">
        <x:v>BLOCKED</x:v>
      </x:c>
      <x:c r="K47" s="13" t="str"/>
      <x:c r="L47" s="6" t="str">
        <x:v>BLOCKED</x:v>
      </x:c>
      <x:c r="M47" s="6" t="str">
        <x:v>No fresh execution linked by scenario coverage auditor; matching automated test definitions and historical release scope reviewed.</x:v>
      </x:c>
      <x:c r="N47" s="6" t="str">
        <x:v>source_tests: backend/tests/test_gate07m_fid_e2e.py::test_new_pyp_ffa_fid_path_full_stack_revalidation; current_increment_execution: ; evidence_class: SOURCE_REVIEW_ONLY; historical regression does not equal fresh case execution</x:v>
      </x:c>
      <x:c r="O47" s="6" t="str">
        <x:v>2026-10-15</x:v>
      </x:c>
      <x:c r="P47" s="6" t="str">
        <x:v>Sin nueva ejecución formal de este caso; consultar historial</x:v>
      </x:c>
    </x:row>
    <x:row r="48" ht="66" customHeight="1">
      <x:c r="A48" s="14" t="str">
        <x:v>N07</x:v>
      </x:c>
      <x:c r="B48" s="6" t="str">
        <x:v>Manual Class A fallback attempt</x:v>
      </x:c>
      <x:c r="C48" s="6" t="str">
        <x:v>Effective required COST_QRA_RESULT Class A; Isolated disposable fixture; exact current source and history hashes captured</x:v>
      </x:c>
      <x:c r="D48" s="6" t="str">
        <x:v>Gate Preparer</x:v>
      </x:c>
      <x:c r="E48" s="6" t="str">
        <x:v>Submit manual attachment/reference for provider requirement</x:v>
      </x:c>
      <x:c r="F48" s="6" t="str">
        <x:v>Prepare prerequisite: Effective required COST_QRA_RESULT Class A.; Attempt boundary: Submit manual attachment/reference for provider requirement.; Read response, stored state and original snapshots; compare before/after hashes.</x:v>
      </x:c>
      <x:c r="G48" s="6" t="str">
        <x:v>409 MANUAL_REFERENCE_NOT_ALLOWED; no substitution of native provider evidence.</x:v>
      </x:c>
      <x:c r="H48" s="6" t="str">
        <x:v>Caso no reejecutado de manera formal en esta revisión; resultado previo preservado</x:v>
      </x:c>
      <x:c r="I48" s="6" t="str">
        <x:v>Historial de ejecución en columnas L a N</x:v>
      </x:c>
      <x:c r="J48" s="6" t="str">
        <x:v>BLOCKED</x:v>
      </x:c>
      <x:c r="K48" s="6" t="str"/>
      <x:c r="L48" s="6" t="str">
        <x:v>BLOCKED</x:v>
      </x:c>
      <x:c r="M48" s="6" t="str">
        <x:v>No fresh execution linked by scenario coverage auditor; matching automated test definitions and historical release scope reviewed.</x:v>
      </x:c>
      <x:c r="N48" s="6" t="str">
        <x:v>source_tests: backend/tests/test_qra_evidence_stack.py::test_class_a_manual_qra_fallback_remains_forbidden; current_increment_execution: ; evidence_class: SOURCE_REVIEW_ONLY; historical regression does not equal fresh case execution</x:v>
      </x:c>
      <x:c r="O48" s="6" t="str">
        <x:v>2026-10-15</x:v>
      </x:c>
      <x:c r="P48" s="6" t="str">
        <x:v>Sin nueva ejecución formal de este caso; consultar historial</x:v>
      </x:c>
    </x:row>
    <x:row r="49" ht="118" customHeight="1">
      <x:c r="A49" s="15" t="str">
        <x:v>N08</x:v>
      </x:c>
      <x:c r="B49" s="13" t="str">
        <x:v>SoD violations</x:v>
      </x:c>
      <x:c r="C49" s="13" t="str">
        <x:v>Prepared author-owned assessment/package/policy; Isolated disposable fixture; exact current source and history hashes captured</x:v>
      </x:c>
      <x:c r="D49" s="13" t="str">
        <x:v>Gate Preparer; Investment Committee / Decision Maker</x:v>
      </x:c>
      <x:c r="E49" s="13" t="str">
        <x:v>Same author tries publish/review/freeze/decide or initializer activates own initialization</x:v>
      </x:c>
      <x:c r="F49" s="13" t="str">
        <x:v>Prepare prerequisite: Prepared author-owned assessment/package/policy.; Attempt boundary: Same author tries publish/review/freeze/decide or initializer activates own initialization.; Read response, stored state and original snapshots; compare before/after hashes.</x:v>
      </x:c>
      <x:c r="G49" s="13" t="str">
        <x:v>Reject according to domain SoD; organization_admin role does not imply authority to bypass mandatory four-eyes.</x:v>
      </x:c>
      <x:c r="H49" s="13" t="str">
        <x:v>Caso no reejecutado de manera formal en esta revisión; resultado previo preservado</x:v>
      </x:c>
      <x:c r="I49" s="13" t="str">
        <x:v>Historial de ejecución en columnas L a N</x:v>
      </x:c>
      <x:c r="J49" s="13" t="str">
        <x:v>BLOCKED</x:v>
      </x:c>
      <x:c r="K49" s="13" t="str"/>
      <x:c r="L49" s="6" t="str">
        <x:v>BLOCKED</x:v>
      </x:c>
      <x:c r="M49" s="6" t="str">
        <x:v>No fresh execution linked by scenario coverage auditor; matching automated test definitions and historical release scope reviewed.</x:v>
      </x:c>
      <x:c r="N49" s="6" t="str">
        <x:v>source_tests: backend/tests/test_investment_gate_preparation_gate07j.py::test_sod_is_enforced_and_frozen_revision_is_immutable; backend/tests/test_investment_decision_gate07k.py::test_ffa_segregation_of_duties_and_stale_policy_block_decision; backend/tests/test_project_workspace_initialization.py::test_52_same_actor_cannot_initialize_and_activate; current_increment_execution: ; evidence_class: SOURCE_REVIEW_ONLY; historical regression does not equal fresh case execution</x:v>
      </x:c>
      <x:c r="O49" s="6" t="str">
        <x:v>2026-10-15</x:v>
      </x:c>
      <x:c r="P49" s="6" t="str">
        <x:v>Sin nueva ejecución formal de este caso; consultar historial</x:v>
      </x:c>
    </x:row>
    <x:row r="50" ht="92" customHeight="1">
      <x:c r="A50" s="14" t="str">
        <x:v>N09</x:v>
      </x:c>
      <x:c r="B50" s="6" t="str">
        <x:v>Unaccepted QRA result</x:v>
      </x:c>
      <x:c r="C50" s="6" t="str">
        <x:v>Completed run without independent acceptance; Isolated disposable fixture; exact current source and history hashes captured</x:v>
      </x:c>
      <x:c r="D50" s="6" t="str">
        <x:v>QRA Analyst; Gate Preparer</x:v>
      </x:c>
      <x:c r="E50" s="6" t="str">
        <x:v>Resolve unaccepted result as required evidence</x:v>
      </x:c>
      <x:c r="F50" s="6" t="str">
        <x:v>Prepare prerequisite: Completed run without independent acceptance.; Attempt boundary: Resolve unaccepted result as required evidence.; Read response, stored state and original snapshots; compare before/after hashes.</x:v>
      </x:c>
      <x:c r="G50" s="6" t="str">
        <x:v>Cannot satisfy required Class A despite completed simulation.</x:v>
      </x:c>
      <x:c r="H50" s="6" t="str">
        <x:v>Caso no reejecutado de manera formal en esta revisión; resultado previo preservado</x:v>
      </x:c>
      <x:c r="I50" s="6" t="str">
        <x:v>Historial de ejecución en columnas L a N</x:v>
      </x:c>
      <x:c r="J50" s="6" t="str">
        <x:v>BLOCKED</x:v>
      </x:c>
      <x:c r="K50" s="6" t="str"/>
      <x:c r="L50" s="6" t="str">
        <x:v>BLOCKED</x:v>
      </x:c>
      <x:c r="M50" s="6" t="str">
        <x:v>No fresh execution linked by scenario coverage auditor; matching automated test definitions and historical release scope reviewed.</x:v>
      </x:c>
      <x:c r="N50" s="6" t="str">
        <x:v>source_tests: backend/tests/test_qra_evidence_policy.py::test_qualified_resolver_unaccepted_and_wrong_type_never_satisfy; backend/tests/test_qra_engine.py::test_completed_run_immutable_separate_review_acceptance_provider; current_increment_execution: ; evidence_class: SOURCE_REVIEW_ONLY; historical regression does not equal fresh case execution</x:v>
      </x:c>
      <x:c r="O50" s="6" t="str">
        <x:v>2026-10-15</x:v>
      </x:c>
      <x:c r="P50" s="6" t="str">
        <x:v>Sin nueva ejecución formal de este caso; consultar historial</x:v>
      </x:c>
    </x:row>
    <x:row r="51" ht="92" customHeight="1">
      <x:c r="A51" s="15" t="str">
        <x:v>N10</x:v>
      </x:c>
      <x:c r="B51" s="13" t="str">
        <x:v>Stale QRA result</x:v>
      </x:c>
      <x:c r="C51" s="13" t="str">
        <x:v>Accepted result and frozen old references; Isolated disposable fixture; exact current source and history hashes captured</x:v>
      </x:c>
      <x:c r="D51" s="13" t="str">
        <x:v>QRA Analyst; Gate Preparer</x:v>
      </x:c>
      <x:c r="E51" s="13" t="str">
        <x:v>Materially change source authority or use accepted stale result</x:v>
      </x:c>
      <x:c r="F51" s="13" t="str">
        <x:v>Prepare prerequisite: Accepted result and frozen old references.; Attempt boundary: Materially change source authority or use accepted stale result.; Read response, stored state and original snapshots; compare before/after hashes.</x:v>
      </x:c>
      <x:c r="G51" s="13" t="str">
        <x:v>Current provider cannot satisfy coverage/readiness; historical run/BC/package immutable.</x:v>
      </x:c>
      <x:c r="H51" s="13" t="str">
        <x:v>Caso no reejecutado de manera formal en esta revisión; resultado previo preservado</x:v>
      </x:c>
      <x:c r="I51" s="13" t="str">
        <x:v>Historial de ejecución en columnas L a N</x:v>
      </x:c>
      <x:c r="J51" s="13" t="str">
        <x:v>BLOCKED</x:v>
      </x:c>
      <x:c r="K51" s="13" t="str"/>
      <x:c r="L51" s="6" t="str">
        <x:v>BLOCKED</x:v>
      </x:c>
      <x:c r="M51" s="6" t="str">
        <x:v>No fresh execution linked by scenario coverage auditor; matching automated test definitions and historical release scope reviewed.</x:v>
      </x:c>
      <x:c r="N51" s="6" t="str">
        <x:v>source_tests: backend/tests/test_qra_evidence_stack.py::test_actual_material_cost_source_change_blocks_new_gate_without_rewriting_history; backend/tests/test_qra_evidence_policy.py::test_stale_qra_blocks_project_coverage_as_well_as_overall_readiness; current_increment_execution: ; evidence_class: SOURCE_REVIEW_ONLY; historical regression does not equal fresh case execution</x:v>
      </x:c>
      <x:c r="O51" s="6" t="str">
        <x:v>2026-10-15</x:v>
      </x:c>
      <x:c r="P51" s="6" t="str">
        <x:v>Sin nueva ejecución formal de este caso; consultar historial</x:v>
      </x:c>
    </x:row>
    <x:row r="52" ht="79" customHeight="1">
      <x:c r="A52" s="14" t="str">
        <x:v>N11</x:v>
      </x:c>
      <x:c r="B52" s="6" t="str">
        <x:v>Wrong QRA analysis type</x:v>
      </x:c>
      <x:c r="C52" s="6" t="str">
        <x:v>COST_QRA_RESULT requirement; Isolated disposable fixture; exact current source and history hashes captured</x:v>
      </x:c>
      <x:c r="D52" s="6" t="str">
        <x:v>QRA Analyst; Gate Preparer</x:v>
      </x:c>
      <x:c r="E52" s="6" t="str">
        <x:v>Supply SCHEDULE_QRA result</x:v>
      </x:c>
      <x:c r="F52" s="6" t="str">
        <x:v>Prepare prerequisite: COST_QRA_RESULT requirement.; Attempt boundary: Supply SCHEDULE_QRA result.; Read response, stored state and original snapshots; compare before/after hashes.</x:v>
      </x:c>
      <x:c r="G52" s="6" t="str">
        <x:v>QRA_ANALYSIS_TYPE_MISMATCH or provider ineligibility; no cross-type substitution.</x:v>
      </x:c>
      <x:c r="H52" s="6" t="str">
        <x:v>Caso no reejecutado de manera formal en esta revisión; resultado previo preservado</x:v>
      </x:c>
      <x:c r="I52" s="6" t="str">
        <x:v>Historial de ejecución en columnas L a N</x:v>
      </x:c>
      <x:c r="J52" s="6" t="str">
        <x:v>BLOCKED</x:v>
      </x:c>
      <x:c r="K52" s="6" t="str"/>
      <x:c r="L52" s="6" t="str">
        <x:v>BLOCKED</x:v>
      </x:c>
      <x:c r="M52" s="6" t="str">
        <x:v>No fresh execution linked by scenario coverage auditor; matching automated test definitions and historical release scope reviewed.</x:v>
      </x:c>
      <x:c r="N52" s="6" t="str">
        <x:v>source_tests: backend/tests/test_qra_evidence_policy.py::test_result_qualifiers_and_freshness; backend/tests/test_qra_evidence_policy.py::test_qualified_resolver_unaccepted_and_wrong_type_never_satisfy; current_increment_execution: ; evidence_class: SOURCE_REVIEW_ONLY; historical regression does not equal fresh case execution</x:v>
      </x:c>
      <x:c r="O52" s="6" t="str">
        <x:v>2026-10-15</x:v>
      </x:c>
      <x:c r="P52" s="6" t="str">
        <x:v>Sin nueva ejecución formal de este caso; consultar historial</x:v>
      </x:c>
    </x:row>
    <x:row r="53" ht="66" customHeight="1">
      <x:c r="A53" s="15" t="str">
        <x:v>N12</x:v>
      </x:c>
      <x:c r="B53" s="13" t="str">
        <x:v>QRA scope mismatch</x:v>
      </x:c>
      <x:c r="C53" s="13" t="str">
        <x:v>WHOLE_PROJECT requirement; Isolated disposable fixture; exact current source and history hashes captured</x:v>
      </x:c>
      <x:c r="D53" s="13" t="str">
        <x:v>QRA Analyst; Gate Preparer</x:v>
      </x:c>
      <x:c r="E53" s="13" t="str">
        <x:v>Supply SELECTED_WBS-only result</x:v>
      </x:c>
      <x:c r="F53" s="13" t="str">
        <x:v>Prepare prerequisite: WHOLE_PROJECT requirement.; Attempt boundary: Supply SELECTED_WBS-only result.; Read response, stored state and original snapshots; compare before/after hashes.</x:v>
      </x:c>
      <x:c r="G53" s="13" t="str">
        <x:v>QRA_SCOPE_MISMATCH; selected scope cannot count as whole Project coverage.</x:v>
      </x:c>
      <x:c r="H53" s="13" t="str">
        <x:v>Caso no reejecutado de manera formal en esta revisión; resultado previo preservado</x:v>
      </x:c>
      <x:c r="I53" s="13" t="str">
        <x:v>Historial de ejecución en columnas L a N</x:v>
      </x:c>
      <x:c r="J53" s="13" t="str">
        <x:v>BLOCKED</x:v>
      </x:c>
      <x:c r="K53" s="13" t="str"/>
      <x:c r="L53" s="6" t="str">
        <x:v>BLOCKED</x:v>
      </x:c>
      <x:c r="M53" s="6" t="str">
        <x:v>No fresh execution linked by scenario coverage auditor; matching automated test definitions and historical release scope reviewed.</x:v>
      </x:c>
      <x:c r="N53" s="6" t="str">
        <x:v>source_tests: backend/tests/test_qra_evidence_policy.py::test_result_qualifiers_and_freshness; current_increment_execution: ; evidence_class: SOURCE_REVIEW_ONLY; historical regression does not equal fresh case execution</x:v>
      </x:c>
      <x:c r="O53" s="6" t="str">
        <x:v>2026-10-15</x:v>
      </x:c>
      <x:c r="P53" s="6" t="str">
        <x:v>Sin nueva ejecución formal de este caso; consultar historial</x:v>
      </x:c>
    </x:row>
    <x:row r="54" ht="92" customHeight="1">
      <x:c r="A54" s="14" t="str">
        <x:v>N13</x:v>
      </x:c>
      <x:c r="B54" s="6" t="str">
        <x:v>Unsupported Schedule QRA context</x:v>
      </x:c>
      <x:c r="C54" s="6" t="str">
        <x:v>Required elapsed Schedule evidence; Isolated disposable fixture; exact current source and history hashes captured</x:v>
      </x:c>
      <x:c r="D54" s="6" t="str">
        <x:v>QRA Analyst; Gate Preparer</x:v>
      </x:c>
      <x:c r="E54" s="6" t="str">
        <x:v>Work-calendar/unsupported source context</x:v>
      </x:c>
      <x:c r="F54" s="6" t="str">
        <x:v>Prepare prerequisite: Required elapsed Schedule evidence.; Attempt boundary: Work-calendar/unsupported source context.; Read response, stored state and original snapshots; compare before/after hashes.</x:v>
      </x:c>
      <x:c r="G54" s="6" t="str">
        <x:v>Explicit engine incapability distinct from missing provider or staleness; no silent work-day conversion.</x:v>
      </x:c>
      <x:c r="H54" s="6" t="str">
        <x:v>Caso no reejecutado de manera formal en esta revisión; resultado previo preservado</x:v>
      </x:c>
      <x:c r="I54" s="6" t="str">
        <x:v>Historial de ejecución en columnas L a N</x:v>
      </x:c>
      <x:c r="J54" s="6" t="str">
        <x:v>BLOCKED</x:v>
      </x:c>
      <x:c r="K54" s="6" t="str"/>
      <x:c r="L54" s="6" t="str">
        <x:v>BLOCKED</x:v>
      </x:c>
      <x:c r="M54" s="6" t="str">
        <x:v>No fresh execution linked by scenario coverage auditor; matching automated test definitions and historical release scope reviewed.</x:v>
      </x:c>
      <x:c r="N54" s="6" t="str">
        <x:v>source_tests: backend/tests/test_qra_evidence_policy.py::test_schedule_work_calendar_cannot_satisfy_elapsed_requirement; backend/tests/test_qra_evidence_policy.py::test_engine_incapability_is_distinct_from_missing_provider; current_increment_execution: ; evidence_class: SOURCE_REVIEW_ONLY; historical regression does not equal fresh case execution</x:v>
      </x:c>
      <x:c r="O54" s="6" t="str">
        <x:v>2026-10-15</x:v>
      </x:c>
      <x:c r="P54" s="6" t="str">
        <x:v>Sin nueva ejecución formal de este caso; consultar historial</x:v>
      </x:c>
    </x:row>
    <x:row r="55" ht="92" customHeight="1">
      <x:c r="A55" s="15" t="str">
        <x:v>N14</x:v>
      </x:c>
      <x:c r="B55" s="13" t="str">
        <x:v>Historical snapshot immutability</x:v>
      </x:c>
      <x:c r="C55" s="13" t="str">
        <x:v>Completed BC/Benefits/Commercial, frozen scenario/Gate and decided FID; Isolated disposable fixture; exact current source and history hashes captured</x:v>
      </x:c>
      <x:c r="D55" s="13" t="str">
        <x:v>Read-only Executive; Evidence Reviewer</x:v>
      </x:c>
      <x:c r="E55" s="13" t="str">
        <x:v>Create governed successor or change current source and reread history</x:v>
      </x:c>
      <x:c r="F55" s="13" t="str">
        <x:v>Prepare prerequisite: Completed BC/Benefits/Commercial, frozen scenario/Gate and decided FID.; Attempt boundary: Create governed successor or change current source and reread history.; Read response, stored state and original snapshots; compare before/after hashes.</x:v>
      </x:c>
      <x:c r="G55" s="13" t="str">
        <x:v>Frozen source references/hashes unchanged; allowed superseded lifecycle does not rewrite completed content.</x:v>
      </x:c>
      <x:c r="H55" s="13" t="str">
        <x:v>Caso no reejecutado de manera formal en esta revisión; resultado previo preservado</x:v>
      </x:c>
      <x:c r="I55" s="13" t="str">
        <x:v>Historial de ejecución en columnas L a N</x:v>
      </x:c>
      <x:c r="J55" s="13" t="str">
        <x:v>BLOCKED</x:v>
      </x:c>
      <x:c r="K55" s="13" t="str"/>
      <x:c r="L55" s="6" t="str">
        <x:v>BLOCKED</x:v>
      </x:c>
      <x:c r="M55" s="6" t="str">
        <x:v>No fresh execution linked by scenario coverage auditor; matching automated test definitions and historical release scope reviewed.</x:v>
      </x:c>
      <x:c r="N55" s="6" t="str">
        <x:v>source_tests: backend/tests/test_qra_evidence_stack.py::test_actual_accepted_successor_preserves_frozen_gate_and_completed_bc; backend/tests/test_business_case_gate07m_bc_5c.py::test_historical_five_case_is_derived_only_from_frozen_revision_data; current_increment_execution: ; evidence_class: SOURCE_REVIEW_ONLY; historical regression does not equal fresh case execution</x:v>
      </x:c>
      <x:c r="O55" s="6" t="str">
        <x:v>2026-10-15</x:v>
      </x:c>
      <x:c r="P55" s="6" t="str">
        <x:v>Sin nueva ejecución formal de este caso; consultar historial</x:v>
      </x:c>
    </x:row>
    <x:row r="56" ht="92" customHeight="1">
      <x:c r="A56" s="14" t="str">
        <x:v>N15</x:v>
      </x:c>
      <x:c r="B56" s="6" t="str">
        <x:v>Tenant / Workspace / direct-route security</x:v>
      </x:c>
      <x:c r="C56" s="6" t="str">
        <x:v>Scoped users and second tenant/sibling Workspace; Isolated disposable fixture; exact current source and history hashes captured</x:v>
      </x:c>
      <x:c r="D56" s="6" t="str">
        <x:v>Read-only Executive; outsider with no matching scope</x:v>
      </x:c>
      <x:c r="E56" s="6" t="str">
        <x:v>Read/mutate another tenant/project and direct ADMIN routes as USER</x:v>
      </x:c>
      <x:c r="F56" s="6" t="str">
        <x:v>Prepare prerequisite: Scoped users and second tenant/sibling Workspace.; Attempt boundary: Read/mutate another tenant/project and direct ADMIN routes as USER.; Read response, stored state and original snapshots; compare before/after hashes.</x:v>
      </x:c>
      <x:c r="G56" s="6" t="str">
        <x:v>403/404 without disclosure or mutation; no USER reusable configuration control.</x:v>
      </x:c>
      <x:c r="H56" s="6" t="str">
        <x:v>Caso no reejecutado de manera formal en esta revisión; resultado previo preservado</x:v>
      </x:c>
      <x:c r="I56" s="6" t="str">
        <x:v>Historial de ejecución en columnas L a N</x:v>
      </x:c>
      <x:c r="J56" s="6" t="str">
        <x:v>BLOCKED</x:v>
      </x:c>
      <x:c r="K56" s="6" t="str"/>
      <x:c r="L56" s="6" t="str">
        <x:v>BLOCKED</x:v>
      </x:c>
      <x:c r="M56" s="6" t="str">
        <x:v>No fresh execution linked by scenario coverage auditor; matching automated test definitions and historical release scope reviewed.</x:v>
      </x:c>
      <x:c r="N56" s="6" t="str">
        <x:v>source_tests: backend/tests/test_basic_data_wave2b.py::test_basic_data_workspace_scope_ancestor_allowed_sibling_denied_and_cross_tenant_hidden; backend/tests/test_owner_capability_wave3b.py::test_direct_routes_config_only_preparer_scope_and_tenant_denials; current_increment_execution: ; evidence_class: SOURCE_REVIEW_ONLY; historical regression does not equal fresh case execution</x:v>
      </x:c>
      <x:c r="O56" s="6" t="str">
        <x:v>2026-10-15</x:v>
      </x:c>
      <x:c r="P56" s="6" t="str">
        <x:v>Sin nueva ejecución formal de este caso; consultar historial</x:v>
      </x:c>
    </x:row>
    <x:row r="57" ht="79" customHeight="1">
      <x:c r="A57" s="15" t="str">
        <x:v>N16</x:v>
      </x:c>
      <x:c r="B57" s="13" t="str">
        <x:v>Source authorization absent in compact routes</x:v>
      </x:c>
      <x:c r="C57" s="13" t="str">
        <x:v>Legitimate B/C creation source but no mobilization/direct approval; Isolated disposable fixture; exact current source and history hashes captured</x:v>
      </x:c>
      <x:c r="D57" s="13" t="str">
        <x:v>Investment / Project Manager; Activator</x:v>
      </x:c>
      <x:c r="E57" s="13" t="str">
        <x:v>Materialize then preview/start/activate without source execution authorization</x:v>
      </x:c>
      <x:c r="F57" s="13" t="str">
        <x:v>Prepare prerequisite: Legitimate B/C creation source but no mobilization/direct approval.; Attempt boundary: Materialize then preview/start/activate without source execution authorization.; Read response, stored state and original snapshots; compare before/after hashes.</x:v>
      </x:c>
      <x:c r="G57" s="13" t="str">
        <x:v>Project stays pending; no capital FID substitution and no automatic activation.</x:v>
      </x:c>
      <x:c r="H57" s="13" t="str">
        <x:v>Caso no reejecutado de manera formal en esta revisión; resultado previo preservado</x:v>
      </x:c>
      <x:c r="I57" s="13" t="str">
        <x:v>Historial de ejecución en columnas L a N</x:v>
      </x:c>
      <x:c r="J57" s="13" t="str">
        <x:v>BLOCKED</x:v>
      </x:c>
      <x:c r="K57" s="13" t="str"/>
      <x:c r="L57" s="6" t="str">
        <x:v>BLOCKED</x:v>
      </x:c>
      <x:c r="M57" s="6" t="str">
        <x:v>No fresh execution linked by scenario coverage auditor; matching automated test definitions and historical release scope reviewed.</x:v>
      </x:c>
      <x:c r="N57" s="6" t="str">
        <x:v>source_tests: backend/tests/test_project_creation_process.py::test_46_direct_project_remains_pending_when_authorization_is_not_approved; current_increment_execution: ; evidence_class: SOURCE_REVIEW_ONLY; historical regression does not equal fresh case execution</x:v>
      </x:c>
      <x:c r="O57" s="6" t="str">
        <x:v>2026-10-15</x:v>
      </x:c>
      <x:c r="P57" s="6" t="str">
        <x:v>Sin nueva ejecución formal de este caso; consultar historial</x:v>
      </x:c>
    </x:row>
    <x:row r="58" ht="79" customHeight="1">
      <x:c r="A58" s="14" t="str">
        <x:v>N17</x:v>
      </x:c>
      <x:c r="B58" s="6" t="str">
        <x:v>Integrated QRA rejected</x:v>
      </x:c>
      <x:c r="C58" s="6" t="str">
        <x:v>Released Cost/Schedule capability only; Isolated disposable fixture; exact current source and history hashes captured</x:v>
      </x:c>
      <x:c r="D58" s="6" t="str">
        <x:v>QRA Analyst; QRA Configuration Administrator</x:v>
      </x:c>
      <x:c r="E58" s="6" t="str">
        <x:v>Submit INTEGRATED_COST_SCHEDULE_QRA model or required policy</x:v>
      </x:c>
      <x:c r="F58" s="6" t="str">
        <x:v>Prepare prerequisite: Released Cost/Schedule capability only.; Attempt boundary: Submit INTEGRATED_COST_SCHEDULE_QRA model or required policy.; Read response, stored state and original snapshots; compare before/after hashes.</x:v>
      </x:c>
      <x:c r="G58" s="6" t="str">
        <x:v>Controlled 422/released-capability error; no integrated requirement published or executed.</x:v>
      </x:c>
      <x:c r="H58" s="6" t="str">
        <x:v>Caso no reejecutado de manera formal en esta revisión; resultado previo preservado</x:v>
      </x:c>
      <x:c r="I58" s="6" t="str">
        <x:v>Historial de ejecución en columnas L a N</x:v>
      </x:c>
      <x:c r="J58" s="6" t="str">
        <x:v>BLOCKED</x:v>
      </x:c>
      <x:c r="K58" s="6" t="str"/>
      <x:c r="L58" s="6" t="str">
        <x:v>BLOCKED</x:v>
      </x:c>
      <x:c r="M58" s="6" t="str">
        <x:v>No fresh execution linked by scenario coverage auditor; matching automated test definitions and historical release scope reviewed.</x:v>
      </x:c>
      <x:c r="N58" s="6" t="str">
        <x:v>source_tests: backend/tests/test_qra_evidence_policy.py::test_invalid_qra_policy_rejected; backend/tests/test_qra_engine.py::test_pre_run_blocks_stale_unapproved_unsupported; current_increment_execution: ; evidence_class: SOURCE_REVIEW_ONLY; historical regression does not equal fresh case execution</x:v>
      </x:c>
      <x:c r="O58" s="6" t="str">
        <x:v>2026-10-15</x:v>
      </x:c>
      <x:c r="P58" s="6" t="str">
        <x:v>Sin nueva ejecución formal de este caso; consultar historial</x:v>
      </x:c>
    </x:row>
  </x:sheetData>
  <x:conditionalFormatting sqref="J8:J58">
    <x:cfRule type="containsText" dxfId="0" priority="1" operator="containsText" text="FAIL"/>
    <x:cfRule type="containsText" dxfId="1" priority="2" operator="containsText" text="BLOCKED"/>
  </x:conditionalFormatting>
  <x:dataValidations count="1">
    <x:dataValidation type="list" sqref="J8:J58">
      <x:formula1>"PASS,FAIL,BLOCKED"</x:formula1>
    </x:dataValidation>
  </x:dataValidations>
  <x:pageMargins left="0.7" right="0.7" top="0.75" bottom="0.75" header="0.3" footer="0.3"/>
  <x:tableParts count="1">
    <x:tablePart xmlns:r="http://schemas.openxmlformats.org/officeDocument/2006/relationships" r:id="R66524e89ad7c49f6"/>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 hidden="0" customWidth="1"/>
    <x:col min="2" max="2" width="14" hidden="0" customWidth="1"/>
    <x:col min="3" max="3" width="65" hidden="0" customWidth="1"/>
    <x:col min="4" max="4" width="29" hidden="0" customWidth="1"/>
    <x:col min="5" max="5" width="61" hidden="0" customWidth="1"/>
    <x:col min="6" max="6" width="43" hidden="0" customWidth="1"/>
    <x:col min="7" max="7" width="56" hidden="0" customWidth="1"/>
    <x:col min="8" max="8" width="37" hidden="0" customWidth="1"/>
    <x:col min="9" max="9" width="59" hidden="0" customWidth="1"/>
    <x:col min="10" max="10" width="65" hidden="0" customWidth="1"/>
  </x:cols>
  <x:sheetData>
    <x:row r="2" ht="26" customHeight="1">
      <x:c r="A2" s="1" t="str">
        <x:v>Inventario de pantallas y endpoints por modo y autoridad</x:v>
      </x:c>
    </x:row>
    <x:row r="3">
      <x:c r="A3" s="2"/>
      <x:c r="B3" s="2"/>
      <x:c r="C3" s="2"/>
      <x:c r="D3" s="2"/>
      <x:c r="E3" s="2"/>
      <x:c r="F3" s="2"/>
      <x:c r="G3" s="2"/>
      <x:c r="H3" s="2"/>
      <x:c r="I3" s="2"/>
      <x:c r="J3" s="2"/>
    </x:row>
    <x:row r="4">
      <x:c r="A4" s="3" t="str">
        <x:v>Corte 14 octubre 2026</x:v>
      </x:c>
      <x:c r="B4" s="3"/>
      <x:c r="C4" s="3"/>
      <x:c r="D4" s="3" t="str">
        <x:v>Fuente del registro</x:v>
      </x:c>
      <x:c r="E4" s="3" t="str">
        <x:v>Inventarios estáticos API y frontend. Tener endpoint o test no implica ejecución aprobada.</x:v>
      </x:c>
      <x:c r="F4" s="3"/>
      <x:c r="G4" s="3"/>
      <x:c r="H4" s="3"/>
      <x:c r="I4" s="3"/>
      <x:c r="J4" s="3"/>
    </x:row>
    <x:row r="5">
      <x:c r="A5" s="3" t="str">
        <x:v>Registros</x:v>
      </x:c>
      <x:c r="B5" s="3" t="n">
        <x:f>COUNTA(A8:A991)</x:f>
        <x:v>984</x:v>
      </x:c>
      <x:c r="C5" s="3"/>
      <x:c r="D5" s="3"/>
      <x:c r="E5" s="3"/>
      <x:c r="F5" s="3"/>
      <x:c r="G5" s="3"/>
      <x:c r="H5" s="3"/>
      <x:c r="I5" s="3"/>
      <x:c r="J5" s="3"/>
    </x:row>
    <x:row r="7" ht="34" customHeight="1">
      <x:c r="A7" s="10" t="str">
        <x:v>ID</x:v>
      </x:c>
      <x:c r="B7" s="11" t="str">
        <x:v>Tipo</x:v>
      </x:c>
      <x:c r="C7" s="11" t="str">
        <x:v>Ruta o endpoint</x:v>
      </x:c>
      <x:c r="D7" s="11" t="str">
        <x:v>Modo</x:v>
      </x:c>
      <x:c r="E7" s="11" t="str">
        <x:v>Módulo o pantalla</x:v>
      </x:c>
      <x:c r="F7" s="11" t="str">
        <x:v>Propósito</x:v>
      </x:c>
      <x:c r="G7" s="11" t="str">
        <x:v>Permiso</x:v>
      </x:c>
      <x:c r="H7" s="11" t="str">
        <x:v>Estado de uso</x:v>
      </x:c>
      <x:c r="I7" s="11" t="str">
        <x:v>Consumidor</x:v>
      </x:c>
      <x:c r="J7" s="12" t="str">
        <x:v>Cobertura y cautela</x:v>
      </x:c>
    </x:row>
    <x:row r="8" ht="42" customHeight="1">
      <x:c r="A8" s="14" t="str">
        <x:v>FE-1</x:v>
      </x:c>
      <x:c r="B8" s="6" t="str">
        <x:v>PANTALLA</x:v>
      </x:c>
      <x:c r="C8" s="6" t="str">
        <x:v>/app/admin/strategy/enterprise-strategy-overview</x:v>
      </x:c>
      <x:c r="D8" s="6" t="str">
        <x:v>ADMIN</x:v>
      </x:c>
      <x:c r="E8" s="6" t="str">
        <x:v>frontend/src/features/enterprise-strategy/EnterpriseStrategyLanding.tsx</x:v>
      </x:c>
      <x:c r="F8" s="6" t="str">
        <x:v>Enterprise Foundation &gt; Foundation Configuration / Preview</x:v>
      </x:c>
      <x:c r="G8" s="6" t="str">
        <x:v>authenticated</x:v>
      </x:c>
      <x:c r="H8" s="6" t="str">
        <x:v>RENDERER_REGISTERED</x:v>
      </x:c>
      <x:c r="I8" s="6" t="str">
        <x:v>enterprise-strategy-overview</x:v>
      </x:c>
      <x:c r="J8" s="6" t="str">
        <x:v>READ_ONLY_SHARED. STATIC_METADATA_NOT_BUSINESS_UAT</x:v>
      </x:c>
    </x:row>
    <x:row r="9" ht="42" customHeight="1">
      <x:c r="A9" s="15" t="str">
        <x:v>FE-2</x:v>
      </x:c>
      <x:c r="B9" s="13" t="str">
        <x:v>PANTALLA</x:v>
      </x:c>
      <x:c r="C9" s="13" t="str">
        <x:v>/app/admin/strategy/enterprise-structure-configuration</x:v>
      </x:c>
      <x:c r="D9" s="13" t="str">
        <x:v>ADMIN</x:v>
      </x:c>
      <x:c r="E9" s="13" t="str">
        <x:v>frontend/src/features/enterprise-structure/pages/AdminEnterpriseStructurePage.tsx</x:v>
      </x:c>
      <x:c r="F9" s="13" t="str">
        <x:v>Enterprise Foundation &gt; Enterprise Structure &amp; Workspace Manager</x:v>
      </x:c>
      <x:c r="G9" s="13" t="str">
        <x:v>can_configure</x:v>
      </x:c>
      <x:c r="H9" s="13" t="str">
        <x:v>RENDERER_REGISTERED</x:v>
      </x:c>
      <x:c r="I9" s="13" t="str">
        <x:v>enterprise-structure-configuration</x:v>
      </x:c>
      <x:c r="J9" s="13" t="str">
        <x:v>ADMIN_CONFIGURATION. STATIC_METADATA_NOT_BUSINESS_UAT</x:v>
      </x:c>
    </x:row>
    <x:row r="10" ht="42" customHeight="1">
      <x:c r="A10" s="14" t="str">
        <x:v>FE-3</x:v>
      </x:c>
      <x:c r="B10" s="6" t="str">
        <x:v>PANTALLA</x:v>
      </x:c>
      <x:c r="C10" s="6" t="str">
        <x:v>/app/admin/strategy/workspace-types</x:v>
      </x:c>
      <x:c r="D10" s="6" t="str">
        <x:v>ADMIN</x:v>
      </x:c>
      <x:c r="E10" s="6" t="str">
        <x:v>frontend/src/components/AdminConfigurationView.tsx</x:v>
      </x:c>
      <x:c r="F10" s="6" t="str">
        <x:v>Enterprise Foundation &gt; Workspace Types</x:v>
      </x:c>
      <x:c r="G10" s="6" t="str">
        <x:v>can_configure</x:v>
      </x:c>
      <x:c r="H10" s="6" t="str">
        <x:v>RENDERER_REGISTERED</x:v>
      </x:c>
      <x:c r="I10" s="6" t="str">
        <x:v>workspace-types</x:v>
      </x:c>
      <x:c r="J10" s="6" t="str">
        <x:v>ADMIN_CONFIGURATION. STATIC_METADATA_NOT_BUSINESS_UAT</x:v>
      </x:c>
    </x:row>
    <x:row r="11" ht="42" customHeight="1">
      <x:c r="A11" s="15" t="str">
        <x:v>FE-4</x:v>
      </x:c>
      <x:c r="B11" s="13" t="str">
        <x:v>PANTALLA</x:v>
      </x:c>
      <x:c r="C11" s="13" t="str">
        <x:v>/app/admin/strategy/enterprise-workspace-structure</x:v>
      </x:c>
      <x:c r="D11" s="13" t="str">
        <x:v>ADMIN</x:v>
      </x:c>
      <x:c r="E11" s="13" t="str">
        <x:v>frontend/src/features/enterprise-structure/pages/AdminEnterpriseStructurePage.tsx</x:v>
      </x:c>
      <x:c r="F11" s="13" t="str">
        <x:v>Enterprise Foundation &gt; Composition Rules</x:v>
      </x:c>
      <x:c r="G11" s="13" t="str">
        <x:v>can_configure</x:v>
      </x:c>
      <x:c r="H11" s="13" t="str">
        <x:v>RENDERER_REGISTERED</x:v>
      </x:c>
      <x:c r="I11" s="13" t="str">
        <x:v>enterprise-workspace-structure</x:v>
      </x:c>
      <x:c r="J11" s="13" t="str">
        <x:v>ADMIN_CONFIGURATION. STATIC_METADATA_NOT_BUSINESS_UAT</x:v>
      </x:c>
    </x:row>
    <x:row r="12" ht="42" customHeight="1">
      <x:c r="A12" s="14" t="str">
        <x:v>FE-5</x:v>
      </x:c>
      <x:c r="B12" s="6" t="str">
        <x:v>PANTALLA</x:v>
      </x:c>
      <x:c r="C12" s="6" t="str">
        <x:v>/app/admin/strategy/foundation-strategic-objectives</x:v>
      </x:c>
      <x:c r="D12" s="6" t="str">
        <x:v>ADMIN</x:v>
      </x:c>
      <x:c r="E12" s="6" t="str">
        <x:v>frontend/src/features/enterprise-structure/pages/AdminEnterpriseStructurePage.tsx</x:v>
      </x:c>
      <x:c r="F12" s="6" t="str">
        <x:v>Enterprise Foundation &gt; Strategic Objectives</x:v>
      </x:c>
      <x:c r="G12" s="6" t="str">
        <x:v>can_configure</x:v>
      </x:c>
      <x:c r="H12" s="6" t="str">
        <x:v>RENDERER_REGISTERED</x:v>
      </x:c>
      <x:c r="I12" s="6" t="str">
        <x:v>foundation-strategic-objectives</x:v>
      </x:c>
      <x:c r="J12" s="6" t="str">
        <x:v>ADMIN_CONFIGURATION. STATIC_METADATA_NOT_BUSINESS_UAT</x:v>
      </x:c>
    </x:row>
    <x:row r="13" ht="42" customHeight="1">
      <x:c r="A13" s="15" t="str">
        <x:v>FE-6</x:v>
      </x:c>
      <x:c r="B13" s="13" t="str">
        <x:v>PANTALLA</x:v>
      </x:c>
      <x:c r="C13" s="13" t="str">
        <x:v>/app/admin/strategy/workspace-defaults</x:v>
      </x:c>
      <x:c r="D13" s="13" t="str">
        <x:v>ADMIN</x:v>
      </x:c>
      <x:c r="E13" s="13" t="str">
        <x:v>frontend/src/components/AdminConfigurationView.tsx</x:v>
      </x:c>
      <x:c r="F13" s="13" t="str">
        <x:v>Enterprise Foundation &gt; Workspace Defaults &amp; Inheritance</x:v>
      </x:c>
      <x:c r="G13" s="13" t="str">
        <x:v>can_configure</x:v>
      </x:c>
      <x:c r="H13" s="13" t="str">
        <x:v>RENDERER_REGISTERED</x:v>
      </x:c>
      <x:c r="I13" s="13" t="str">
        <x:v>workspace-defaults</x:v>
      </x:c>
      <x:c r="J13" s="13" t="str">
        <x:v>ADMIN_CONFIGURATION. STATIC_METADATA_NOT_BUSINESS_UAT</x:v>
      </x:c>
    </x:row>
    <x:row r="14" ht="42" customHeight="1">
      <x:c r="A14" s="14" t="str">
        <x:v>FE-7</x:v>
      </x:c>
      <x:c r="B14" s="6" t="str">
        <x:v>PANTALLA</x:v>
      </x:c>
      <x:c r="C14" s="6" t="str">
        <x:v>/app/admin/strategy/module-catalog-activation</x:v>
      </x:c>
      <x:c r="D14" s="6" t="str">
        <x:v>ADMIN</x:v>
      </x:c>
      <x:c r="E14" s="6" t="str">
        <x:v>frontend/src/components/AdminConfigurationView.tsx</x:v>
      </x:c>
      <x:c r="F14" s="6" t="str">
        <x:v>Enterprise Foundation &gt; Module Catalog &amp; Activation</x:v>
      </x:c>
      <x:c r="G14" s="6" t="str">
        <x:v>can_configure</x:v>
      </x:c>
      <x:c r="H14" s="6" t="str">
        <x:v>RENDERER_REGISTERED</x:v>
      </x:c>
      <x:c r="I14" s="6" t="str">
        <x:v>module-catalog-activation</x:v>
      </x:c>
      <x:c r="J14" s="6" t="str">
        <x:v>ADMIN_CONFIGURATION. STATIC_METADATA_NOT_BUSINESS_UAT</x:v>
      </x:c>
    </x:row>
    <x:row r="15" ht="42" customHeight="1">
      <x:c r="A15" s="15" t="str">
        <x:v>FE-8</x:v>
      </x:c>
      <x:c r="B15" s="13" t="str">
        <x:v>PANTALLA</x:v>
      </x:c>
      <x:c r="C15" s="13" t="str">
        <x:v>/app/admin/strategy/workspace-navigation-profiles</x:v>
      </x:c>
      <x:c r="D15" s="13" t="str">
        <x:v>ADMIN</x:v>
      </x:c>
      <x:c r="E15" s="13" t="str">
        <x:v>frontend/src/components/AdminConfigurationView.tsx</x:v>
      </x:c>
      <x:c r="F15" s="13" t="str">
        <x:v>Enterprise Foundation &gt; Workspace Navigation Profiles</x:v>
      </x:c>
      <x:c r="G15" s="13" t="str">
        <x:v>can_configure</x:v>
      </x:c>
      <x:c r="H15" s="13" t="str">
        <x:v>RENDERER_REGISTERED</x:v>
      </x:c>
      <x:c r="I15" s="13" t="str">
        <x:v>workspace-navigation-profiles</x:v>
      </x:c>
      <x:c r="J15" s="13" t="str">
        <x:v>ADMIN_CONFIGURATION. STATIC_METADATA_NOT_BUSINESS_UAT</x:v>
      </x:c>
    </x:row>
    <x:row r="16" ht="42" customHeight="1">
      <x:c r="A16" s="14" t="str">
        <x:v>FE-9</x:v>
      </x:c>
      <x:c r="B16" s="6" t="str">
        <x:v>PANTALLA</x:v>
      </x:c>
      <x:c r="C16" s="6" t="str">
        <x:v>/app/admin/strategy/risk-governance-configuration</x:v>
      </x:c>
      <x:c r="D16" s="6" t="str">
        <x:v>ADMIN</x:v>
      </x:c>
      <x:c r="E16" s="6" t="str">
        <x:v>frontend/src/features/risk-governance/RiskGovernanceAdminView.tsx</x:v>
      </x:c>
      <x:c r="F16" s="6" t="str">
        <x:v>Enterprise Foundation &gt; Risk Governance</x:v>
      </x:c>
      <x:c r="G16" s="6" t="str">
        <x:v>can_configure</x:v>
      </x:c>
      <x:c r="H16" s="6" t="str">
        <x:v>RENDERER_REGISTERED</x:v>
      </x:c>
      <x:c r="I16" s="6" t="str">
        <x:v>risk-governance-configuration</x:v>
      </x:c>
      <x:c r="J16" s="6" t="str">
        <x:v>ADMIN_CONFIGURATION. STATIC_METADATA_NOT_BUSINESS_UAT</x:v>
      </x:c>
    </x:row>
    <x:row r="17" ht="53" customHeight="1">
      <x:c r="A17" s="15" t="str">
        <x:v>FE-10</x:v>
      </x:c>
      <x:c r="B17" s="13" t="str">
        <x:v>PANTALLA</x:v>
      </x:c>
      <x:c r="C17" s="13" t="str">
        <x:v>/app/admin/strategy/capital-planning-configuration</x:v>
      </x:c>
      <x:c r="D17" s="13" t="str">
        <x:v>ADMIN</x:v>
      </x:c>
      <x:c r="E17" s="13" t="str">
        <x:v>frontend/src/features/capital-planning/CapitalPlanningAdminView.tsx</x:v>
      </x:c>
      <x:c r="F17" s="13" t="str">
        <x:v>Strategic Capital Planning &amp; Demand Configuration &gt; Strategic Capital Planning &amp; Demand Configuration</x:v>
      </x:c>
      <x:c r="G17" s="13" t="str">
        <x:v>can_configure</x:v>
      </x:c>
      <x:c r="H17" s="13" t="str">
        <x:v>RENDERER_REGISTERED</x:v>
      </x:c>
      <x:c r="I17" s="13" t="str">
        <x:v>capital-planning-configuration</x:v>
      </x:c>
      <x:c r="J17" s="13" t="str">
        <x:v>ADMIN_CONFIGURATION. STATIC_METADATA_NOT_BUSINESS_UAT</x:v>
      </x:c>
    </x:row>
    <x:row r="18" ht="42" customHeight="1">
      <x:c r="A18" s="14" t="str">
        <x:v>FE-11</x:v>
      </x:c>
      <x:c r="B18" s="6" t="str">
        <x:v>PANTALLA</x:v>
      </x:c>
      <x:c r="C18" s="6" t="str">
        <x:v>/app/admin/strategy/strategic-capital-bucket-configuration</x:v>
      </x:c>
      <x:c r="D18" s="6" t="str">
        <x:v>ADMIN</x:v>
      </x:c>
      <x:c r="E18" s="6" t="str">
        <x:v>frontend/src/features/capital-planning/CapitalPlanningAdminView.tsx</x:v>
      </x:c>
      <x:c r="F18" s="6" t="str">
        <x:v>Strategic Capital Planning &amp; Demand Configuration &gt; Strategic Capital Buckets</x:v>
      </x:c>
      <x:c r="G18" s="6" t="str">
        <x:v>can_configure</x:v>
      </x:c>
      <x:c r="H18" s="6" t="str">
        <x:v>RENDERER_REGISTERED</x:v>
      </x:c>
      <x:c r="I18" s="6" t="str">
        <x:v>strategic-capital-bucket-configuration</x:v>
      </x:c>
      <x:c r="J18" s="6" t="str">
        <x:v>ADMIN_CONFIGURATION. STATIC_METADATA_NOT_BUSINESS_UAT</x:v>
      </x:c>
    </x:row>
    <x:row r="19" ht="42" customHeight="1">
      <x:c r="A19" s="15" t="str">
        <x:v>FE-12</x:v>
      </x:c>
      <x:c r="B19" s="13" t="str">
        <x:v>PANTALLA</x:v>
      </x:c>
      <x:c r="C19" s="13" t="str">
        <x:v>/app/admin/strategy/idea-demand-configuration</x:v>
      </x:c>
      <x:c r="D19" s="13" t="str">
        <x:v>ADMIN</x:v>
      </x:c>
      <x:c r="E19" s="13" t="str">
        <x:v>frontend/src/features/idea-demand/IdeaDemandAdminView.tsx</x:v>
      </x:c>
      <x:c r="F19" s="13" t="str">
        <x:v>Investment Origination &amp; Shaping Configuration &gt; Idea &amp; Demand Configuration</x:v>
      </x:c>
      <x:c r="G19" s="13" t="str">
        <x:v>can_configure</x:v>
      </x:c>
      <x:c r="H19" s="13" t="str">
        <x:v>RENDERER_REGISTERED</x:v>
      </x:c>
      <x:c r="I19" s="13" t="str">
        <x:v>idea-demand-configuration</x:v>
      </x:c>
      <x:c r="J19" s="13" t="str">
        <x:v>ADMIN_CONFIGURATION. STATIC_METADATA_NOT_BUSINESS_UAT</x:v>
      </x:c>
    </x:row>
    <x:row r="20" ht="53" customHeight="1">
      <x:c r="A20" s="14" t="str">
        <x:v>FE-13</x:v>
      </x:c>
      <x:c r="B20" s="6" t="str">
        <x:v>PANTALLA</x:v>
      </x:c>
      <x:c r="C20" s="6" t="str">
        <x:v>/app/admin/strategy/business-analysis-configuration</x:v>
      </x:c>
      <x:c r="D20" s="6" t="str">
        <x:v>ADMIN</x:v>
      </x:c>
      <x:c r="E20" s="6" t="str">
        <x:v>frontend/src/features/business-analysis/BusinessAnalysisAdminView.tsx</x:v>
      </x:c>
      <x:c r="F20" s="6" t="str">
        <x:v>Investment Origination &amp; Shaping Configuration &gt; Business Analysis Configuration</x:v>
      </x:c>
      <x:c r="G20" s="6" t="str">
        <x:v>can_configure</x:v>
      </x:c>
      <x:c r="H20" s="6" t="str">
        <x:v>RENDERER_REGISTERED</x:v>
      </x:c>
      <x:c r="I20" s="6" t="str">
        <x:v>business-analysis-configuration</x:v>
      </x:c>
      <x:c r="J20" s="6" t="str">
        <x:v>ADMIN_CONFIGURATION. STATIC_METADATA_NOT_BUSINESS_UAT</x:v>
      </x:c>
    </x:row>
    <x:row r="21" ht="53" customHeight="1">
      <x:c r="A21" s="15" t="str">
        <x:v>FE-14</x:v>
      </x:c>
      <x:c r="B21" s="13" t="str">
        <x:v>PANTALLA</x:v>
      </x:c>
      <x:c r="C21" s="13" t="str">
        <x:v>/app/admin/strategy/project-proposal-configuration</x:v>
      </x:c>
      <x:c r="D21" s="13" t="str">
        <x:v>ADMIN</x:v>
      </x:c>
      <x:c r="E21" s="13" t="str">
        <x:v>frontend/src/features/project-proposal/ProjectProposalAdminView.tsx</x:v>
      </x:c>
      <x:c r="F21" s="13" t="str">
        <x:v>Investment Origination &amp; Shaping Configuration &gt; Project Proposal Configuration</x:v>
      </x:c>
      <x:c r="G21" s="13" t="str">
        <x:v>can_configure</x:v>
      </x:c>
      <x:c r="H21" s="13" t="str">
        <x:v>RENDERER_REGISTERED</x:v>
      </x:c>
      <x:c r="I21" s="13" t="str">
        <x:v>project-proposal-configuration</x:v>
      </x:c>
      <x:c r="J21" s="13" t="str">
        <x:v>ADMIN_CONFIGURATION. STATIC_METADATA_NOT_BUSINESS_UAT</x:v>
      </x:c>
    </x:row>
    <x:row r="22" ht="42" customHeight="1">
      <x:c r="A22" s="14" t="str">
        <x:v>FE-15</x:v>
      </x:c>
      <x:c r="B22" s="6" t="str">
        <x:v>PANTALLA</x:v>
      </x:c>
      <x:c r="C22" s="6" t="str">
        <x:v>/app/admin/strategy/strategic-gate-configuration</x:v>
      </x:c>
      <x:c r="D22" s="6" t="str">
        <x:v>ADMIN</x:v>
      </x:c>
      <x:c r="E22" s="6" t="str">
        <x:v>frontend/src/features/strategic-gate/StrategicGateAdminView.tsx</x:v>
      </x:c>
      <x:c r="F22" s="6" t="str">
        <x:v>Strategic Gate Decision Configuration &gt; Strategic Gate Decision Configuration</x:v>
      </x:c>
      <x:c r="G22" s="6" t="str">
        <x:v>can_configure</x:v>
      </x:c>
      <x:c r="H22" s="6" t="str">
        <x:v>RENDERER_REGISTERED</x:v>
      </x:c>
      <x:c r="I22" s="6" t="str">
        <x:v>strategic-gate-configuration</x:v>
      </x:c>
      <x:c r="J22" s="6" t="str">
        <x:v>ADMIN_CONFIGURATION. STATIC_METADATA_NOT_BUSINESS_UAT</x:v>
      </x:c>
    </x:row>
    <x:row r="23" ht="42" customHeight="1">
      <x:c r="A23" s="15" t="str">
        <x:v>FE-16</x:v>
      </x:c>
      <x:c r="B23" s="13" t="str">
        <x:v>PANTALLA</x:v>
      </x:c>
      <x:c r="C23" s="13" t="str">
        <x:v>/app/admin/strategy/portfolio-planning-configuration</x:v>
      </x:c>
      <x:c r="D23" s="13" t="str">
        <x:v>ADMIN</x:v>
      </x:c>
      <x:c r="E23" s="13" t="str">
        <x:v>frontend/src/features/portfolio-planning/PortfolioPlanningAdminView.tsx</x:v>
      </x:c>
      <x:c r="F23" s="13" t="str">
        <x:v>Portfolio Planning &amp; Review Configuration &gt; Portfolio Intake</x:v>
      </x:c>
      <x:c r="G23" s="13" t="str">
        <x:v>can_configure</x:v>
      </x:c>
      <x:c r="H23" s="13" t="str">
        <x:v>RENDERER_REGISTERED</x:v>
      </x:c>
      <x:c r="I23" s="13" t="str">
        <x:v>portfolio-planning-configuration</x:v>
      </x:c>
      <x:c r="J23" s="13" t="str">
        <x:v>ADMIN_CONFIGURATION. STATIC_METADATA_NOT_BUSINESS_UAT</x:v>
      </x:c>
    </x:row>
    <x:row r="24" ht="42" customHeight="1">
      <x:c r="A24" s="14" t="str">
        <x:v>FE-17</x:v>
      </x:c>
      <x:c r="B24" s="6" t="str">
        <x:v>PANTALLA</x:v>
      </x:c>
      <x:c r="C24" s="6" t="str">
        <x:v>/app/admin/strategy/portfolio-evaluation-configuration</x:v>
      </x:c>
      <x:c r="D24" s="6" t="str">
        <x:v>ADMIN</x:v>
      </x:c>
      <x:c r="E24" s="6" t="str">
        <x:v>frontend/src/features/portfolio-evaluation/PortfolioEvaluationAdminView.tsx</x:v>
      </x:c>
      <x:c r="F24" s="6" t="str">
        <x:v>Portfolio Planning &amp; Review Configuration &gt; Evaluation &amp; Prioritization</x:v>
      </x:c>
      <x:c r="G24" s="6" t="str">
        <x:v>can_configure</x:v>
      </x:c>
      <x:c r="H24" s="6" t="str">
        <x:v>RENDERER_REGISTERED</x:v>
      </x:c>
      <x:c r="I24" s="6" t="str">
        <x:v>portfolio-evaluation-configuration</x:v>
      </x:c>
      <x:c r="J24" s="6" t="str">
        <x:v>ADMIN_CONFIGURATION. STATIC_METADATA_NOT_BUSINESS_UAT</x:v>
      </x:c>
    </x:row>
    <x:row r="25" ht="42" customHeight="1">
      <x:c r="A25" s="15" t="str">
        <x:v>FE-18</x:v>
      </x:c>
      <x:c r="B25" s="13" t="str">
        <x:v>PANTALLA</x:v>
      </x:c>
      <x:c r="C25" s="13" t="str">
        <x:v>/app/admin/strategy/portfolio-analysis-configuration</x:v>
      </x:c>
      <x:c r="D25" s="13" t="str">
        <x:v>ADMIN</x:v>
      </x:c>
      <x:c r="E25" s="13" t="str">
        <x:v>frontend/src/features/portfolio-analysis/PortfolioAnalysisAdminView.tsx</x:v>
      </x:c>
      <x:c r="F25" s="13" t="str">
        <x:v>Portfolio Planning &amp; Review Configuration &gt; Portfolio Analysis</x:v>
      </x:c>
      <x:c r="G25" s="13" t="str">
        <x:v>can_configure</x:v>
      </x:c>
      <x:c r="H25" s="13" t="str">
        <x:v>RENDERER_REGISTERED</x:v>
      </x:c>
      <x:c r="I25" s="13" t="str">
        <x:v>portfolio-analysis-configuration</x:v>
      </x:c>
      <x:c r="J25" s="13" t="str">
        <x:v>ADMIN_CONFIGURATION. STATIC_METADATA_NOT_BUSINESS_UAT</x:v>
      </x:c>
    </x:row>
    <x:row r="26" ht="42" customHeight="1">
      <x:c r="A26" s="14" t="str">
        <x:v>FE-19</x:v>
      </x:c>
      <x:c r="B26" s="6" t="str">
        <x:v>PANTALLA</x:v>
      </x:c>
      <x:c r="C26" s="6" t="str">
        <x:v>/app/admin/strategy/portfolio-review-configuration</x:v>
      </x:c>
      <x:c r="D26" s="6" t="str">
        <x:v>ADMIN</x:v>
      </x:c>
      <x:c r="E26" s="6" t="str">
        <x:v>frontend/src/features/portfolio-review/PortfolioReviewAdminView.tsx</x:v>
      </x:c>
      <x:c r="F26" s="6" t="str">
        <x:v>Portfolio Planning &amp; Review Configuration &gt; Periodic Portfolio Review</x:v>
      </x:c>
      <x:c r="G26" s="6" t="str">
        <x:v>can_configure</x:v>
      </x:c>
      <x:c r="H26" s="6" t="str">
        <x:v>RENDERER_REGISTERED</x:v>
      </x:c>
      <x:c r="I26" s="6" t="str">
        <x:v>portfolio-review-configuration</x:v>
      </x:c>
      <x:c r="J26" s="6" t="str">
        <x:v>ADMIN_CONFIGURATION. STATIC_METADATA_NOT_BUSINESS_UAT</x:v>
      </x:c>
    </x:row>
    <x:row r="27" ht="42" customHeight="1">
      <x:c r="A27" s="15" t="str">
        <x:v>FE-20</x:v>
      </x:c>
      <x:c r="B27" s="13" t="str">
        <x:v>PANTALLA</x:v>
      </x:c>
      <x:c r="C27" s="13" t="str">
        <x:v>/app/admin/strategy/portfolio-budget-planning-configuration</x:v>
      </x:c>
      <x:c r="D27" s="13" t="str">
        <x:v>ADMIN</x:v>
      </x:c>
      <x:c r="E27" s="13" t="str">
        <x:v>frontend/src/features/portfolio-budget/PortfolioBudgetAdminView.tsx</x:v>
      </x:c>
      <x:c r="F27" s="13" t="str">
        <x:v>Portfolio Scenario Planning Configuration &gt; Budget Planning</x:v>
      </x:c>
      <x:c r="G27" s="13" t="str">
        <x:v>can_configure</x:v>
      </x:c>
      <x:c r="H27" s="13" t="str">
        <x:v>RENDERER_REGISTERED</x:v>
      </x:c>
      <x:c r="I27" s="13" t="str">
        <x:v>portfolio-budget-planning-configuration</x:v>
      </x:c>
      <x:c r="J27" s="13" t="str">
        <x:v>ADMIN_CONFIGURATION. STATIC_METADATA_NOT_BUSINESS_UAT</x:v>
      </x:c>
    </x:row>
    <x:row r="28" ht="42" customHeight="1">
      <x:c r="A28" s="14" t="str">
        <x:v>FE-21</x:v>
      </x:c>
      <x:c r="B28" s="6" t="str">
        <x:v>PANTALLA</x:v>
      </x:c>
      <x:c r="C28" s="6" t="str">
        <x:v>/app/admin/strategy/portfolio-resource-planning-configuration</x:v>
      </x:c>
      <x:c r="D28" s="6" t="str">
        <x:v>ADMIN</x:v>
      </x:c>
      <x:c r="E28" s="6" t="str">
        <x:v>frontend/src/features/portfolio-resource/PortfolioResourceAdminView.tsx</x:v>
      </x:c>
      <x:c r="F28" s="6" t="str">
        <x:v>Portfolio Scenario Planning Configuration &gt; Resource Planning</x:v>
      </x:c>
      <x:c r="G28" s="6" t="str">
        <x:v>can_configure</x:v>
      </x:c>
      <x:c r="H28" s="6" t="str">
        <x:v>RENDERER_REGISTERED</x:v>
      </x:c>
      <x:c r="I28" s="6" t="str">
        <x:v>portfolio-resource-planning-configuration</x:v>
      </x:c>
      <x:c r="J28" s="6" t="str">
        <x:v>ADMIN_CONFIGURATION. STATIC_METADATA_NOT_BUSINESS_UAT</x:v>
      </x:c>
    </x:row>
    <x:row r="29" ht="42" customHeight="1">
      <x:c r="A29" s="15" t="str">
        <x:v>FE-22</x:v>
      </x:c>
      <x:c r="B29" s="13" t="str">
        <x:v>PANTALLA</x:v>
      </x:c>
      <x:c r="C29" s="13" t="str">
        <x:v>/app/admin/strategy/portfolio-scenario-convergence-configuration</x:v>
      </x:c>
      <x:c r="D29" s="13" t="str">
        <x:v>ADMIN</x:v>
      </x:c>
      <x:c r="E29" s="13" t="str">
        <x:v>frontend/src/features/portfolio-convergence/PortfolioConvergenceAdminView.tsx</x:v>
      </x:c>
      <x:c r="F29" s="13" t="str">
        <x:v>Portfolio Scenario Planning Configuration &gt; Scenario Convergence</x:v>
      </x:c>
      <x:c r="G29" s="13" t="str">
        <x:v>can_configure</x:v>
      </x:c>
      <x:c r="H29" s="13" t="str">
        <x:v>RENDERER_REGISTERED</x:v>
      </x:c>
      <x:c r="I29" s="13" t="str">
        <x:v>portfolio-scenario-convergence-configuration</x:v>
      </x:c>
      <x:c r="J29" s="13" t="str">
        <x:v>ADMIN_CONFIGURATION. STATIC_METADATA_NOT_BUSINESS_UAT</x:v>
      </x:c>
    </x:row>
    <x:row r="30" ht="42" customHeight="1">
      <x:c r="A30" s="14" t="str">
        <x:v>FE-23</x:v>
      </x:c>
      <x:c r="B30" s="6" t="str">
        <x:v>PANTALLA</x:v>
      </x:c>
      <x:c r="C30" s="6" t="str">
        <x:v>/app/admin/strategy/project-definition-configuration</x:v>
      </x:c>
      <x:c r="D30" s="6" t="str">
        <x:v>ADMIN</x:v>
      </x:c>
      <x:c r="E30" s="6" t="str">
        <x:v>frontend/src/features/project-definition/ProjectDefinitionAdminView.tsx</x:v>
      </x:c>
      <x:c r="F30" s="6" t="str">
        <x:v>Project Definition &amp; Investment Case &gt; Project Definition / FEL</x:v>
      </x:c>
      <x:c r="G30" s="6" t="str">
        <x:v>can_configure</x:v>
      </x:c>
      <x:c r="H30" s="6" t="str">
        <x:v>RENDERER_REGISTERED</x:v>
      </x:c>
      <x:c r="I30" s="6" t="str">
        <x:v>project-definition-configuration</x:v>
      </x:c>
      <x:c r="J30" s="6" t="str">
        <x:v>ADMIN_CONFIGURATION. STATIC_METADATA_NOT_BUSINESS_UAT</x:v>
      </x:c>
    </x:row>
    <x:row r="31" ht="42" customHeight="1">
      <x:c r="A31" s="15" t="str">
        <x:v>FE-24</x:v>
      </x:c>
      <x:c r="B31" s="13" t="str">
        <x:v>PANTALLA</x:v>
      </x:c>
      <x:c r="C31" s="13" t="str">
        <x:v>/app/admin/strategy/business-case-configuration</x:v>
      </x:c>
      <x:c r="D31" s="13" t="str">
        <x:v>ADMIN</x:v>
      </x:c>
      <x:c r="E31" s="13" t="str">
        <x:v>frontend/src/features/business-case/BusinessCaseAdminView.tsx</x:v>
      </x:c>
      <x:c r="F31" s="13" t="str">
        <x:v>Project Definition &amp; Investment Case &gt; Business Case Manager</x:v>
      </x:c>
      <x:c r="G31" s="13" t="str">
        <x:v>can_configure</x:v>
      </x:c>
      <x:c r="H31" s="13" t="str">
        <x:v>RENDERER_REGISTERED</x:v>
      </x:c>
      <x:c r="I31" s="13" t="str">
        <x:v>business-case-configuration</x:v>
      </x:c>
      <x:c r="J31" s="13" t="str">
        <x:v>ADMIN_CONFIGURATION. STATIC_METADATA_NOT_BUSINESS_UAT</x:v>
      </x:c>
    </x:row>
    <x:row r="32" ht="42" customHeight="1">
      <x:c r="A32" s="14" t="str">
        <x:v>FE-25</x:v>
      </x:c>
      <x:c r="B32" s="6" t="str">
        <x:v>PANTALLA</x:v>
      </x:c>
      <x:c r="C32" s="6" t="str">
        <x:v>/app/admin/strategy/benefits-configuration</x:v>
      </x:c>
      <x:c r="D32" s="6" t="str">
        <x:v>ADMIN</x:v>
      </x:c>
      <x:c r="E32" s="6" t="str">
        <x:v>frontend/src/features/strategic-benefits/StrategicBenefitsAdminView.tsx</x:v>
      </x:c>
      <x:c r="F32" s="6" t="str">
        <x:v>Project Definition &amp; Investment Case &gt; Benefits Configuration</x:v>
      </x:c>
      <x:c r="G32" s="6" t="str">
        <x:v>can_configure</x:v>
      </x:c>
      <x:c r="H32" s="6" t="str">
        <x:v>RENDERER_REGISTERED</x:v>
      </x:c>
      <x:c r="I32" s="6" t="str">
        <x:v>benefits-configuration</x:v>
      </x:c>
      <x:c r="J32" s="6" t="str">
        <x:v>ADMIN_CONFIGURATION. STATIC_METADATA_NOT_BUSINESS_UAT</x:v>
      </x:c>
    </x:row>
    <x:row r="33" ht="42" customHeight="1">
      <x:c r="A33" s="15" t="str">
        <x:v>FE-26</x:v>
      </x:c>
      <x:c r="B33" s="13" t="str">
        <x:v>PANTALLA</x:v>
      </x:c>
      <x:c r="C33" s="13" t="str">
        <x:v>/app/admin/strategy/commercial-strategy-configuration</x:v>
      </x:c>
      <x:c r="D33" s="13" t="str">
        <x:v>ADMIN</x:v>
      </x:c>
      <x:c r="E33" s="13" t="str">
        <x:v>frontend/src/features/commercial-strategy/CommercialStrategyAdminView.tsx</x:v>
      </x:c>
      <x:c r="F33" s="13" t="str">
        <x:v>Project Definition &amp; Investment Case &gt; Commercial Strategy Configuration</x:v>
      </x:c>
      <x:c r="G33" s="13" t="str">
        <x:v>can_configure</x:v>
      </x:c>
      <x:c r="H33" s="13" t="str">
        <x:v>RENDERER_REGISTERED</x:v>
      </x:c>
      <x:c r="I33" s="13" t="str">
        <x:v>commercial-strategy-configuration</x:v>
      </x:c>
      <x:c r="J33" s="13" t="str">
        <x:v>ADMIN_CONFIGURATION. STATIC_METADATA_NOT_BUSINESS_UAT</x:v>
      </x:c>
    </x:row>
    <x:row r="34" ht="42" customHeight="1">
      <x:c r="A34" s="14" t="str">
        <x:v>FE-27</x:v>
      </x:c>
      <x:c r="B34" s="6" t="str">
        <x:v>PANTALLA</x:v>
      </x:c>
      <x:c r="C34" s="6" t="str">
        <x:v>/app/admin/strategy/funds-manager-configuration</x:v>
      </x:c>
      <x:c r="D34" s="6" t="str">
        <x:v>ADMIN</x:v>
      </x:c>
      <x:c r="E34" s="6" t="str">
        <x:v>frontend/src/features/funds-manager/FundsManagerAdminView.tsx</x:v>
      </x:c>
      <x:c r="F34" s="6" t="str">
        <x:v>Project Definition &amp; Investment Case &gt; Funds &amp; Funding Readiness</x:v>
      </x:c>
      <x:c r="G34" s="6" t="str">
        <x:v>can_configure</x:v>
      </x:c>
      <x:c r="H34" s="6" t="str">
        <x:v>RENDERER_REGISTERED</x:v>
      </x:c>
      <x:c r="I34" s="6" t="str">
        <x:v>funds-manager-configuration</x:v>
      </x:c>
      <x:c r="J34" s="6" t="str">
        <x:v>ADMIN_CONFIGURATION. STATIC_METADATA_NOT_BUSINESS_UAT</x:v>
      </x:c>
    </x:row>
    <x:row r="35" ht="42" customHeight="1">
      <x:c r="A35" s="15" t="str">
        <x:v>FE-28</x:v>
      </x:c>
      <x:c r="B35" s="13" t="str">
        <x:v>PANTALLA</x:v>
      </x:c>
      <x:c r="C35" s="13" t="str">
        <x:v>/app/admin/strategy/financial-model-configuration</x:v>
      </x:c>
      <x:c r="D35" s="13" t="str">
        <x:v>ADMIN</x:v>
      </x:c>
      <x:c r="E35" s="13" t="str">
        <x:v>frontend/src/features/economic-financial-model/EconomicFinancialModelAdminView.tsx</x:v>
      </x:c>
      <x:c r="F35" s="13" t="str">
        <x:v>Project Definition &amp; Investment Case &gt; Economic &amp; Financial Model</x:v>
      </x:c>
      <x:c r="G35" s="13" t="str">
        <x:v>can_configure</x:v>
      </x:c>
      <x:c r="H35" s="13" t="str">
        <x:v>RENDERER_REGISTERED</x:v>
      </x:c>
      <x:c r="I35" s="13" t="str">
        <x:v>financial-model-configuration</x:v>
      </x:c>
      <x:c r="J35" s="13" t="str">
        <x:v>ADMIN_CONFIGURATION. STATIC_METADATA_NOT_BUSINESS_UAT</x:v>
      </x:c>
    </x:row>
    <x:row r="36" ht="42" customHeight="1">
      <x:c r="A36" s="14" t="str">
        <x:v>FE-29</x:v>
      </x:c>
      <x:c r="B36" s="6" t="str">
        <x:v>PANTALLA</x:v>
      </x:c>
      <x:c r="C36" s="6" t="str">
        <x:v>/app/admin/strategy/risk-readiness-configuration</x:v>
      </x:c>
      <x:c r="D36" s="6" t="str">
        <x:v>ADMIN</x:v>
      </x:c>
      <x:c r="E36" s="6" t="str">
        <x:v>frontend/src/features/risk-readiness/RiskReadinessAdminView.tsx</x:v>
      </x:c>
      <x:c r="F36" s="6" t="str">
        <x:v>Project Definition &amp; Investment Case &gt; Risk Readiness</x:v>
      </x:c>
      <x:c r="G36" s="6" t="str">
        <x:v>can_configure</x:v>
      </x:c>
      <x:c r="H36" s="6" t="str">
        <x:v>RENDERER_REGISTERED</x:v>
      </x:c>
      <x:c r="I36" s="6" t="str">
        <x:v>risk-readiness-configuration</x:v>
      </x:c>
      <x:c r="J36" s="6" t="str">
        <x:v>ADMIN_CONFIGURATION. STATIC_METADATA_NOT_BUSINESS_UAT</x:v>
      </x:c>
    </x:row>
    <x:row r="37" ht="42" customHeight="1">
      <x:c r="A37" s="15" t="str">
        <x:v>FE-30</x:v>
      </x:c>
      <x:c r="B37" s="13" t="str">
        <x:v>PANTALLA</x:v>
      </x:c>
      <x:c r="C37" s="13" t="str">
        <x:v>/app/admin/strategy/permit-readiness-configuration</x:v>
      </x:c>
      <x:c r="D37" s="13" t="str">
        <x:v>ADMIN</x:v>
      </x:c>
      <x:c r="E37" s="13" t="str">
        <x:v>frontend/src/features/permit-readiness/PermitReadinessAdminView.tsx</x:v>
      </x:c>
      <x:c r="F37" s="13" t="str">
        <x:v>Project Definition &amp; Investment Case &gt; Permit Readiness</x:v>
      </x:c>
      <x:c r="G37" s="13" t="str">
        <x:v>can_configure</x:v>
      </x:c>
      <x:c r="H37" s="13" t="str">
        <x:v>RENDERER_REGISTERED</x:v>
      </x:c>
      <x:c r="I37" s="13" t="str">
        <x:v>permit-readiness-configuration</x:v>
      </x:c>
      <x:c r="J37" s="13" t="str">
        <x:v>ADMIN_CONFIGURATION. STATIC_METADATA_NOT_BUSINESS_UAT</x:v>
      </x:c>
    </x:row>
    <x:row r="38" ht="42" customHeight="1">
      <x:c r="A38" s="14" t="str">
        <x:v>FE-31</x:v>
      </x:c>
      <x:c r="B38" s="6" t="str">
        <x:v>PANTALLA</x:v>
      </x:c>
      <x:c r="C38" s="6" t="str">
        <x:v>/app/admin/strategy/basic-data-configuration</x:v>
      </x:c>
      <x:c r="D38" s="6" t="str">
        <x:v>ADMIN</x:v>
      </x:c>
      <x:c r="E38" s="6" t="str">
        <x:v>frontend/src/features/basic-data/BasicDataAdminView.tsx</x:v>
      </x:c>
      <x:c r="F38" s="6" t="str">
        <x:v>Project Definition &amp; Investment Case &gt; Basic Data Readiness Configuration</x:v>
      </x:c>
      <x:c r="G38" s="6" t="str">
        <x:v>can_configure</x:v>
      </x:c>
      <x:c r="H38" s="6" t="str">
        <x:v>RENDERER_REGISTERED</x:v>
      </x:c>
      <x:c r="I38" s="6" t="str">
        <x:v>basic-data-configuration</x:v>
      </x:c>
      <x:c r="J38" s="6" t="str">
        <x:v>ADMIN_CONFIGURATION. STATIC_METADATA_NOT_BUSINESS_UAT</x:v>
      </x:c>
    </x:row>
    <x:row r="39" ht="53" customHeight="1">
      <x:c r="A39" s="15" t="str">
        <x:v>FE-32</x:v>
      </x:c>
      <x:c r="B39" s="13" t="str">
        <x:v>PANTALLA</x:v>
      </x:c>
      <x:c r="C39" s="13" t="str">
        <x:v>/app/admin/strategy/owner-capability-configuration</x:v>
      </x:c>
      <x:c r="D39" s="13" t="str">
        <x:v>ADMIN</x:v>
      </x:c>
      <x:c r="E39" s="13" t="str">
        <x:v>frontend/src/features/owner-capability/OwnerCapabilityAdminView.tsx</x:v>
      </x:c>
      <x:c r="F39" s="13" t="str">
        <x:v>Project Definition &amp; Investment Case &gt; Owner Capability Readiness Configuration</x:v>
      </x:c>
      <x:c r="G39" s="13" t="str">
        <x:v>can_configure</x:v>
      </x:c>
      <x:c r="H39" s="13" t="str">
        <x:v>RENDERER_REGISTERED</x:v>
      </x:c>
      <x:c r="I39" s="13" t="str">
        <x:v>owner-capability-configuration</x:v>
      </x:c>
      <x:c r="J39" s="13" t="str">
        <x:v>ADMIN_CONFIGURATION. STATIC_METADATA_NOT_BUSINESS_UAT</x:v>
      </x:c>
    </x:row>
    <x:row r="40" ht="42" customHeight="1">
      <x:c r="A40" s="14" t="str">
        <x:v>FE-33</x:v>
      </x:c>
      <x:c r="B40" s="6" t="str">
        <x:v>PANTALLA</x:v>
      </x:c>
      <x:c r="C40" s="6" t="str">
        <x:v>/app/admin/strategy/qra-methodology-source-readiness</x:v>
      </x:c>
      <x:c r="D40" s="6" t="str">
        <x:v>ADMIN</x:v>
      </x:c>
      <x:c r="E40" s="6" t="str">
        <x:v>frontend/src/features/qra-foundation/QraFoundationAdminView.tsx</x:v>
      </x:c>
      <x:c r="F40" s="6" t="str">
        <x:v>Project Definition &amp; Investment Case &gt; QRA Methodology &amp; Source Readiness</x:v>
      </x:c>
      <x:c r="G40" s="6" t="str">
        <x:v>can_configure</x:v>
      </x:c>
      <x:c r="H40" s="6" t="str">
        <x:v>RENDERER_REGISTERED</x:v>
      </x:c>
      <x:c r="I40" s="6" t="str">
        <x:v>qra-methodology-source-readiness</x:v>
      </x:c>
      <x:c r="J40" s="6" t="str">
        <x:v>ADMIN_CONFIGURATION. STATIC_METADATA_NOT_BUSINESS_UAT</x:v>
      </x:c>
    </x:row>
    <x:row r="41" ht="42" customHeight="1">
      <x:c r="A41" s="15" t="str">
        <x:v>FE-34</x:v>
      </x:c>
      <x:c r="B41" s="13" t="str">
        <x:v>PANTALLA</x:v>
      </x:c>
      <x:c r="C41" s="13" t="str">
        <x:v>/app/admin/strategy/investment-decision-evidence-policy</x:v>
      </x:c>
      <x:c r="D41" s="13" t="str">
        <x:v>ADMIN</x:v>
      </x:c>
      <x:c r="E41" s="13" t="str">
        <x:v>frontend/src/features/investment-evidence-policy/InvestmentEvidencePolicyAdminView.tsx</x:v>
      </x:c>
      <x:c r="F41" s="13" t="str">
        <x:v>Investment Governance &gt; Evidence &amp; Decision Policy</x:v>
      </x:c>
      <x:c r="G41" s="13" t="str">
        <x:v>can_configure</x:v>
      </x:c>
      <x:c r="H41" s="13" t="str">
        <x:v>RENDERER_REGISTERED</x:v>
      </x:c>
      <x:c r="I41" s="13" t="str">
        <x:v>investment-decision-evidence-policy</x:v>
      </x:c>
      <x:c r="J41" s="13" t="str">
        <x:v>ADMIN_CONFIGURATION. STATIC_METADATA_NOT_BUSINESS_UAT</x:v>
      </x:c>
    </x:row>
    <x:row r="42" ht="42" customHeight="1">
      <x:c r="A42" s="14" t="str">
        <x:v>FE-35</x:v>
      </x:c>
      <x:c r="B42" s="6" t="str">
        <x:v>PANTALLA</x:v>
      </x:c>
      <x:c r="C42" s="6" t="str">
        <x:v>/app/admin/strategy/investment-gate-preparation-configuration</x:v>
      </x:c>
      <x:c r="D42" s="6" t="str">
        <x:v>ADMIN</x:v>
      </x:c>
      <x:c r="E42" s="6" t="str">
        <x:v>frontend/src/features/investment-gate-preparation/InvestmentGatePreparationAdminView.tsx</x:v>
      </x:c>
      <x:c r="F42" s="6" t="str">
        <x:v>Investment Governance &gt; Investment Gate Preparation</x:v>
      </x:c>
      <x:c r="G42" s="6" t="str">
        <x:v>can_configure</x:v>
      </x:c>
      <x:c r="H42" s="6" t="str">
        <x:v>RENDERER_REGISTERED</x:v>
      </x:c>
      <x:c r="I42" s="6" t="str">
        <x:v>investment-gate-preparation-configuration</x:v>
      </x:c>
      <x:c r="J42" s="6" t="str">
        <x:v>ADMIN_CONFIGURATION. STATIC_METADATA_NOT_BUSINESS_UAT</x:v>
      </x:c>
    </x:row>
    <x:row r="43" ht="42" customHeight="1">
      <x:c r="A43" s="15" t="str">
        <x:v>FE-36</x:v>
      </x:c>
      <x:c r="B43" s="13" t="str">
        <x:v>PANTALLA</x:v>
      </x:c>
      <x:c r="C43" s="13" t="str">
        <x:v>/app/admin/strategy/investment-decision-configuration</x:v>
      </x:c>
      <x:c r="D43" s="13" t="str">
        <x:v>ADMIN</x:v>
      </x:c>
      <x:c r="E43" s="13" t="str">
        <x:v>frontend/src/features/investment-decision/InvestmentDecisionAdminView.tsx</x:v>
      </x:c>
      <x:c r="F43" s="13" t="str">
        <x:v>Investment Governance &gt; Investment Decision / FID</x:v>
      </x:c>
      <x:c r="G43" s="13" t="str">
        <x:v>can_configure</x:v>
      </x:c>
      <x:c r="H43" s="13" t="str">
        <x:v>RENDERER_REGISTERED</x:v>
      </x:c>
      <x:c r="I43" s="13" t="str">
        <x:v>investment-decision-configuration</x:v>
      </x:c>
      <x:c r="J43" s="13" t="str">
        <x:v>ADMIN_CONFIGURATION. STATIC_METADATA_NOT_BUSINESS_UAT</x:v>
      </x:c>
    </x:row>
    <x:row r="44" ht="42" customHeight="1">
      <x:c r="A44" s="14" t="str">
        <x:v>FE-37</x:v>
      </x:c>
      <x:c r="B44" s="6" t="str">
        <x:v>PANTALLA</x:v>
      </x:c>
      <x:c r="C44" s="6" t="str">
        <x:v>/app/admin/strategy/post-fid-governance-configuration</x:v>
      </x:c>
      <x:c r="D44" s="6" t="str">
        <x:v>ADMIN</x:v>
      </x:c>
      <x:c r="E44" s="6" t="str">
        <x:v>frontend/src/features/post-fid-governance/PostFIDGovernanceAdminView.tsx</x:v>
      </x:c>
      <x:c r="F44" s="6" t="str">
        <x:v>Investment Governance &gt; Post-FID Project Governance</x:v>
      </x:c>
      <x:c r="G44" s="6" t="str">
        <x:v>can_configure</x:v>
      </x:c>
      <x:c r="H44" s="6" t="str">
        <x:v>RENDERER_REGISTERED</x:v>
      </x:c>
      <x:c r="I44" s="6" t="str">
        <x:v>post-fid-governance-configuration</x:v>
      </x:c>
      <x:c r="J44" s="6" t="str">
        <x:v>ADMIN_CONFIGURATION. STATIC_METADATA_NOT_BUSINESS_UAT</x:v>
      </x:c>
    </x:row>
    <x:row r="45" ht="42" customHeight="1">
      <x:c r="A45" s="15" t="str">
        <x:v>FE-38</x:v>
      </x:c>
      <x:c r="B45" s="13" t="str">
        <x:v>PANTALLA</x:v>
      </x:c>
      <x:c r="C45" s="13" t="str">
        <x:v>/app/strategy/enterprise-strategy-overview</x:v>
      </x:c>
      <x:c r="D45" s="13" t="str">
        <x:v>USER</x:v>
      </x:c>
      <x:c r="E45" s="13" t="str">
        <x:v>frontend/src/features/enterprise-strategy/EnterpriseStrategyLanding.tsx</x:v>
      </x:c>
      <x:c r="F45" s="13" t="str">
        <x:v>Enterprise Foundation &gt; Foundation Status</x:v>
      </x:c>
      <x:c r="G45" s="13" t="str">
        <x:v>authenticated</x:v>
      </x:c>
      <x:c r="H45" s="13" t="str">
        <x:v>RENDERER_REGISTERED</x:v>
      </x:c>
      <x:c r="I45" s="13" t="str">
        <x:v>enterprise-strategy-overview</x:v>
      </x:c>
      <x:c r="J45" s="13" t="str">
        <x:v>READ_ONLY_SHARED. STATIC_METADATA_NOT_BUSINESS_UAT</x:v>
      </x:c>
    </x:row>
    <x:row r="46" ht="42" customHeight="1">
      <x:c r="A46" s="14" t="str">
        <x:v>FE-39</x:v>
      </x:c>
      <x:c r="B46" s="6" t="str">
        <x:v>PANTALLA</x:v>
      </x:c>
      <x:c r="C46" s="6" t="str">
        <x:v>/app/strategy/enterprise-explorer</x:v>
      </x:c>
      <x:c r="D46" s="6" t="str">
        <x:v>USER</x:v>
      </x:c>
      <x:c r="E46" s="6" t="str">
        <x:v>frontend/src/features/enterprise-structure/pages/EnterpriseExplorerPage.tsx</x:v>
      </x:c>
      <x:c r="F46" s="6" t="str">
        <x:v>Enterprise Foundation &gt; Enterprise Explorer</x:v>
      </x:c>
      <x:c r="G46" s="6" t="str">
        <x:v>authenticated</x:v>
      </x:c>
      <x:c r="H46" s="6" t="str">
        <x:v>RENDERER_REGISTERED</x:v>
      </x:c>
      <x:c r="I46" s="6" t="str">
        <x:v>enterprise-explorer</x:v>
      </x:c>
      <x:c r="J46" s="6" t="str">
        <x:v>READ_ONLY_SHARED. STATIC_METADATA_NOT_BUSINESS_UAT</x:v>
      </x:c>
    </x:row>
    <x:row r="47" ht="42" customHeight="1">
      <x:c r="A47" s="15" t="str">
        <x:v>FE-40</x:v>
      </x:c>
      <x:c r="B47" s="13" t="str">
        <x:v>PANTALLA</x:v>
      </x:c>
      <x:c r="C47" s="13" t="str">
        <x:v>/app/strategy/workspace-context</x:v>
      </x:c>
      <x:c r="D47" s="13" t="str">
        <x:v>USER</x:v>
      </x:c>
      <x:c r="E47" s="13" t="str">
        <x:v>frontend/src/features/workspace-context/MyWorkspacesPanel.tsx</x:v>
      </x:c>
      <x:c r="F47" s="13" t="str">
        <x:v>Enterprise Foundation &gt; Workspace Context</x:v>
      </x:c>
      <x:c r="G47" s="13" t="str">
        <x:v>authenticated</x:v>
      </x:c>
      <x:c r="H47" s="13" t="str">
        <x:v>RENDERER_REGISTERED</x:v>
      </x:c>
      <x:c r="I47" s="13" t="str">
        <x:v>workspace-context</x:v>
      </x:c>
      <x:c r="J47" s="13" t="str">
        <x:v>READ_ONLY_SHARED. STATIC_METADATA_NOT_BUSINESS_UAT</x:v>
      </x:c>
    </x:row>
    <x:row r="48" ht="42" customHeight="1">
      <x:c r="A48" s="14" t="str">
        <x:v>FE-41</x:v>
      </x:c>
      <x:c r="B48" s="6" t="str">
        <x:v>PANTALLA</x:v>
      </x:c>
      <x:c r="C48" s="6" t="str">
        <x:v>/app/strategy/capital-planning-cycles</x:v>
      </x:c>
      <x:c r="D48" s="6" t="str">
        <x:v>USER</x:v>
      </x:c>
      <x:c r="E48" s="6" t="str">
        <x:v>frontend/src/features/capital-planning/CapitalPlanningWorkspace.tsx</x:v>
      </x:c>
      <x:c r="F48" s="6" t="str">
        <x:v>Strategic Capital Planning &amp; Demand &gt; Planning Cycles</x:v>
      </x:c>
      <x:c r="G48" s="6" t="str">
        <x:v>authenticated</x:v>
      </x:c>
      <x:c r="H48" s="6" t="str">
        <x:v>RENDERER_REGISTERED</x:v>
      </x:c>
      <x:c r="I48" s="6" t="str">
        <x:v>capital-planning-cycles</x:v>
      </x:c>
      <x:c r="J48" s="6" t="str">
        <x:v>USER_TRANSACTION. STATIC_METADATA_NOT_BUSINESS_UAT</x:v>
      </x:c>
    </x:row>
    <x:row r="49" ht="42" customHeight="1">
      <x:c r="A49" s="15" t="str">
        <x:v>FE-42</x:v>
      </x:c>
      <x:c r="B49" s="13" t="str">
        <x:v>PANTALLA</x:v>
      </x:c>
      <x:c r="C49" s="13" t="str">
        <x:v>/app/strategy/capital-demand-pipeline</x:v>
      </x:c>
      <x:c r="D49" s="13" t="str">
        <x:v>USER</x:v>
      </x:c>
      <x:c r="E49" s="13" t="str">
        <x:v>frontend/src/features/capital-planning/CapitalPlanningWorkspace.tsx</x:v>
      </x:c>
      <x:c r="F49" s="13" t="str">
        <x:v>Strategic Capital Planning &amp; Demand &gt; Capital Demand Pipeline</x:v>
      </x:c>
      <x:c r="G49" s="13" t="str">
        <x:v>authenticated</x:v>
      </x:c>
      <x:c r="H49" s="13" t="str">
        <x:v>RENDERER_REGISTERED</x:v>
      </x:c>
      <x:c r="I49" s="13" t="str">
        <x:v>capital-demand-pipeline</x:v>
      </x:c>
      <x:c r="J49" s="13" t="str">
        <x:v>USER_TRANSACTION. STATIC_METADATA_NOT_BUSINESS_UAT</x:v>
      </x:c>
    </x:row>
    <x:row r="50" ht="42" customHeight="1">
      <x:c r="A50" s="14" t="str">
        <x:v>FE-43</x:v>
      </x:c>
      <x:c r="B50" s="6" t="str">
        <x:v>PANTALLA</x:v>
      </x:c>
      <x:c r="C50" s="6" t="str">
        <x:v>/app/strategy/capital-demand-my</x:v>
      </x:c>
      <x:c r="D50" s="6" t="str">
        <x:v>USER</x:v>
      </x:c>
      <x:c r="E50" s="6" t="str">
        <x:v>frontend/src/features/capital-planning/CapitalPlanningWorkspace.tsx</x:v>
      </x:c>
      <x:c r="F50" s="6" t="str">
        <x:v>Strategic Capital Planning &amp; Demand &gt; My Demands</x:v>
      </x:c>
      <x:c r="G50" s="6" t="str">
        <x:v>authenticated</x:v>
      </x:c>
      <x:c r="H50" s="6" t="str">
        <x:v>RENDERER_REGISTERED</x:v>
      </x:c>
      <x:c r="I50" s="6" t="str">
        <x:v>capital-demand-my</x:v>
      </x:c>
      <x:c r="J50" s="6" t="str">
        <x:v>USER_TRANSACTION. STATIC_METADATA_NOT_BUSINESS_UAT</x:v>
      </x:c>
    </x:row>
    <x:row r="51" ht="42" customHeight="1">
      <x:c r="A51" s="15" t="str">
        <x:v>FE-44</x:v>
      </x:c>
      <x:c r="B51" s="13" t="str">
        <x:v>PANTALLA</x:v>
      </x:c>
      <x:c r="C51" s="13" t="str">
        <x:v>/app/strategy/capital-demand-review</x:v>
      </x:c>
      <x:c r="D51" s="13" t="str">
        <x:v>USER</x:v>
      </x:c>
      <x:c r="E51" s="13" t="str">
        <x:v>frontend/src/features/capital-planning/CapitalPlanningWorkspace.tsx</x:v>
      </x:c>
      <x:c r="F51" s="13" t="str">
        <x:v>Strategic Capital Planning &amp; Demand &gt; Demands in Review</x:v>
      </x:c>
      <x:c r="G51" s="13" t="str">
        <x:v>authenticated</x:v>
      </x:c>
      <x:c r="H51" s="13" t="str">
        <x:v>RENDERER_REGISTERED</x:v>
      </x:c>
      <x:c r="I51" s="13" t="str">
        <x:v>capital-demand-review</x:v>
      </x:c>
      <x:c r="J51" s="13" t="str">
        <x:v>USER_TRANSACTION. STATIC_METADATA_NOT_BUSINESS_UAT</x:v>
      </x:c>
    </x:row>
    <x:row r="52" ht="42" customHeight="1">
      <x:c r="A52" s="14" t="str">
        <x:v>FE-45</x:v>
      </x:c>
      <x:c r="B52" s="6" t="str">
        <x:v>PANTALLA</x:v>
      </x:c>
      <x:c r="C52" s="6" t="str">
        <x:v>/app/strategy/capital-demand-endorsed</x:v>
      </x:c>
      <x:c r="D52" s="6" t="str">
        <x:v>USER</x:v>
      </x:c>
      <x:c r="E52" s="6" t="str">
        <x:v>frontend/src/features/capital-planning/CapitalPlanningWorkspace.tsx</x:v>
      </x:c>
      <x:c r="F52" s="6" t="str">
        <x:v>Strategic Capital Planning &amp; Demand &gt; Endorsed Demands</x:v>
      </x:c>
      <x:c r="G52" s="6" t="str">
        <x:v>authenticated</x:v>
      </x:c>
      <x:c r="H52" s="6" t="str">
        <x:v>RENDERER_REGISTERED</x:v>
      </x:c>
      <x:c r="I52" s="6" t="str">
        <x:v>capital-demand-endorsed</x:v>
      </x:c>
      <x:c r="J52" s="6" t="str">
        <x:v>USER_TRANSACTION. STATIC_METADATA_NOT_BUSINESS_UAT</x:v>
      </x:c>
    </x:row>
    <x:row r="53" ht="42" customHeight="1">
      <x:c r="A53" s="15" t="str">
        <x:v>FE-46</x:v>
      </x:c>
      <x:c r="B53" s="13" t="str">
        <x:v>PANTALLA</x:v>
      </x:c>
      <x:c r="C53" s="13" t="str">
        <x:v>/app/strategy/capital-demand-history</x:v>
      </x:c>
      <x:c r="D53" s="13" t="str">
        <x:v>USER</x:v>
      </x:c>
      <x:c r="E53" s="13" t="str">
        <x:v>frontend/src/features/capital-planning/CapitalPlanningWorkspace.tsx</x:v>
      </x:c>
      <x:c r="F53" s="13" t="str">
        <x:v>Strategic Capital Planning &amp; Demand &gt; Demand History</x:v>
      </x:c>
      <x:c r="G53" s="13" t="str">
        <x:v>authenticated</x:v>
      </x:c>
      <x:c r="H53" s="13" t="str">
        <x:v>RENDERER_REGISTERED</x:v>
      </x:c>
      <x:c r="I53" s="13" t="str">
        <x:v>capital-demand-history</x:v>
      </x:c>
      <x:c r="J53" s="13" t="str">
        <x:v>READ_ONLY_SHARED. STATIC_METADATA_NOT_BUSINESS_UAT</x:v>
      </x:c>
    </x:row>
    <x:row r="54" ht="42" customHeight="1">
      <x:c r="A54" s="14" t="str">
        <x:v>FE-47</x:v>
      </x:c>
      <x:c r="B54" s="6" t="str">
        <x:v>PANTALLA</x:v>
      </x:c>
      <x:c r="C54" s="6" t="str">
        <x:v>/app/strategy/strategic-capital-allocation</x:v>
      </x:c>
      <x:c r="D54" s="6" t="str">
        <x:v>USER</x:v>
      </x:c>
      <x:c r="E54" s="6" t="str">
        <x:v>frontend/src/features/capital-allocation/StrategicCapitalAllocationWorkspace.tsx</x:v>
      </x:c>
      <x:c r="F54" s="6" t="str">
        <x:v>Strategic Capital Planning &amp; Demand &gt; Strategic Capital Allocation</x:v>
      </x:c>
      <x:c r="G54" s="6" t="str">
        <x:v>authenticated</x:v>
      </x:c>
      <x:c r="H54" s="6" t="str">
        <x:v>RENDERER_REGISTERED</x:v>
      </x:c>
      <x:c r="I54" s="6" t="str">
        <x:v>strategic-capital-allocation</x:v>
      </x:c>
      <x:c r="J54" s="6" t="str">
        <x:v>USER_TRANSACTION. STATIC_METADATA_NOT_BUSINESS_UAT</x:v>
      </x:c>
    </x:row>
    <x:row r="55" ht="42" customHeight="1">
      <x:c r="A55" s="15" t="str">
        <x:v>FE-48</x:v>
      </x:c>
      <x:c r="B55" s="13" t="str">
        <x:v>PANTALLA</x:v>
      </x:c>
      <x:c r="C55" s="13" t="str">
        <x:v>/app/strategy/strategic-capital-allocation-history</x:v>
      </x:c>
      <x:c r="D55" s="13" t="str">
        <x:v>USER</x:v>
      </x:c>
      <x:c r="E55" s="13" t="str">
        <x:v>frontend/src/features/capital-allocation/StrategicCapitalAllocationWorkspace.tsx</x:v>
      </x:c>
      <x:c r="F55" s="13" t="str">
        <x:v>Strategic Capital Planning &amp; Demand &gt; Allocation History</x:v>
      </x:c>
      <x:c r="G55" s="13" t="str">
        <x:v>authenticated</x:v>
      </x:c>
      <x:c r="H55" s="13" t="str">
        <x:v>RENDERER_REGISTERED</x:v>
      </x:c>
      <x:c r="I55" s="13" t="str">
        <x:v>strategic-capital-allocation-history</x:v>
      </x:c>
      <x:c r="J55" s="13" t="str">
        <x:v>READ_ONLY_SHARED. STATIC_METADATA_NOT_BUSINESS_UAT</x:v>
      </x:c>
    </x:row>
    <x:row r="56" ht="42" customHeight="1">
      <x:c r="A56" s="14" t="str">
        <x:v>FE-49</x:v>
      </x:c>
      <x:c r="B56" s="6" t="str">
        <x:v>PANTALLA</x:v>
      </x:c>
      <x:c r="C56" s="6" t="str">
        <x:v>/app/strategy/idea-lifecycle</x:v>
      </x:c>
      <x:c r="D56" s="6" t="str">
        <x:v>USER</x:v>
      </x:c>
      <x:c r="E56" s="6" t="str">
        <x:v>frontend/src/features/idea-demand/IdeaLifecycleWorkspace.tsx</x:v>
      </x:c>
      <x:c r="F56" s="6" t="str">
        <x:v>Investment Origination &amp; Shaping &gt; Idea Lifecycle</x:v>
      </x:c>
      <x:c r="G56" s="6" t="str">
        <x:v>authenticated</x:v>
      </x:c>
      <x:c r="H56" s="6" t="str">
        <x:v>RENDERER_REGISTERED</x:v>
      </x:c>
      <x:c r="I56" s="6" t="str">
        <x:v>idea-lifecycle</x:v>
      </x:c>
      <x:c r="J56" s="6" t="str">
        <x:v>USER_TRANSACTION. STATIC_METADATA_NOT_BUSINESS_UAT</x:v>
      </x:c>
    </x:row>
    <x:row r="57" ht="42" customHeight="1">
      <x:c r="A57" s="15" t="str">
        <x:v>FE-50</x:v>
      </x:c>
      <x:c r="B57" s="13" t="str">
        <x:v>PANTALLA</x:v>
      </x:c>
      <x:c r="C57" s="13" t="str">
        <x:v>/app/strategy/business-analysis-options</x:v>
      </x:c>
      <x:c r="D57" s="13" t="str">
        <x:v>USER</x:v>
      </x:c>
      <x:c r="E57" s="13" t="str">
        <x:v>frontend/src/features/business-analysis/BusinessAnalysisWorkspace.tsx</x:v>
      </x:c>
      <x:c r="F57" s="13" t="str">
        <x:v>Investment Origination &amp; Shaping &gt; Business Analysis &amp; Options</x:v>
      </x:c>
      <x:c r="G57" s="13" t="str">
        <x:v>authenticated</x:v>
      </x:c>
      <x:c r="H57" s="13" t="str">
        <x:v>RENDERER_REGISTERED</x:v>
      </x:c>
      <x:c r="I57" s="13" t="str">
        <x:v>business-analysis-options</x:v>
      </x:c>
      <x:c r="J57" s="13" t="str">
        <x:v>USER_TRANSACTION. STATIC_METADATA_NOT_BUSINESS_UAT</x:v>
      </x:c>
    </x:row>
    <x:row r="58" ht="42" customHeight="1">
      <x:c r="A58" s="14" t="str">
        <x:v>FE-51</x:v>
      </x:c>
      <x:c r="B58" s="6" t="str">
        <x:v>PANTALLA</x:v>
      </x:c>
      <x:c r="C58" s="6" t="str">
        <x:v>/app/strategy/project-proposal</x:v>
      </x:c>
      <x:c r="D58" s="6" t="str">
        <x:v>USER</x:v>
      </x:c>
      <x:c r="E58" s="6" t="str">
        <x:v>frontend/src/features/project-proposal/ProjectProposalWorkspace.tsx</x:v>
      </x:c>
      <x:c r="F58" s="6" t="str">
        <x:v>Investment Origination &amp; Shaping &gt; Project Proposals</x:v>
      </x:c>
      <x:c r="G58" s="6" t="str">
        <x:v>authenticated</x:v>
      </x:c>
      <x:c r="H58" s="6" t="str">
        <x:v>RENDERER_REGISTERED</x:v>
      </x:c>
      <x:c r="I58" s="6" t="str">
        <x:v>project-proposal</x:v>
      </x:c>
      <x:c r="J58" s="6" t="str">
        <x:v>USER_TRANSACTION. STATIC_METADATA_NOT_BUSINESS_UAT</x:v>
      </x:c>
    </x:row>
    <x:row r="59" ht="42" customHeight="1">
      <x:c r="A59" s="15" t="str">
        <x:v>FE-52</x:v>
      </x:c>
      <x:c r="B59" s="13" t="str">
        <x:v>PANTALLA</x:v>
      </x:c>
      <x:c r="C59" s="13" t="str">
        <x:v>/app/strategy/strategic-gate-decision</x:v>
      </x:c>
      <x:c r="D59" s="13" t="str">
        <x:v>USER</x:v>
      </x:c>
      <x:c r="E59" s="13" t="str">
        <x:v>frontend/src/features/strategic-gate/StrategicGateWorkspace.tsx</x:v>
      </x:c>
      <x:c r="F59" s="13" t="str">
        <x:v>Strategic Gate &gt; Strategic Gate Decision</x:v>
      </x:c>
      <x:c r="G59" s="13" t="str">
        <x:v>authenticated</x:v>
      </x:c>
      <x:c r="H59" s="13" t="str">
        <x:v>RENDERER_REGISTERED</x:v>
      </x:c>
      <x:c r="I59" s="13" t="str">
        <x:v>strategic-gate-decision</x:v>
      </x:c>
      <x:c r="J59" s="13" t="str">
        <x:v>USER_TRANSACTION. STATIC_METADATA_NOT_BUSINESS_UAT</x:v>
      </x:c>
    </x:row>
    <x:row r="60" ht="53" customHeight="1">
      <x:c r="A60" s="14" t="str">
        <x:v>FE-53</x:v>
      </x:c>
      <x:c r="B60" s="6" t="str">
        <x:v>PANTALLA</x:v>
      </x:c>
      <x:c r="C60" s="6" t="str">
        <x:v>/app/strategy/portfolio-structure</x:v>
      </x:c>
      <x:c r="D60" s="6" t="str">
        <x:v>USER</x:v>
      </x:c>
      <x:c r="E60" s="6" t="str">
        <x:v>frontend/src/App.tsx:EmptySubmoduleScreen</x:v>
      </x:c>
      <x:c r="F60" s="6" t="str">
        <x:v>Portfolio Planning &amp; Review &gt; Portfolio Intake &amp; Planning &gt; Portfolio Structure</x:v>
      </x:c>
      <x:c r="G60" s="6" t="str">
        <x:v>authenticated</x:v>
      </x:c>
      <x:c r="H60" s="6" t="str">
        <x:v>EXPLICIT_PLACEHOLDER</x:v>
      </x:c>
      <x:c r="I60" s="6" t="str">
        <x:v>portfolio-structure</x:v>
      </x:c>
      <x:c r="J60" s="6" t="str">
        <x:v>USER_TRANSACTION. STATIC_METADATA_NOT_BUSINESS_UAT</x:v>
      </x:c>
    </x:row>
    <x:row r="61" ht="53" customHeight="1">
      <x:c r="A61" s="15" t="str">
        <x:v>FE-54</x:v>
      </x:c>
      <x:c r="B61" s="13" t="str">
        <x:v>PANTALLA</x:v>
      </x:c>
      <x:c r="C61" s="13" t="str">
        <x:v>/app/strategy/strategic-project-planning-entry</x:v>
      </x:c>
      <x:c r="D61" s="13" t="str">
        <x:v>USER</x:v>
      </x:c>
      <x:c r="E61" s="13" t="str">
        <x:v>frontend/src/features/portfolio-planning/StrategicPlanningEntryWorkspace.tsx</x:v>
      </x:c>
      <x:c r="F61" s="13" t="str">
        <x:v>Portfolio Planning &amp; Review &gt; Portfolio Intake &amp; Planning &gt; Strategic Planning Entry</x:v>
      </x:c>
      <x:c r="G61" s="13" t="str">
        <x:v>authenticated</x:v>
      </x:c>
      <x:c r="H61" s="13" t="str">
        <x:v>RENDERER_REGISTERED</x:v>
      </x:c>
      <x:c r="I61" s="13" t="str">
        <x:v>strategic-project-planning-entry</x:v>
      </x:c>
      <x:c r="J61" s="13" t="str">
        <x:v>USER_TRANSACTION. STATIC_METADATA_NOT_BUSINESS_UAT</x:v>
      </x:c>
    </x:row>
    <x:row r="62" ht="53" customHeight="1">
      <x:c r="A62" s="14" t="str">
        <x:v>FE-55</x:v>
      </x:c>
      <x:c r="B62" s="6" t="str">
        <x:v>PANTALLA</x:v>
      </x:c>
      <x:c r="C62" s="6" t="str">
        <x:v>/app/strategy/portfolio-projects</x:v>
      </x:c>
      <x:c r="D62" s="6" t="str">
        <x:v>USER</x:v>
      </x:c>
      <x:c r="E62" s="6" t="str">
        <x:v>frontend/src/features/portfolio-planning/PortfolioProjectsWorkspace.tsx</x:v>
      </x:c>
      <x:c r="F62" s="6" t="str">
        <x:v>Portfolio Planning &amp; Review &gt; Portfolio Intake &amp; Planning &gt; Portfolio Projects</x:v>
      </x:c>
      <x:c r="G62" s="6" t="str">
        <x:v>authenticated</x:v>
      </x:c>
      <x:c r="H62" s="6" t="str">
        <x:v>RENDERER_REGISTERED</x:v>
      </x:c>
      <x:c r="I62" s="6" t="str">
        <x:v>portfolio-projects</x:v>
      </x:c>
      <x:c r="J62" s="6" t="str">
        <x:v>USER_TRANSACTION. STATIC_METADATA_NOT_BUSINESS_UAT</x:v>
      </x:c>
    </x:row>
    <x:row r="63" ht="53" customHeight="1">
      <x:c r="A63" s="15" t="str">
        <x:v>FE-56</x:v>
      </x:c>
      <x:c r="B63" s="13" t="str">
        <x:v>PANTALLA</x:v>
      </x:c>
      <x:c r="C63" s="13" t="str">
        <x:v>/app/strategy/portfolio-evaluation</x:v>
      </x:c>
      <x:c r="D63" s="13" t="str">
        <x:v>USER</x:v>
      </x:c>
      <x:c r="E63" s="13" t="str">
        <x:v>frontend/src/features/portfolio-evaluation/PortfolioEvaluationWorkspace.tsx</x:v>
      </x:c>
      <x:c r="F63" s="13" t="str">
        <x:v>Portfolio Planning &amp; Review &gt; Evaluation &amp; Prioritization &gt; Portfolio Evaluation</x:v>
      </x:c>
      <x:c r="G63" s="13" t="str">
        <x:v>authenticated</x:v>
      </x:c>
      <x:c r="H63" s="13" t="str">
        <x:v>RENDERER_REGISTERED</x:v>
      </x:c>
      <x:c r="I63" s="13" t="str">
        <x:v>portfolio-evaluation</x:v>
      </x:c>
      <x:c r="J63" s="13" t="str">
        <x:v>USER_TRANSACTION. STATIC_METADATA_NOT_BUSINESS_UAT</x:v>
      </x:c>
    </x:row>
    <x:row r="64" ht="53" customHeight="1">
      <x:c r="A64" s="14" t="str">
        <x:v>FE-57</x:v>
      </x:c>
      <x:c r="B64" s="6" t="str">
        <x:v>PANTALLA</x:v>
      </x:c>
      <x:c r="C64" s="6" t="str">
        <x:v>/app/strategy/strategic-prioritization-matrix</x:v>
      </x:c>
      <x:c r="D64" s="6" t="str">
        <x:v>USER</x:v>
      </x:c>
      <x:c r="E64" s="6" t="str">
        <x:v>frontend/src/features/portfolio-evaluation/PortfolioEvaluationWorkspace.tsx</x:v>
      </x:c>
      <x:c r="F64" s="6" t="str">
        <x:v>Portfolio Planning &amp; Review &gt; Evaluation &amp; Prioritization &gt; Prioritization Matrix</x:v>
      </x:c>
      <x:c r="G64" s="6" t="str">
        <x:v>authenticated</x:v>
      </x:c>
      <x:c r="H64" s="6" t="str">
        <x:v>RENDERER_REGISTERED</x:v>
      </x:c>
      <x:c r="I64" s="6" t="str">
        <x:v>strategic-prioritization-matrix</x:v>
      </x:c>
      <x:c r="J64" s="6" t="str">
        <x:v>READ_ONLY_SHARED. STATIC_METADATA_NOT_BUSINESS_UAT</x:v>
      </x:c>
    </x:row>
    <x:row r="65" ht="42" customHeight="1">
      <x:c r="A65" s="15" t="str">
        <x:v>FE-58</x:v>
      </x:c>
      <x:c r="B65" s="13" t="str">
        <x:v>PANTALLA</x:v>
      </x:c>
      <x:c r="C65" s="13" t="str">
        <x:v>/app/strategy/portfolio-analysis</x:v>
      </x:c>
      <x:c r="D65" s="13" t="str">
        <x:v>USER</x:v>
      </x:c>
      <x:c r="E65" s="13" t="str">
        <x:v>frontend/src/features/portfolio-analysis/PortfolioAnalysisWorkspace.tsx</x:v>
      </x:c>
      <x:c r="F65" s="13" t="str">
        <x:v>Portfolio Planning &amp; Review &gt; Portfolio Analysis &gt; Analysis Overview</x:v>
      </x:c>
      <x:c r="G65" s="13" t="str">
        <x:v>authenticated</x:v>
      </x:c>
      <x:c r="H65" s="13" t="str">
        <x:v>RENDERER_REGISTERED</x:v>
      </x:c>
      <x:c r="I65" s="13" t="str">
        <x:v>portfolio-analysis</x:v>
      </x:c>
      <x:c r="J65" s="13" t="str">
        <x:v>READ_ONLY_SHARED. STATIC_METADATA_NOT_BUSINESS_UAT</x:v>
      </x:c>
    </x:row>
    <x:row r="66" ht="42" customHeight="1">
      <x:c r="A66" s="14" t="str">
        <x:v>FE-59</x:v>
      </x:c>
      <x:c r="B66" s="6" t="str">
        <x:v>PANTALLA</x:v>
      </x:c>
      <x:c r="C66" s="6" t="str">
        <x:v>/app/strategy/portfolio-investor-map</x:v>
      </x:c>
      <x:c r="D66" s="6" t="str">
        <x:v>USER</x:v>
      </x:c>
      <x:c r="E66" s="6" t="str">
        <x:v>frontend/src/features/portfolio-analysis/PortfolioAnalysisWorkspace.tsx</x:v>
      </x:c>
      <x:c r="F66" s="6" t="str">
        <x:v>Portfolio Planning &amp; Review &gt; Portfolio Analysis &gt; Investor Map</x:v>
      </x:c>
      <x:c r="G66" s="6" t="str">
        <x:v>authenticated</x:v>
      </x:c>
      <x:c r="H66" s="6" t="str">
        <x:v>RENDERER_REGISTERED</x:v>
      </x:c>
      <x:c r="I66" s="6" t="str">
        <x:v>portfolio-investor-map</x:v>
      </x:c>
      <x:c r="J66" s="6" t="str">
        <x:v>READ_ONLY_SHARED. STATIC_METADATA_NOT_BUSINESS_UAT</x:v>
      </x:c>
    </x:row>
    <x:row r="67" ht="42" customHeight="1">
      <x:c r="A67" s="15" t="str">
        <x:v>FE-60</x:v>
      </x:c>
      <x:c r="B67" s="13" t="str">
        <x:v>PANTALLA</x:v>
      </x:c>
      <x:c r="C67" s="13" t="str">
        <x:v>/app/strategy/portfolio-scorecard</x:v>
      </x:c>
      <x:c r="D67" s="13" t="str">
        <x:v>USER</x:v>
      </x:c>
      <x:c r="E67" s="13" t="str">
        <x:v>frontend/src/features/portfolio-analysis/PortfolioAnalysisWorkspace.tsx</x:v>
      </x:c>
      <x:c r="F67" s="13" t="str">
        <x:v>Portfolio Planning &amp; Review &gt; Portfolio Analysis &gt; Portfolio Scorecard</x:v>
      </x:c>
      <x:c r="G67" s="13" t="str">
        <x:v>authenticated</x:v>
      </x:c>
      <x:c r="H67" s="13" t="str">
        <x:v>RENDERER_REGISTERED</x:v>
      </x:c>
      <x:c r="I67" s="13" t="str">
        <x:v>portfolio-scorecard</x:v>
      </x:c>
      <x:c r="J67" s="13" t="str">
        <x:v>READ_ONLY_SHARED. STATIC_METADATA_NOT_BUSINESS_UAT</x:v>
      </x:c>
    </x:row>
    <x:row r="68" ht="53" customHeight="1">
      <x:c r="A68" s="14" t="str">
        <x:v>FE-61</x:v>
      </x:c>
      <x:c r="B68" s="6" t="str">
        <x:v>PANTALLA</x:v>
      </x:c>
      <x:c r="C68" s="6" t="str">
        <x:v>/app/strategy/portfolio-budget-planning</x:v>
      </x:c>
      <x:c r="D68" s="6" t="str">
        <x:v>USER</x:v>
      </x:c>
      <x:c r="E68" s="6" t="str">
        <x:v>frontend/src/features/portfolio-budget/PortfolioBudgetWorkspace.tsx</x:v>
      </x:c>
      <x:c r="F68" s="6" t="str">
        <x:v>Portfolio Scenario Planning &gt; Budget Planning &amp; Scenarios &gt; Budget Planning Workspace</x:v>
      </x:c>
      <x:c r="G68" s="6" t="str">
        <x:v>authenticated</x:v>
      </x:c>
      <x:c r="H68" s="6" t="str">
        <x:v>RENDERER_REGISTERED</x:v>
      </x:c>
      <x:c r="I68" s="6" t="str">
        <x:v>portfolio-budget-planning</x:v>
      </x:c>
      <x:c r="J68" s="6" t="str">
        <x:v>USER_TRANSACTION. STATIC_METADATA_NOT_BUSINESS_UAT</x:v>
      </x:c>
    </x:row>
    <x:row r="69" ht="53" customHeight="1">
      <x:c r="A69" s="15" t="str">
        <x:v>FE-62</x:v>
      </x:c>
      <x:c r="B69" s="13" t="str">
        <x:v>PANTALLA</x:v>
      </x:c>
      <x:c r="C69" s="13" t="str">
        <x:v>/app/strategy/portfolio-cash-flow</x:v>
      </x:c>
      <x:c r="D69" s="13" t="str">
        <x:v>USER</x:v>
      </x:c>
      <x:c r="E69" s="13" t="str">
        <x:v>frontend/src/App.tsx:EmptySubmoduleScreen</x:v>
      </x:c>
      <x:c r="F69" s="13" t="str">
        <x:v>Portfolio Scenario Planning &gt; Budget Planning &amp; Scenarios &gt; Portfolio Cash Flow</x:v>
      </x:c>
      <x:c r="G69" s="13" t="str">
        <x:v>authenticated</x:v>
      </x:c>
      <x:c r="H69" s="13" t="str">
        <x:v>EXPLICIT_PLACEHOLDER</x:v>
      </x:c>
      <x:c r="I69" s="13" t="str">
        <x:v>portfolio-cash-flow</x:v>
      </x:c>
      <x:c r="J69" s="13" t="str">
        <x:v>READ_ONLY_SHARED. STATIC_METADATA_NOT_BUSINESS_UAT</x:v>
      </x:c>
    </x:row>
    <x:row r="70" ht="42" customHeight="1">
      <x:c r="A70" s="14" t="str">
        <x:v>FE-63</x:v>
      </x:c>
      <x:c r="B70" s="6" t="str">
        <x:v>PANTALLA</x:v>
      </x:c>
      <x:c r="C70" s="6" t="str">
        <x:v>/app/strategy/portfolio-resource-planning</x:v>
      </x:c>
      <x:c r="D70" s="6" t="str">
        <x:v>USER</x:v>
      </x:c>
      <x:c r="E70" s="6" t="str">
        <x:v>frontend/src/features/portfolio-resource/PortfolioResourceWorkspace.tsx</x:v>
      </x:c>
      <x:c r="F70" s="6" t="str">
        <x:v>Portfolio Scenario Planning &gt; Resource Planning &amp; Scenarios</x:v>
      </x:c>
      <x:c r="G70" s="6" t="str">
        <x:v>authenticated</x:v>
      </x:c>
      <x:c r="H70" s="6" t="str">
        <x:v>RENDERER_REGISTERED</x:v>
      </x:c>
      <x:c r="I70" s="6" t="str">
        <x:v>portfolio-resource-planning</x:v>
      </x:c>
      <x:c r="J70" s="6" t="str">
        <x:v>USER_TRANSACTION. STATIC_METADATA_NOT_BUSINESS_UAT</x:v>
      </x:c>
    </x:row>
    <x:row r="71" ht="42" customHeight="1">
      <x:c r="A71" s="15" t="str">
        <x:v>FE-64</x:v>
      </x:c>
      <x:c r="B71" s="13" t="str">
        <x:v>PANTALLA</x:v>
      </x:c>
      <x:c r="C71" s="13" t="str">
        <x:v>/app/strategy/portfolio-scenario-convergence</x:v>
      </x:c>
      <x:c r="D71" s="13" t="str">
        <x:v>USER</x:v>
      </x:c>
      <x:c r="E71" s="13" t="str">
        <x:v>frontend/src/features/portfolio-convergence/PortfolioConvergenceWorkspace.tsx</x:v>
      </x:c>
      <x:c r="F71" s="13" t="str">
        <x:v>Portfolio Scenario Planning &gt; Scenario Convergence &amp; Recommendation</x:v>
      </x:c>
      <x:c r="G71" s="13" t="str">
        <x:v>authenticated</x:v>
      </x:c>
      <x:c r="H71" s="13" t="str">
        <x:v>RENDERER_REGISTERED</x:v>
      </x:c>
      <x:c r="I71" s="13" t="str">
        <x:v>portfolio-scenario-convergence</x:v>
      </x:c>
      <x:c r="J71" s="13" t="str">
        <x:v>USER_TRANSACTION. STATIC_METADATA_NOT_BUSINESS_UAT</x:v>
      </x:c>
    </x:row>
    <x:row r="72" ht="53" customHeight="1">
      <x:c r="A72" s="14" t="str">
        <x:v>FE-65</x:v>
      </x:c>
      <x:c r="B72" s="6" t="str">
        <x:v>PANTALLA</x:v>
      </x:c>
      <x:c r="C72" s="6" t="str">
        <x:v>/app/strategy/portfolio-review-sessions</x:v>
      </x:c>
      <x:c r="D72" s="6" t="str">
        <x:v>USER</x:v>
      </x:c>
      <x:c r="E72" s="6" t="str">
        <x:v>frontend/src/features/portfolio-review/PortfolioReviewWorkspace.tsx</x:v>
      </x:c>
      <x:c r="F72" s="6" t="str">
        <x:v>Portfolio Scenario Planning &gt; Periodic Portfolio Review &gt; Review Calendar / Sessions</x:v>
      </x:c>
      <x:c r="G72" s="6" t="str">
        <x:v>authenticated</x:v>
      </x:c>
      <x:c r="H72" s="6" t="str">
        <x:v>RENDERER_REGISTERED</x:v>
      </x:c>
      <x:c r="I72" s="6" t="str">
        <x:v>portfolio-review-sessions</x:v>
      </x:c>
      <x:c r="J72" s="6" t="str">
        <x:v>USER_TRANSACTION. STATIC_METADATA_NOT_BUSINESS_UAT</x:v>
      </x:c>
    </x:row>
    <x:row r="73" ht="42" customHeight="1">
      <x:c r="A73" s="15" t="str">
        <x:v>FE-66</x:v>
      </x:c>
      <x:c r="B73" s="13" t="str">
        <x:v>PANTALLA</x:v>
      </x:c>
      <x:c r="C73" s="13" t="str">
        <x:v>/app/strategy/portfolio-review-overview</x:v>
      </x:c>
      <x:c r="D73" s="13" t="str">
        <x:v>USER</x:v>
      </x:c>
      <x:c r="E73" s="13" t="str">
        <x:v>frontend/src/features/portfolio-review/PortfolioReviewWorkspace.tsx</x:v>
      </x:c>
      <x:c r="F73" s="13" t="str">
        <x:v>Portfolio Scenario Planning &gt; Periodic Portfolio Review &gt; Overview</x:v>
      </x:c>
      <x:c r="G73" s="13" t="str">
        <x:v>authenticated</x:v>
      </x:c>
      <x:c r="H73" s="13" t="str">
        <x:v>RENDERER_REGISTERED</x:v>
      </x:c>
      <x:c r="I73" s="13" t="str">
        <x:v>portfolio-review-overview</x:v>
      </x:c>
      <x:c r="J73" s="13" t="str">
        <x:v>USER_TRANSACTION. STATIC_METADATA_NOT_BUSINESS_UAT</x:v>
      </x:c>
    </x:row>
    <x:row r="74" ht="42" customHeight="1">
      <x:c r="A74" s="14" t="str">
        <x:v>FE-67</x:v>
      </x:c>
      <x:c r="B74" s="6" t="str">
        <x:v>PANTALLA</x:v>
      </x:c>
      <x:c r="C74" s="6" t="str">
        <x:v>/app/strategy/portfolio-review-snapshot</x:v>
      </x:c>
      <x:c r="D74" s="6" t="str">
        <x:v>USER</x:v>
      </x:c>
      <x:c r="E74" s="6" t="str">
        <x:v>frontend/src/features/portfolio-review/PortfolioReviewWorkspace.tsx</x:v>
      </x:c>
      <x:c r="F74" s="6" t="str">
        <x:v>Portfolio Scenario Planning &gt; Periodic Portfolio Review &gt; Portfolio Snapshot</x:v>
      </x:c>
      <x:c r="G74" s="6" t="str">
        <x:v>authenticated</x:v>
      </x:c>
      <x:c r="H74" s="6" t="str">
        <x:v>RENDERER_REGISTERED</x:v>
      </x:c>
      <x:c r="I74" s="6" t="str">
        <x:v>portfolio-review-snapshot</x:v>
      </x:c>
      <x:c r="J74" s="6" t="str">
        <x:v>USER_TRANSACTION. STATIC_METADATA_NOT_BUSINESS_UAT</x:v>
      </x:c>
    </x:row>
    <x:row r="75" ht="53" customHeight="1">
      <x:c r="A75" s="15" t="str">
        <x:v>FE-68</x:v>
      </x:c>
      <x:c r="B75" s="13" t="str">
        <x:v>PANTALLA</x:v>
      </x:c>
      <x:c r="C75" s="13" t="str">
        <x:v>/app/strategy/portfolio-review-allocation</x:v>
      </x:c>
      <x:c r="D75" s="13" t="str">
        <x:v>USER</x:v>
      </x:c>
      <x:c r="E75" s="13" t="str">
        <x:v>frontend/src/features/portfolio-review/PortfolioReviewWorkspace.tsx</x:v>
      </x:c>
      <x:c r="F75" s="13" t="str">
        <x:v>Portfolio Scenario Planning &gt; Periodic Portfolio Review &gt; Strategic Allocation</x:v>
      </x:c>
      <x:c r="G75" s="13" t="str">
        <x:v>authenticated</x:v>
      </x:c>
      <x:c r="H75" s="13" t="str">
        <x:v>RENDERER_REGISTERED</x:v>
      </x:c>
      <x:c r="I75" s="13" t="str">
        <x:v>portfolio-review-allocation</x:v>
      </x:c>
      <x:c r="J75" s="13" t="str">
        <x:v>READ_ONLY_SHARED. STATIC_METADATA_NOT_BUSINESS_UAT</x:v>
      </x:c>
    </x:row>
    <x:row r="76" ht="42" customHeight="1">
      <x:c r="A76" s="14" t="str">
        <x:v>FE-69</x:v>
      </x:c>
      <x:c r="B76" s="6" t="str">
        <x:v>PANTALLA</x:v>
      </x:c>
      <x:c r="C76" s="6" t="str">
        <x:v>/app/strategy/portfolio-review-project-matrix</x:v>
      </x:c>
      <x:c r="D76" s="6" t="str">
        <x:v>USER</x:v>
      </x:c>
      <x:c r="E76" s="6" t="str">
        <x:v>frontend/src/features/portfolio-review/PortfolioReviewWorkspace.tsx</x:v>
      </x:c>
      <x:c r="F76" s="6" t="str">
        <x:v>Portfolio Scenario Planning &gt; Periodic Portfolio Review &gt; Project Matrix</x:v>
      </x:c>
      <x:c r="G76" s="6" t="str">
        <x:v>authenticated</x:v>
      </x:c>
      <x:c r="H76" s="6" t="str">
        <x:v>RENDERER_REGISTERED</x:v>
      </x:c>
      <x:c r="I76" s="6" t="str">
        <x:v>portfolio-review-project-matrix</x:v>
      </x:c>
      <x:c r="J76" s="6" t="str">
        <x:v>READ_ONLY_SHARED. STATIC_METADATA_NOT_BUSINESS_UAT</x:v>
      </x:c>
    </x:row>
    <x:row r="77" ht="42" customHeight="1">
      <x:c r="A77" s="15" t="str">
        <x:v>FE-70</x:v>
      </x:c>
      <x:c r="B77" s="13" t="str">
        <x:v>PANTALLA</x:v>
      </x:c>
      <x:c r="C77" s="13" t="str">
        <x:v>/app/strategy/portfolio-review-budget-resources</x:v>
      </x:c>
      <x:c r="D77" s="13" t="str">
        <x:v>USER</x:v>
      </x:c>
      <x:c r="E77" s="13" t="str">
        <x:v>frontend/src/features/portfolio-review/PortfolioReviewWorkspace.tsx</x:v>
      </x:c>
      <x:c r="F77" s="13" t="str">
        <x:v>Portfolio Scenario Planning &gt; Periodic Portfolio Review &gt; Budget &amp; Resources</x:v>
      </x:c>
      <x:c r="G77" s="13" t="str">
        <x:v>authenticated</x:v>
      </x:c>
      <x:c r="H77" s="13" t="str">
        <x:v>RENDERER_REGISTERED</x:v>
      </x:c>
      <x:c r="I77" s="13" t="str">
        <x:v>portfolio-review-budget-resources</x:v>
      </x:c>
      <x:c r="J77" s="13" t="str">
        <x:v>READ_ONLY_SHARED. STATIC_METADATA_NOT_BUSINESS_UAT</x:v>
      </x:c>
    </x:row>
    <x:row r="78" ht="42" customHeight="1">
      <x:c r="A78" s="14" t="str">
        <x:v>FE-71</x:v>
      </x:c>
      <x:c r="B78" s="6" t="str">
        <x:v>PANTALLA</x:v>
      </x:c>
      <x:c r="C78" s="6" t="str">
        <x:v>/app/strategy/portfolio-review-gate-fid</x:v>
      </x:c>
      <x:c r="D78" s="6" t="str">
        <x:v>USER</x:v>
      </x:c>
      <x:c r="E78" s="6" t="str">
        <x:v>frontend/src/features/portfolio-review/PortfolioReviewWorkspace.tsx</x:v>
      </x:c>
      <x:c r="F78" s="6" t="str">
        <x:v>Portfolio Scenario Planning &gt; Periodic Portfolio Review &gt; Gate / FID Status</x:v>
      </x:c>
      <x:c r="G78" s="6" t="str">
        <x:v>authenticated</x:v>
      </x:c>
      <x:c r="H78" s="6" t="str">
        <x:v>RENDERER_REGISTERED</x:v>
      </x:c>
      <x:c r="I78" s="6" t="str">
        <x:v>portfolio-review-gate-fid</x:v>
      </x:c>
      <x:c r="J78" s="6" t="str">
        <x:v>READ_ONLY_SHARED. STATIC_METADATA_NOT_BUSINESS_UAT</x:v>
      </x:c>
    </x:row>
    <x:row r="79" ht="42" customHeight="1">
      <x:c r="A79" s="15" t="str">
        <x:v>FE-72</x:v>
      </x:c>
      <x:c r="B79" s="13" t="str">
        <x:v>PANTALLA</x:v>
      </x:c>
      <x:c r="C79" s="13" t="str">
        <x:v>/app/strategy/portfolio-review-exceptions</x:v>
      </x:c>
      <x:c r="D79" s="13" t="str">
        <x:v>USER</x:v>
      </x:c>
      <x:c r="E79" s="13" t="str">
        <x:v>frontend/src/features/portfolio-review/PortfolioReviewWorkspace.tsx</x:v>
      </x:c>
      <x:c r="F79" s="13" t="str">
        <x:v>Portfolio Scenario Planning &gt; Periodic Portfolio Review &gt; Exceptions</x:v>
      </x:c>
      <x:c r="G79" s="13" t="str">
        <x:v>authenticated</x:v>
      </x:c>
      <x:c r="H79" s="13" t="str">
        <x:v>RENDERER_REGISTERED</x:v>
      </x:c>
      <x:c r="I79" s="13" t="str">
        <x:v>portfolio-review-exceptions</x:v>
      </x:c>
      <x:c r="J79" s="13" t="str">
        <x:v>READ_ONLY_SHARED. STATIC_METADATA_NOT_BUSINESS_UAT</x:v>
      </x:c>
    </x:row>
    <x:row r="80" ht="42" customHeight="1">
      <x:c r="A80" s="14" t="str">
        <x:v>FE-73</x:v>
      </x:c>
      <x:c r="B80" s="6" t="str">
        <x:v>PANTALLA</x:v>
      </x:c>
      <x:c r="C80" s="6" t="str">
        <x:v>/app/strategy/portfolio-review-conclusions</x:v>
      </x:c>
      <x:c r="D80" s="6" t="str">
        <x:v>USER</x:v>
      </x:c>
      <x:c r="E80" s="6" t="str">
        <x:v>frontend/src/features/portfolio-review/PortfolioReviewWorkspace.tsx</x:v>
      </x:c>
      <x:c r="F80" s="6" t="str">
        <x:v>Portfolio Scenario Planning &gt; Periodic Portfolio Review &gt; Conclusions</x:v>
      </x:c>
      <x:c r="G80" s="6" t="str">
        <x:v>authenticated</x:v>
      </x:c>
      <x:c r="H80" s="6" t="str">
        <x:v>RENDERER_REGISTERED</x:v>
      </x:c>
      <x:c r="I80" s="6" t="str">
        <x:v>portfolio-review-conclusions</x:v>
      </x:c>
      <x:c r="J80" s="6" t="str">
        <x:v>USER_TRANSACTION. STATIC_METADATA_NOT_BUSINESS_UAT</x:v>
      </x:c>
    </x:row>
    <x:row r="81" ht="42" customHeight="1">
      <x:c r="A81" s="15" t="str">
        <x:v>FE-74</x:v>
      </x:c>
      <x:c r="B81" s="13" t="str">
        <x:v>PANTALLA</x:v>
      </x:c>
      <x:c r="C81" s="13" t="str">
        <x:v>/app/strategy/portfolio-review-actions</x:v>
      </x:c>
      <x:c r="D81" s="13" t="str">
        <x:v>USER</x:v>
      </x:c>
      <x:c r="E81" s="13" t="str">
        <x:v>frontend/src/features/portfolio-review/PortfolioReviewWorkspace.tsx</x:v>
      </x:c>
      <x:c r="F81" s="13" t="str">
        <x:v>Portfolio Scenario Planning &gt; Periodic Portfolio Review &gt; Actions</x:v>
      </x:c>
      <x:c r="G81" s="13" t="str">
        <x:v>authenticated</x:v>
      </x:c>
      <x:c r="H81" s="13" t="str">
        <x:v>RENDERER_REGISTERED</x:v>
      </x:c>
      <x:c r="I81" s="13" t="str">
        <x:v>portfolio-review-actions</x:v>
      </x:c>
      <x:c r="J81" s="13" t="str">
        <x:v>USER_TRANSACTION. STATIC_METADATA_NOT_BUSINESS_UAT</x:v>
      </x:c>
    </x:row>
    <x:row r="82" ht="42" customHeight="1">
      <x:c r="A82" s="14" t="str">
        <x:v>FE-75</x:v>
      </x:c>
      <x:c r="B82" s="6" t="str">
        <x:v>PANTALLA</x:v>
      </x:c>
      <x:c r="C82" s="6" t="str">
        <x:v>/app/strategy/portfolio-review-history</x:v>
      </x:c>
      <x:c r="D82" s="6" t="str">
        <x:v>USER</x:v>
      </x:c>
      <x:c r="E82" s="6" t="str">
        <x:v>frontend/src/features/portfolio-review/PortfolioReviewWorkspace.tsx</x:v>
      </x:c>
      <x:c r="F82" s="6" t="str">
        <x:v>Portfolio Scenario Planning &gt; Periodic Portfolio Review &gt; History</x:v>
      </x:c>
      <x:c r="G82" s="6" t="str">
        <x:v>authenticated</x:v>
      </x:c>
      <x:c r="H82" s="6" t="str">
        <x:v>RENDERER_REGISTERED</x:v>
      </x:c>
      <x:c r="I82" s="6" t="str">
        <x:v>portfolio-review-history</x:v>
      </x:c>
      <x:c r="J82" s="6" t="str">
        <x:v>READ_ONLY_SHARED. STATIC_METADATA_NOT_BUSINESS_UAT</x:v>
      </x:c>
    </x:row>
    <x:row r="83" ht="42" customHeight="1">
      <x:c r="A83" s="15" t="str">
        <x:v>FE-76</x:v>
      </x:c>
      <x:c r="B83" s="13" t="str">
        <x:v>PANTALLA</x:v>
      </x:c>
      <x:c r="C83" s="13" t="str">
        <x:v>/app/strategy/portfolio-review-trends</x:v>
      </x:c>
      <x:c r="D83" s="13" t="str">
        <x:v>USER</x:v>
      </x:c>
      <x:c r="E83" s="13" t="str">
        <x:v>frontend/src/features/portfolio-review/PortfolioReviewWorkspace.tsx</x:v>
      </x:c>
      <x:c r="F83" s="13" t="str">
        <x:v>Portfolio Scenario Planning &gt; Periodic Portfolio Review &gt; Trends</x:v>
      </x:c>
      <x:c r="G83" s="13" t="str">
        <x:v>authenticated</x:v>
      </x:c>
      <x:c r="H83" s="13" t="str">
        <x:v>RENDERER_REGISTERED</x:v>
      </x:c>
      <x:c r="I83" s="13" t="str">
        <x:v>portfolio-review-trends</x:v>
      </x:c>
      <x:c r="J83" s="13" t="str">
        <x:v>READ_ONLY_SHARED. STATIC_METADATA_NOT_BUSINESS_UAT</x:v>
      </x:c>
    </x:row>
    <x:row r="84" ht="42" customHeight="1">
      <x:c r="A84" s="14" t="str">
        <x:v>FE-77</x:v>
      </x:c>
      <x:c r="B84" s="6" t="str">
        <x:v>PANTALLA</x:v>
      </x:c>
      <x:c r="C84" s="6" t="str">
        <x:v>/app/strategy/project-definition-fel</x:v>
      </x:c>
      <x:c r="D84" s="6" t="str">
        <x:v>USER</x:v>
      </x:c>
      <x:c r="E84" s="6" t="str">
        <x:v>frontend/src/features/project-definition/ProjectDefinitionWorkspace.tsx</x:v>
      </x:c>
      <x:c r="F84" s="6" t="str">
        <x:v>Business Case &amp; Investment Development &gt; Project Definition / FEL</x:v>
      </x:c>
      <x:c r="G84" s="6" t="str">
        <x:v>authenticated</x:v>
      </x:c>
      <x:c r="H84" s="6" t="str">
        <x:v>RENDERER_REGISTERED</x:v>
      </x:c>
      <x:c r="I84" s="6" t="str">
        <x:v>project-definition-fel</x:v>
      </x:c>
      <x:c r="J84" s="6" t="str">
        <x:v>USER_TRANSACTION. STATIC_METADATA_NOT_BUSINESS_UAT</x:v>
      </x:c>
    </x:row>
    <x:row r="85" ht="42" customHeight="1">
      <x:c r="A85" s="15" t="str">
        <x:v>FE-78</x:v>
      </x:c>
      <x:c r="B85" s="13" t="str">
        <x:v>PANTALLA</x:v>
      </x:c>
      <x:c r="C85" s="13" t="str">
        <x:v>/app/strategy/business-case-my</x:v>
      </x:c>
      <x:c r="D85" s="13" t="str">
        <x:v>USER</x:v>
      </x:c>
      <x:c r="E85" s="13" t="str">
        <x:v>frontend/src/features/business-case/BusinessCaseWorkspace.tsx</x:v>
      </x:c>
      <x:c r="F85" s="13" t="str">
        <x:v>Business Case &amp; Investment Development &gt; Business Case Manager</x:v>
      </x:c>
      <x:c r="G85" s="13" t="str">
        <x:v>authenticated</x:v>
      </x:c>
      <x:c r="H85" s="13" t="str">
        <x:v>RENDERER_REGISTERED</x:v>
      </x:c>
      <x:c r="I85" s="13" t="str">
        <x:v>business-case-my</x:v>
      </x:c>
      <x:c r="J85" s="13" t="str">
        <x:v>USER_TRANSACTION. STATIC_METADATA_NOT_BUSINESS_UAT</x:v>
      </x:c>
    </x:row>
    <x:row r="86" ht="42" customHeight="1">
      <x:c r="A86" s="14" t="str">
        <x:v>FE-79</x:v>
      </x:c>
      <x:c r="B86" s="6" t="str">
        <x:v>PANTALLA</x:v>
      </x:c>
      <x:c r="C86" s="6" t="str">
        <x:v>/app/strategy/business-case-overview</x:v>
      </x:c>
      <x:c r="D86" s="6" t="str">
        <x:v>USER</x:v>
      </x:c>
      <x:c r="E86" s="6" t="str">
        <x:v>frontend/src/features/business-case/BusinessCaseWorkspace.tsx</x:v>
      </x:c>
      <x:c r="F86" s="6" t="str">
        <x:v>Business Case &amp; Investment Development &gt; Business Case Manager &gt; Overview</x:v>
      </x:c>
      <x:c r="G86" s="6" t="str">
        <x:v>authenticated</x:v>
      </x:c>
      <x:c r="H86" s="6" t="str">
        <x:v>RENDERER_REGISTERED</x:v>
      </x:c>
      <x:c r="I86" s="6" t="str">
        <x:v>business-case-overview</x:v>
      </x:c>
      <x:c r="J86" s="6" t="str">
        <x:v>USER_TRANSACTION. STATIC_METADATA_NOT_BUSINESS_UAT</x:v>
      </x:c>
    </x:row>
    <x:row r="87" ht="53" customHeight="1">
      <x:c r="A87" s="15" t="str">
        <x:v>FE-80</x:v>
      </x:c>
      <x:c r="B87" s="13" t="str">
        <x:v>PANTALLA</x:v>
      </x:c>
      <x:c r="C87" s="13" t="str">
        <x:v>/app/strategy/business-case-strategic</x:v>
      </x:c>
      <x:c r="D87" s="13" t="str">
        <x:v>USER</x:v>
      </x:c>
      <x:c r="E87" s="13" t="str">
        <x:v>frontend/src/features/business-case/BusinessCaseWorkspace.tsx</x:v>
      </x:c>
      <x:c r="F87" s="13" t="str">
        <x:v>Business Case &amp; Investment Development &gt; Business Case Manager &gt; Strategic Case</x:v>
      </x:c>
      <x:c r="G87" s="13" t="str">
        <x:v>authenticated</x:v>
      </x:c>
      <x:c r="H87" s="13" t="str">
        <x:v>RENDERER_REGISTERED</x:v>
      </x:c>
      <x:c r="I87" s="13" t="str">
        <x:v>business-case-strategic</x:v>
      </x:c>
      <x:c r="J87" s="13" t="str">
        <x:v>USER_TRANSACTION. STATIC_METADATA_NOT_BUSINESS_UAT</x:v>
      </x:c>
    </x:row>
    <x:row r="88" ht="53" customHeight="1">
      <x:c r="A88" s="14" t="str">
        <x:v>FE-81</x:v>
      </x:c>
      <x:c r="B88" s="6" t="str">
        <x:v>PANTALLA</x:v>
      </x:c>
      <x:c r="C88" s="6" t="str">
        <x:v>/app/strategy/business-case-economic</x:v>
      </x:c>
      <x:c r="D88" s="6" t="str">
        <x:v>USER</x:v>
      </x:c>
      <x:c r="E88" s="6" t="str">
        <x:v>frontend/src/features/business-case/BusinessCaseWorkspace.tsx</x:v>
      </x:c>
      <x:c r="F88" s="6" t="str">
        <x:v>Business Case &amp; Investment Development &gt; Business Case Manager &gt; Economic Case</x:v>
      </x:c>
      <x:c r="G88" s="6" t="str">
        <x:v>authenticated</x:v>
      </x:c>
      <x:c r="H88" s="6" t="str">
        <x:v>RENDERER_REGISTERED</x:v>
      </x:c>
      <x:c r="I88" s="6" t="str">
        <x:v>business-case-economic</x:v>
      </x:c>
      <x:c r="J88" s="6" t="str">
        <x:v>USER_TRANSACTION. STATIC_METADATA_NOT_BUSINESS_UAT</x:v>
      </x:c>
    </x:row>
    <x:row r="89" ht="53" customHeight="1">
      <x:c r="A89" s="15" t="str">
        <x:v>FE-82</x:v>
      </x:c>
      <x:c r="B89" s="13" t="str">
        <x:v>PANTALLA</x:v>
      </x:c>
      <x:c r="C89" s="13" t="str">
        <x:v>/app/strategy/business-case-commercial</x:v>
      </x:c>
      <x:c r="D89" s="13" t="str">
        <x:v>USER</x:v>
      </x:c>
      <x:c r="E89" s="13" t="str">
        <x:v>frontend/src/features/business-case/BusinessCaseWorkspace.tsx</x:v>
      </x:c>
      <x:c r="F89" s="13" t="str">
        <x:v>Business Case &amp; Investment Development &gt; Business Case Manager &gt; Commercial Case</x:v>
      </x:c>
      <x:c r="G89" s="13" t="str">
        <x:v>authenticated</x:v>
      </x:c>
      <x:c r="H89" s="13" t="str">
        <x:v>RENDERER_REGISTERED</x:v>
      </x:c>
      <x:c r="I89" s="13" t="str">
        <x:v>business-case-commercial</x:v>
      </x:c>
      <x:c r="J89" s="13" t="str">
        <x:v>USER_TRANSACTION. STATIC_METADATA_NOT_BUSINESS_UAT</x:v>
      </x:c>
    </x:row>
    <x:row r="90" ht="53" customHeight="1">
      <x:c r="A90" s="14" t="str">
        <x:v>FE-83</x:v>
      </x:c>
      <x:c r="B90" s="6" t="str">
        <x:v>PANTALLA</x:v>
      </x:c>
      <x:c r="C90" s="6" t="str">
        <x:v>/app/strategy/business-case-financial</x:v>
      </x:c>
      <x:c r="D90" s="6" t="str">
        <x:v>USER</x:v>
      </x:c>
      <x:c r="E90" s="6" t="str">
        <x:v>frontend/src/features/business-case/BusinessCaseWorkspace.tsx</x:v>
      </x:c>
      <x:c r="F90" s="6" t="str">
        <x:v>Business Case &amp; Investment Development &gt; Business Case Manager &gt; Financial Case</x:v>
      </x:c>
      <x:c r="G90" s="6" t="str">
        <x:v>authenticated</x:v>
      </x:c>
      <x:c r="H90" s="6" t="str">
        <x:v>RENDERER_REGISTERED</x:v>
      </x:c>
      <x:c r="I90" s="6" t="str">
        <x:v>business-case-financial</x:v>
      </x:c>
      <x:c r="J90" s="6" t="str">
        <x:v>USER_TRANSACTION. STATIC_METADATA_NOT_BUSINESS_UAT</x:v>
      </x:c>
    </x:row>
    <x:row r="91" ht="53" customHeight="1">
      <x:c r="A91" s="15" t="str">
        <x:v>FE-84</x:v>
      </x:c>
      <x:c r="B91" s="13" t="str">
        <x:v>PANTALLA</x:v>
      </x:c>
      <x:c r="C91" s="13" t="str">
        <x:v>/app/strategy/business-case-management</x:v>
      </x:c>
      <x:c r="D91" s="13" t="str">
        <x:v>USER</x:v>
      </x:c>
      <x:c r="E91" s="13" t="str">
        <x:v>frontend/src/features/business-case/BusinessCaseWorkspace.tsx</x:v>
      </x:c>
      <x:c r="F91" s="13" t="str">
        <x:v>Business Case &amp; Investment Development &gt; Business Case Manager &gt; Management Case</x:v>
      </x:c>
      <x:c r="G91" s="13" t="str">
        <x:v>authenticated</x:v>
      </x:c>
      <x:c r="H91" s="13" t="str">
        <x:v>RENDERER_REGISTERED</x:v>
      </x:c>
      <x:c r="I91" s="13" t="str">
        <x:v>business-case-management</x:v>
      </x:c>
      <x:c r="J91" s="13" t="str">
        <x:v>USER_TRANSACTION. STATIC_METADATA_NOT_BUSINESS_UAT</x:v>
      </x:c>
    </x:row>
    <x:row r="92" ht="53" customHeight="1">
      <x:c r="A92" s="14" t="str">
        <x:v>FE-85</x:v>
      </x:c>
      <x:c r="B92" s="6" t="str">
        <x:v>PANTALLA</x:v>
      </x:c>
      <x:c r="C92" s="6" t="str">
        <x:v>/app/strategy/business-case-sources-evidence</x:v>
      </x:c>
      <x:c r="D92" s="6" t="str">
        <x:v>USER</x:v>
      </x:c>
      <x:c r="E92" s="6" t="str">
        <x:v>frontend/src/features/business-case/BusinessCaseWorkspace.tsx</x:v>
      </x:c>
      <x:c r="F92" s="6" t="str">
        <x:v>Business Case &amp; Investment Development &gt; Business Case Manager &gt; Sources &amp; Evidence</x:v>
      </x:c>
      <x:c r="G92" s="6" t="str">
        <x:v>authenticated</x:v>
      </x:c>
      <x:c r="H92" s="6" t="str">
        <x:v>RENDERER_REGISTERED</x:v>
      </x:c>
      <x:c r="I92" s="6" t="str">
        <x:v>business-case-sources-evidence</x:v>
      </x:c>
      <x:c r="J92" s="6" t="str">
        <x:v>USER_TRANSACTION. STATIC_METADATA_NOT_BUSINESS_UAT</x:v>
      </x:c>
    </x:row>
    <x:row r="93" ht="42" customHeight="1">
      <x:c r="A93" s="15" t="str">
        <x:v>FE-86</x:v>
      </x:c>
      <x:c r="B93" s="13" t="str">
        <x:v>PANTALLA</x:v>
      </x:c>
      <x:c r="C93" s="13" t="str">
        <x:v>/app/strategy/business-case-readiness</x:v>
      </x:c>
      <x:c r="D93" s="13" t="str">
        <x:v>USER</x:v>
      </x:c>
      <x:c r="E93" s="13" t="str">
        <x:v>frontend/src/features/business-case/BusinessCaseWorkspace.tsx</x:v>
      </x:c>
      <x:c r="F93" s="13" t="str">
        <x:v>Business Case &amp; Investment Development &gt; Business Case Manager &gt; Readiness</x:v>
      </x:c>
      <x:c r="G93" s="13" t="str">
        <x:v>authenticated</x:v>
      </x:c>
      <x:c r="H93" s="13" t="str">
        <x:v>RENDERER_REGISTERED</x:v>
      </x:c>
      <x:c r="I93" s="13" t="str">
        <x:v>business-case-readiness</x:v>
      </x:c>
      <x:c r="J93" s="13" t="str">
        <x:v>USER_TRANSACTION. STATIC_METADATA_NOT_BUSINESS_UAT</x:v>
      </x:c>
    </x:row>
    <x:row r="94" ht="53" customHeight="1">
      <x:c r="A94" s="14" t="str">
        <x:v>FE-87</x:v>
      </x:c>
      <x:c r="B94" s="6" t="str">
        <x:v>PANTALLA</x:v>
      </x:c>
      <x:c r="C94" s="6" t="str">
        <x:v>/app/strategy/business-case-decision-snapshots</x:v>
      </x:c>
      <x:c r="D94" s="6" t="str">
        <x:v>USER</x:v>
      </x:c>
      <x:c r="E94" s="6" t="str">
        <x:v>frontend/src/features/business-case/BusinessCaseWorkspace.tsx</x:v>
      </x:c>
      <x:c r="F94" s="6" t="str">
        <x:v>Business Case &amp; Investment Development &gt; Business Case Manager &gt; Decision Snapshots</x:v>
      </x:c>
      <x:c r="G94" s="6" t="str">
        <x:v>authenticated</x:v>
      </x:c>
      <x:c r="H94" s="6" t="str">
        <x:v>RENDERER_REGISTERED</x:v>
      </x:c>
      <x:c r="I94" s="6" t="str">
        <x:v>business-case-decision-snapshots</x:v>
      </x:c>
      <x:c r="J94" s="6" t="str">
        <x:v>USER_TRANSACTION. STATIC_METADATA_NOT_BUSINESS_UAT</x:v>
      </x:c>
    </x:row>
    <x:row r="95" ht="42" customHeight="1">
      <x:c r="A95" s="15" t="str">
        <x:v>FE-88</x:v>
      </x:c>
      <x:c r="B95" s="13" t="str">
        <x:v>PANTALLA</x:v>
      </x:c>
      <x:c r="C95" s="13" t="str">
        <x:v>/app/strategy/business-case-history</x:v>
      </x:c>
      <x:c r="D95" s="13" t="str">
        <x:v>USER</x:v>
      </x:c>
      <x:c r="E95" s="13" t="str">
        <x:v>frontend/src/features/business-case/BusinessCaseWorkspace.tsx</x:v>
      </x:c>
      <x:c r="F95" s="13" t="str">
        <x:v>Business Case &amp; Investment Development &gt; Business Case Manager &gt; History</x:v>
      </x:c>
      <x:c r="G95" s="13" t="str">
        <x:v>authenticated</x:v>
      </x:c>
      <x:c r="H95" s="13" t="str">
        <x:v>RENDERER_REGISTERED</x:v>
      </x:c>
      <x:c r="I95" s="13" t="str">
        <x:v>business-case-history</x:v>
      </x:c>
      <x:c r="J95" s="13" t="str">
        <x:v>USER_TRANSACTION. STATIC_METADATA_NOT_BUSINESS_UAT</x:v>
      </x:c>
    </x:row>
    <x:row r="96" ht="53" customHeight="1">
      <x:c r="A96" s="14" t="str">
        <x:v>FE-89</x:v>
      </x:c>
      <x:c r="B96" s="6" t="str">
        <x:v>PANTALLA</x:v>
      </x:c>
      <x:c r="C96" s="6" t="str">
        <x:v>/app/strategy/strategic-benefits-my</x:v>
      </x:c>
      <x:c r="D96" s="6" t="str">
        <x:v>USER</x:v>
      </x:c>
      <x:c r="E96" s="6" t="str">
        <x:v>frontend/src/features/strategic-benefits/StrategicBenefitsWorkspace.tsx</x:v>
      </x:c>
      <x:c r="F96" s="6" t="str">
        <x:v>Business Case &amp; Investment Development &gt; Strategic Benefits Plan &amp; Traceability &gt; My Plans</x:v>
      </x:c>
      <x:c r="G96" s="6" t="str">
        <x:v>authenticated</x:v>
      </x:c>
      <x:c r="H96" s="6" t="str">
        <x:v>RENDERER_REGISTERED</x:v>
      </x:c>
      <x:c r="I96" s="6" t="str">
        <x:v>strategic-benefits-my</x:v>
      </x:c>
      <x:c r="J96" s="6" t="str">
        <x:v>USER_TRANSACTION. STATIC_METADATA_NOT_BUSINESS_UAT</x:v>
      </x:c>
    </x:row>
    <x:row r="97" ht="53" customHeight="1">
      <x:c r="A97" s="15" t="str">
        <x:v>FE-90</x:v>
      </x:c>
      <x:c r="B97" s="13" t="str">
        <x:v>PANTALLA</x:v>
      </x:c>
      <x:c r="C97" s="13" t="str">
        <x:v>/app/strategy/strategic-benefits-overview</x:v>
      </x:c>
      <x:c r="D97" s="13" t="str">
        <x:v>USER</x:v>
      </x:c>
      <x:c r="E97" s="13" t="str">
        <x:v>frontend/src/features/strategic-benefits/StrategicBenefitsWorkspace.tsx</x:v>
      </x:c>
      <x:c r="F97" s="13" t="str">
        <x:v>Business Case &amp; Investment Development &gt; Strategic Benefits Plan &amp; Traceability &gt; Overview</x:v>
      </x:c>
      <x:c r="G97" s="13" t="str">
        <x:v>authenticated</x:v>
      </x:c>
      <x:c r="H97" s="13" t="str">
        <x:v>RENDERER_REGISTERED</x:v>
      </x:c>
      <x:c r="I97" s="13" t="str">
        <x:v>strategic-benefits-overview</x:v>
      </x:c>
      <x:c r="J97" s="13" t="str">
        <x:v>USER_TRANSACTION. STATIC_METADATA_NOT_BUSINESS_UAT</x:v>
      </x:c>
    </x:row>
    <x:row r="98" ht="53" customHeight="1">
      <x:c r="A98" s="14" t="str">
        <x:v>FE-91</x:v>
      </x:c>
      <x:c r="B98" s="6" t="str">
        <x:v>PANTALLA</x:v>
      </x:c>
      <x:c r="C98" s="6" t="str">
        <x:v>/app/strategy/strategic-benefits-strategic-alignment</x:v>
      </x:c>
      <x:c r="D98" s="6" t="str">
        <x:v>USER</x:v>
      </x:c>
      <x:c r="E98" s="6" t="str">
        <x:v>frontend/src/features/strategic-benefits/StrategicBenefitsWorkspace.tsx</x:v>
      </x:c>
      <x:c r="F98" s="6" t="str">
        <x:v>Business Case &amp; Investment Development &gt; Strategic Benefits Plan &amp; Traceability &gt; Strategic Alignment</x:v>
      </x:c>
      <x:c r="G98" s="6" t="str">
        <x:v>authenticated</x:v>
      </x:c>
      <x:c r="H98" s="6" t="str">
        <x:v>RENDERER_REGISTERED</x:v>
      </x:c>
      <x:c r="I98" s="6" t="str">
        <x:v>strategic-benefits-strategic-alignment</x:v>
      </x:c>
      <x:c r="J98" s="6" t="str">
        <x:v>USER_TRANSACTION. STATIC_METADATA_NOT_BUSINESS_UAT</x:v>
      </x:c>
    </x:row>
    <x:row r="99" ht="53" customHeight="1">
      <x:c r="A99" s="15" t="str">
        <x:v>FE-92</x:v>
      </x:c>
      <x:c r="B99" s="13" t="str">
        <x:v>PANTALLA</x:v>
      </x:c>
      <x:c r="C99" s="13" t="str">
        <x:v>/app/strategy/strategic-benefits-outputs</x:v>
      </x:c>
      <x:c r="D99" s="13" t="str">
        <x:v>USER</x:v>
      </x:c>
      <x:c r="E99" s="13" t="str">
        <x:v>frontend/src/features/strategic-benefits/StrategicBenefitsWorkspace.tsx</x:v>
      </x:c>
      <x:c r="F99" s="13" t="str">
        <x:v>Business Case &amp; Investment Development &gt; Strategic Benefits Plan &amp; Traceability &gt; Outputs</x:v>
      </x:c>
      <x:c r="G99" s="13" t="str">
        <x:v>authenticated</x:v>
      </x:c>
      <x:c r="H99" s="13" t="str">
        <x:v>RENDERER_REGISTERED</x:v>
      </x:c>
      <x:c r="I99" s="13" t="str">
        <x:v>strategic-benefits-outputs</x:v>
      </x:c>
      <x:c r="J99" s="13" t="str">
        <x:v>USER_TRANSACTION. STATIC_METADATA_NOT_BUSINESS_UAT</x:v>
      </x:c>
    </x:row>
    <x:row r="100" ht="53" customHeight="1">
      <x:c r="A100" s="14" t="str">
        <x:v>FE-93</x:v>
      </x:c>
      <x:c r="B100" s="6" t="str">
        <x:v>PANTALLA</x:v>
      </x:c>
      <x:c r="C100" s="6" t="str">
        <x:v>/app/strategy/strategic-benefits-outcomes</x:v>
      </x:c>
      <x:c r="D100" s="6" t="str">
        <x:v>USER</x:v>
      </x:c>
      <x:c r="E100" s="6" t="str">
        <x:v>frontend/src/features/strategic-benefits/StrategicBenefitsWorkspace.tsx</x:v>
      </x:c>
      <x:c r="F100" s="6" t="str">
        <x:v>Business Case &amp; Investment Development &gt; Strategic Benefits Plan &amp; Traceability &gt; Outcomes</x:v>
      </x:c>
      <x:c r="G100" s="6" t="str">
        <x:v>authenticated</x:v>
      </x:c>
      <x:c r="H100" s="6" t="str">
        <x:v>RENDERER_REGISTERED</x:v>
      </x:c>
      <x:c r="I100" s="6" t="str">
        <x:v>strategic-benefits-outcomes</x:v>
      </x:c>
      <x:c r="J100" s="6" t="str">
        <x:v>USER_TRANSACTION. STATIC_METADATA_NOT_BUSINESS_UAT</x:v>
      </x:c>
    </x:row>
    <x:row r="101" ht="53" customHeight="1">
      <x:c r="A101" s="15" t="str">
        <x:v>FE-94</x:v>
      </x:c>
      <x:c r="B101" s="13" t="str">
        <x:v>PANTALLA</x:v>
      </x:c>
      <x:c r="C101" s="13" t="str">
        <x:v>/app/strategy/strategic-benefits-register</x:v>
      </x:c>
      <x:c r="D101" s="13" t="str">
        <x:v>USER</x:v>
      </x:c>
      <x:c r="E101" s="13" t="str">
        <x:v>frontend/src/features/strategic-benefits/StrategicBenefitsWorkspace.tsx</x:v>
      </x:c>
      <x:c r="F101" s="13" t="str">
        <x:v>Business Case &amp; Investment Development &gt; Strategic Benefits Plan &amp; Traceability &gt; Benefits Register</x:v>
      </x:c>
      <x:c r="G101" s="13" t="str">
        <x:v>authenticated</x:v>
      </x:c>
      <x:c r="H101" s="13" t="str">
        <x:v>RENDERER_REGISTERED</x:v>
      </x:c>
      <x:c r="I101" s="13" t="str">
        <x:v>strategic-benefits-register</x:v>
      </x:c>
      <x:c r="J101" s="13" t="str">
        <x:v>USER_TRANSACTION. STATIC_METADATA_NOT_BUSINESS_UAT</x:v>
      </x:c>
    </x:row>
    <x:row r="102" ht="53" customHeight="1">
      <x:c r="A102" s="14" t="str">
        <x:v>FE-95</x:v>
      </x:c>
      <x:c r="B102" s="6" t="str">
        <x:v>PANTALLA</x:v>
      </x:c>
      <x:c r="C102" s="6" t="str">
        <x:v>/app/strategy/strategic-benefits-measures</x:v>
      </x:c>
      <x:c r="D102" s="6" t="str">
        <x:v>USER</x:v>
      </x:c>
      <x:c r="E102" s="6" t="str">
        <x:v>frontend/src/features/strategic-benefits/StrategicBenefitsWorkspace.tsx</x:v>
      </x:c>
      <x:c r="F102" s="6" t="str">
        <x:v>Business Case &amp; Investment Development &gt; Strategic Benefits Plan &amp; Traceability &gt; Measures / KPIs</x:v>
      </x:c>
      <x:c r="G102" s="6" t="str">
        <x:v>authenticated</x:v>
      </x:c>
      <x:c r="H102" s="6" t="str">
        <x:v>RENDERER_REGISTERED</x:v>
      </x:c>
      <x:c r="I102" s="6" t="str">
        <x:v>strategic-benefits-measures</x:v>
      </x:c>
      <x:c r="J102" s="6" t="str">
        <x:v>USER_TRANSACTION. STATIC_METADATA_NOT_BUSINESS_UAT</x:v>
      </x:c>
    </x:row>
    <x:row r="103" ht="53" customHeight="1">
      <x:c r="A103" s="15" t="str">
        <x:v>FE-96</x:v>
      </x:c>
      <x:c r="B103" s="13" t="str">
        <x:v>PANTALLA</x:v>
      </x:c>
      <x:c r="C103" s="13" t="str">
        <x:v>/app/strategy/strategic-benefits-owners</x:v>
      </x:c>
      <x:c r="D103" s="13" t="str">
        <x:v>USER</x:v>
      </x:c>
      <x:c r="E103" s="13" t="str">
        <x:v>frontend/src/features/strategic-benefits/StrategicBenefitsWorkspace.tsx</x:v>
      </x:c>
      <x:c r="F103" s="13" t="str">
        <x:v>Business Case &amp; Investment Development &gt; Strategic Benefits Plan &amp; Traceability &gt; Benefit Owners</x:v>
      </x:c>
      <x:c r="G103" s="13" t="str">
        <x:v>authenticated</x:v>
      </x:c>
      <x:c r="H103" s="13" t="str">
        <x:v>RENDERER_REGISTERED</x:v>
      </x:c>
      <x:c r="I103" s="13" t="str">
        <x:v>strategic-benefits-owners</x:v>
      </x:c>
      <x:c r="J103" s="13" t="str">
        <x:v>USER_TRANSACTION. STATIC_METADATA_NOT_BUSINESS_UAT</x:v>
      </x:c>
    </x:row>
    <x:row r="104" ht="53" customHeight="1">
      <x:c r="A104" s="14" t="str">
        <x:v>FE-97</x:v>
      </x:c>
      <x:c r="B104" s="6" t="str">
        <x:v>PANTALLA</x:v>
      </x:c>
      <x:c r="C104" s="6" t="str">
        <x:v>/app/strategy/strategic-benefits-baselines-targets</x:v>
      </x:c>
      <x:c r="D104" s="6" t="str">
        <x:v>USER</x:v>
      </x:c>
      <x:c r="E104" s="6" t="str">
        <x:v>frontend/src/features/strategic-benefits/StrategicBenefitsWorkspace.tsx</x:v>
      </x:c>
      <x:c r="F104" s="6" t="str">
        <x:v>Business Case &amp; Investment Development &gt; Strategic Benefits Plan &amp; Traceability &gt; Baselines &amp; Targets</x:v>
      </x:c>
      <x:c r="G104" s="6" t="str">
        <x:v>authenticated</x:v>
      </x:c>
      <x:c r="H104" s="6" t="str">
        <x:v>RENDERER_REGISTERED</x:v>
      </x:c>
      <x:c r="I104" s="6" t="str">
        <x:v>strategic-benefits-baselines-targets</x:v>
      </x:c>
      <x:c r="J104" s="6" t="str">
        <x:v>USER_TRANSACTION. STATIC_METADATA_NOT_BUSINESS_UAT</x:v>
      </x:c>
    </x:row>
    <x:row r="105" ht="53" customHeight="1">
      <x:c r="A105" s="15" t="str">
        <x:v>FE-98</x:v>
      </x:c>
      <x:c r="B105" s="13" t="str">
        <x:v>PANTALLA</x:v>
      </x:c>
      <x:c r="C105" s="13" t="str">
        <x:v>/app/strategy/strategic-benefits-expected-value</x:v>
      </x:c>
      <x:c r="D105" s="13" t="str">
        <x:v>USER</x:v>
      </x:c>
      <x:c r="E105" s="13" t="str">
        <x:v>frontend/src/features/strategic-benefits/StrategicBenefitsWorkspace.tsx</x:v>
      </x:c>
      <x:c r="F105" s="13" t="str">
        <x:v>Business Case &amp; Investment Development &gt; Strategic Benefits Plan &amp; Traceability &gt; Expected Value</x:v>
      </x:c>
      <x:c r="G105" s="13" t="str">
        <x:v>authenticated</x:v>
      </x:c>
      <x:c r="H105" s="13" t="str">
        <x:v>RENDERER_REGISTERED</x:v>
      </x:c>
      <x:c r="I105" s="13" t="str">
        <x:v>strategic-benefits-expected-value</x:v>
      </x:c>
      <x:c r="J105" s="13" t="str">
        <x:v>USER_TRANSACTION. STATIC_METADATA_NOT_BUSINESS_UAT</x:v>
      </x:c>
    </x:row>
    <x:row r="106" ht="53" customHeight="1">
      <x:c r="A106" s="14" t="str">
        <x:v>FE-99</x:v>
      </x:c>
      <x:c r="B106" s="6" t="str">
        <x:v>PANTALLA</x:v>
      </x:c>
      <x:c r="C106" s="6" t="str">
        <x:v>/app/strategy/strategic-benefits-dependencies</x:v>
      </x:c>
      <x:c r="D106" s="6" t="str">
        <x:v>USER</x:v>
      </x:c>
      <x:c r="E106" s="6" t="str">
        <x:v>frontend/src/features/strategic-benefits/StrategicBenefitsWorkspace.tsx</x:v>
      </x:c>
      <x:c r="F106" s="6" t="str">
        <x:v>Business Case &amp; Investment Development &gt; Strategic Benefits Plan &amp; Traceability &gt; Dependencies</x:v>
      </x:c>
      <x:c r="G106" s="6" t="str">
        <x:v>authenticated</x:v>
      </x:c>
      <x:c r="H106" s="6" t="str">
        <x:v>RENDERER_REGISTERED</x:v>
      </x:c>
      <x:c r="I106" s="6" t="str">
        <x:v>strategic-benefits-dependencies</x:v>
      </x:c>
      <x:c r="J106" s="6" t="str">
        <x:v>USER_TRANSACTION. STATIC_METADATA_NOT_BUSINESS_UAT</x:v>
      </x:c>
    </x:row>
    <x:row r="107" ht="53" customHeight="1">
      <x:c r="A107" s="15" t="str">
        <x:v>FE-100</x:v>
      </x:c>
      <x:c r="B107" s="13" t="str">
        <x:v>PANTALLA</x:v>
      </x:c>
      <x:c r="C107" s="13" t="str">
        <x:v>/app/strategy/strategic-benefits-assumptions-constraints</x:v>
      </x:c>
      <x:c r="D107" s="13" t="str">
        <x:v>USER</x:v>
      </x:c>
      <x:c r="E107" s="13" t="str">
        <x:v>frontend/src/features/strategic-benefits/StrategicBenefitsWorkspace.tsx</x:v>
      </x:c>
      <x:c r="F107" s="13" t="str">
        <x:v>Business Case &amp; Investment Development &gt; Strategic Benefits Plan &amp; Traceability &gt; Assumptions / Constraints</x:v>
      </x:c>
      <x:c r="G107" s="13" t="str">
        <x:v>authenticated</x:v>
      </x:c>
      <x:c r="H107" s="13" t="str">
        <x:v>RENDERER_REGISTERED</x:v>
      </x:c>
      <x:c r="I107" s="13" t="str">
        <x:v>strategic-benefits-assumptions-constraints</x:v>
      </x:c>
      <x:c r="J107" s="13" t="str">
        <x:v>USER_TRANSACTION. STATIC_METADATA_NOT_BUSINESS_UAT</x:v>
      </x:c>
    </x:row>
    <x:row r="108" ht="53" customHeight="1">
      <x:c r="A108" s="14" t="str">
        <x:v>FE-101</x:v>
      </x:c>
      <x:c r="B108" s="6" t="str">
        <x:v>PANTALLA</x:v>
      </x:c>
      <x:c r="C108" s="6" t="str">
        <x:v>/app/strategy/strategic-benefits-risk-references</x:v>
      </x:c>
      <x:c r="D108" s="6" t="str">
        <x:v>USER</x:v>
      </x:c>
      <x:c r="E108" s="6" t="str">
        <x:v>frontend/src/features/strategic-benefits/StrategicBenefitsWorkspace.tsx</x:v>
      </x:c>
      <x:c r="F108" s="6" t="str">
        <x:v>Business Case &amp; Investment Development &gt; Strategic Benefits Plan &amp; Traceability &gt; Risk References</x:v>
      </x:c>
      <x:c r="G108" s="6" t="str">
        <x:v>authenticated</x:v>
      </x:c>
      <x:c r="H108" s="6" t="str">
        <x:v>RENDERER_REGISTERED</x:v>
      </x:c>
      <x:c r="I108" s="6" t="str">
        <x:v>strategic-benefits-risk-references</x:v>
      </x:c>
      <x:c r="J108" s="6" t="str">
        <x:v>USER_TRANSACTION. STATIC_METADATA_NOT_BUSINESS_UAT</x:v>
      </x:c>
    </x:row>
    <x:row r="109" ht="53" customHeight="1">
      <x:c r="A109" s="15" t="str">
        <x:v>FE-102</x:v>
      </x:c>
      <x:c r="B109" s="13" t="str">
        <x:v>PANTALLA</x:v>
      </x:c>
      <x:c r="C109" s="13" t="str">
        <x:v>/app/strategy/strategic-benefits-traceability</x:v>
      </x:c>
      <x:c r="D109" s="13" t="str">
        <x:v>USER</x:v>
      </x:c>
      <x:c r="E109" s="13" t="str">
        <x:v>frontend/src/features/strategic-benefits/StrategicBenefitsWorkspace.tsx</x:v>
      </x:c>
      <x:c r="F109" s="13" t="str">
        <x:v>Business Case &amp; Investment Development &gt; Strategic Benefits Plan &amp; Traceability &gt; Traceability</x:v>
      </x:c>
      <x:c r="G109" s="13" t="str">
        <x:v>authenticated</x:v>
      </x:c>
      <x:c r="H109" s="13" t="str">
        <x:v>RENDERER_REGISTERED</x:v>
      </x:c>
      <x:c r="I109" s="13" t="str">
        <x:v>strategic-benefits-traceability</x:v>
      </x:c>
      <x:c r="J109" s="13" t="str">
        <x:v>USER_TRANSACTION. STATIC_METADATA_NOT_BUSINESS_UAT</x:v>
      </x:c>
    </x:row>
    <x:row r="110" ht="53" customHeight="1">
      <x:c r="A110" s="14" t="str">
        <x:v>FE-103</x:v>
      </x:c>
      <x:c r="B110" s="6" t="str">
        <x:v>PANTALLA</x:v>
      </x:c>
      <x:c r="C110" s="6" t="str">
        <x:v>/app/strategy/strategic-benefits-readiness</x:v>
      </x:c>
      <x:c r="D110" s="6" t="str">
        <x:v>USER</x:v>
      </x:c>
      <x:c r="E110" s="6" t="str">
        <x:v>frontend/src/features/strategic-benefits/StrategicBenefitsWorkspace.tsx</x:v>
      </x:c>
      <x:c r="F110" s="6" t="str">
        <x:v>Business Case &amp; Investment Development &gt; Strategic Benefits Plan &amp; Traceability &gt; Readiness</x:v>
      </x:c>
      <x:c r="G110" s="6" t="str">
        <x:v>authenticated</x:v>
      </x:c>
      <x:c r="H110" s="6" t="str">
        <x:v>RENDERER_REGISTERED</x:v>
      </x:c>
      <x:c r="I110" s="6" t="str">
        <x:v>strategic-benefits-readiness</x:v>
      </x:c>
      <x:c r="J110" s="6" t="str">
        <x:v>USER_TRANSACTION. STATIC_METADATA_NOT_BUSINESS_UAT</x:v>
      </x:c>
    </x:row>
    <x:row r="111" ht="53" customHeight="1">
      <x:c r="A111" s="15" t="str">
        <x:v>FE-104</x:v>
      </x:c>
      <x:c r="B111" s="13" t="str">
        <x:v>PANTALLA</x:v>
      </x:c>
      <x:c r="C111" s="13" t="str">
        <x:v>/app/strategy/strategic-benefits-history</x:v>
      </x:c>
      <x:c r="D111" s="13" t="str">
        <x:v>USER</x:v>
      </x:c>
      <x:c r="E111" s="13" t="str">
        <x:v>frontend/src/features/strategic-benefits/StrategicBenefitsWorkspace.tsx</x:v>
      </x:c>
      <x:c r="F111" s="13" t="str">
        <x:v>Business Case &amp; Investment Development &gt; Strategic Benefits Plan &amp; Traceability &gt; History</x:v>
      </x:c>
      <x:c r="G111" s="13" t="str">
        <x:v>authenticated</x:v>
      </x:c>
      <x:c r="H111" s="13" t="str">
        <x:v>RENDERER_REGISTERED</x:v>
      </x:c>
      <x:c r="I111" s="13" t="str">
        <x:v>strategic-benefits-history</x:v>
      </x:c>
      <x:c r="J111" s="13" t="str">
        <x:v>USER_TRANSACTION. STATIC_METADATA_NOT_BUSINESS_UAT</x:v>
      </x:c>
    </x:row>
    <x:row r="112" ht="53" customHeight="1">
      <x:c r="A112" s="14" t="str">
        <x:v>FE-105</x:v>
      </x:c>
      <x:c r="B112" s="6" t="str">
        <x:v>PANTALLA</x:v>
      </x:c>
      <x:c r="C112" s="6" t="str">
        <x:v>/app/strategy/commercial-strategy-my</x:v>
      </x:c>
      <x:c r="D112" s="6" t="str">
        <x:v>USER</x:v>
      </x:c>
      <x:c r="E112" s="6" t="str">
        <x:v>frontend/src/features/commercial-strategy/CommercialStrategyWorkspace.tsx</x:v>
      </x:c>
      <x:c r="F112" s="6" t="str">
        <x:v>Business Case &amp; Investment Development &gt; Commercial &amp; Contracting Strategy &gt; My Strategies</x:v>
      </x:c>
      <x:c r="G112" s="6" t="str">
        <x:v>authenticated</x:v>
      </x:c>
      <x:c r="H112" s="6" t="str">
        <x:v>RENDERER_REGISTERED</x:v>
      </x:c>
      <x:c r="I112" s="6" t="str">
        <x:v>commercial-strategy-my</x:v>
      </x:c>
      <x:c r="J112" s="6" t="str">
        <x:v>USER_TRANSACTION. STATIC_METADATA_NOT_BUSINESS_UAT</x:v>
      </x:c>
    </x:row>
    <x:row r="113" ht="53" customHeight="1">
      <x:c r="A113" s="15" t="str">
        <x:v>FE-106</x:v>
      </x:c>
      <x:c r="B113" s="13" t="str">
        <x:v>PANTALLA</x:v>
      </x:c>
      <x:c r="C113" s="13" t="str">
        <x:v>/app/strategy/commercial-strategy-overview</x:v>
      </x:c>
      <x:c r="D113" s="13" t="str">
        <x:v>USER</x:v>
      </x:c>
      <x:c r="E113" s="13" t="str">
        <x:v>frontend/src/features/commercial-strategy/CommercialStrategyWorkspace.tsx</x:v>
      </x:c>
      <x:c r="F113" s="13" t="str">
        <x:v>Business Case &amp; Investment Development &gt; Commercial &amp; Contracting Strategy &gt; Overview</x:v>
      </x:c>
      <x:c r="G113" s="13" t="str">
        <x:v>authenticated</x:v>
      </x:c>
      <x:c r="H113" s="13" t="str">
        <x:v>RENDERER_REGISTERED</x:v>
      </x:c>
      <x:c r="I113" s="13" t="str">
        <x:v>commercial-strategy-overview</x:v>
      </x:c>
      <x:c r="J113" s="13" t="str">
        <x:v>USER_TRANSACTION. STATIC_METADATA_NOT_BUSINESS_UAT</x:v>
      </x:c>
    </x:row>
    <x:row r="114" ht="53" customHeight="1">
      <x:c r="A114" s="14" t="str">
        <x:v>FE-107</x:v>
      </x:c>
      <x:c r="B114" s="6" t="str">
        <x:v>PANTALLA</x:v>
      </x:c>
      <x:c r="C114" s="6" t="str">
        <x:v>/app/strategy/commercial-strategy-context</x:v>
      </x:c>
      <x:c r="D114" s="6" t="str">
        <x:v>USER</x:v>
      </x:c>
      <x:c r="E114" s="6" t="str">
        <x:v>frontend/src/features/commercial-strategy/CommercialStrategyWorkspace.tsx</x:v>
      </x:c>
      <x:c r="F114" s="6" t="str">
        <x:v>Business Case &amp; Investment Development &gt; Commercial &amp; Contracting Strategy &gt; Commercial Context</x:v>
      </x:c>
      <x:c r="G114" s="6" t="str">
        <x:v>authenticated</x:v>
      </x:c>
      <x:c r="H114" s="6" t="str">
        <x:v>RENDERER_REGISTERED</x:v>
      </x:c>
      <x:c r="I114" s="6" t="str">
        <x:v>commercial-strategy-context</x:v>
      </x:c>
      <x:c r="J114" s="6" t="str">
        <x:v>USER_TRANSACTION. STATIC_METADATA_NOT_BUSINESS_UAT</x:v>
      </x:c>
    </x:row>
    <x:row r="115" ht="53" customHeight="1">
      <x:c r="A115" s="15" t="str">
        <x:v>FE-108</x:v>
      </x:c>
      <x:c r="B115" s="13" t="str">
        <x:v>PANTALLA</x:v>
      </x:c>
      <x:c r="C115" s="13" t="str">
        <x:v>/app/strategy/commercial-strategy-procurement</x:v>
      </x:c>
      <x:c r="D115" s="13" t="str">
        <x:v>USER</x:v>
      </x:c>
      <x:c r="E115" s="13" t="str">
        <x:v>frontend/src/features/commercial-strategy/CommercialStrategyWorkspace.tsx</x:v>
      </x:c>
      <x:c r="F115" s="13" t="str">
        <x:v>Business Case &amp; Investment Development &gt; Commercial &amp; Contracting Strategy &gt; Procurement Approach</x:v>
      </x:c>
      <x:c r="G115" s="13" t="str">
        <x:v>authenticated</x:v>
      </x:c>
      <x:c r="H115" s="13" t="str">
        <x:v>RENDERER_REGISTERED</x:v>
      </x:c>
      <x:c r="I115" s="13" t="str">
        <x:v>commercial-strategy-procurement</x:v>
      </x:c>
      <x:c r="J115" s="13" t="str">
        <x:v>USER_TRANSACTION. STATIC_METADATA_NOT_BUSINESS_UAT</x:v>
      </x:c>
    </x:row>
    <x:row r="116" ht="53" customHeight="1">
      <x:c r="A116" s="14" t="str">
        <x:v>FE-109</x:v>
      </x:c>
      <x:c r="B116" s="6" t="str">
        <x:v>PANTALLA</x:v>
      </x:c>
      <x:c r="C116" s="6" t="str">
        <x:v>/app/strategy/commercial-strategy-packages</x:v>
      </x:c>
      <x:c r="D116" s="6" t="str">
        <x:v>USER</x:v>
      </x:c>
      <x:c r="E116" s="6" t="str">
        <x:v>frontend/src/features/commercial-strategy/CommercialStrategyWorkspace.tsx</x:v>
      </x:c>
      <x:c r="F116" s="6" t="str">
        <x:v>Business Case &amp; Investment Development &gt; Commercial &amp; Contracting Strategy &gt; Packages</x:v>
      </x:c>
      <x:c r="G116" s="6" t="str">
        <x:v>authenticated</x:v>
      </x:c>
      <x:c r="H116" s="6" t="str">
        <x:v>RENDERER_REGISTERED</x:v>
      </x:c>
      <x:c r="I116" s="6" t="str">
        <x:v>commercial-strategy-packages</x:v>
      </x:c>
      <x:c r="J116" s="6" t="str">
        <x:v>USER_TRANSACTION. STATIC_METADATA_NOT_BUSINESS_UAT</x:v>
      </x:c>
    </x:row>
    <x:row r="117" ht="53" customHeight="1">
      <x:c r="A117" s="15" t="str">
        <x:v>FE-110</x:v>
      </x:c>
      <x:c r="B117" s="13" t="str">
        <x:v>PANTALLA</x:v>
      </x:c>
      <x:c r="C117" s="13" t="str">
        <x:v>/app/strategy/commercial-strategy-contracting-model</x:v>
      </x:c>
      <x:c r="D117" s="13" t="str">
        <x:v>USER</x:v>
      </x:c>
      <x:c r="E117" s="13" t="str">
        <x:v>frontend/src/features/commercial-strategy/CommercialStrategyWorkspace.tsx</x:v>
      </x:c>
      <x:c r="F117" s="13" t="str">
        <x:v>Business Case &amp; Investment Development &gt; Commercial &amp; Contracting Strategy &gt; Contracting Model</x:v>
      </x:c>
      <x:c r="G117" s="13" t="str">
        <x:v>authenticated</x:v>
      </x:c>
      <x:c r="H117" s="13" t="str">
        <x:v>RENDERER_REGISTERED</x:v>
      </x:c>
      <x:c r="I117" s="13" t="str">
        <x:v>commercial-strategy-contracting-model</x:v>
      </x:c>
      <x:c r="J117" s="13" t="str">
        <x:v>USER_TRANSACTION. STATIC_METADATA_NOT_BUSINESS_UAT</x:v>
      </x:c>
    </x:row>
    <x:row r="118" ht="53" customHeight="1">
      <x:c r="A118" s="14" t="str">
        <x:v>FE-111</x:v>
      </x:c>
      <x:c r="B118" s="6" t="str">
        <x:v>PANTALLA</x:v>
      </x:c>
      <x:c r="C118" s="6" t="str">
        <x:v>/app/strategy/commercial-strategy-market</x:v>
      </x:c>
      <x:c r="D118" s="6" t="str">
        <x:v>USER</x:v>
      </x:c>
      <x:c r="E118" s="6" t="str">
        <x:v>frontend/src/features/commercial-strategy/CommercialStrategyWorkspace.tsx</x:v>
      </x:c>
      <x:c r="F118" s="6" t="str">
        <x:v>Business Case &amp; Investment Development &gt; Commercial &amp; Contracting Strategy &gt; Market Assessment</x:v>
      </x:c>
      <x:c r="G118" s="6" t="str">
        <x:v>authenticated</x:v>
      </x:c>
      <x:c r="H118" s="6" t="str">
        <x:v>RENDERER_REGISTERED</x:v>
      </x:c>
      <x:c r="I118" s="6" t="str">
        <x:v>commercial-strategy-market</x:v>
      </x:c>
      <x:c r="J118" s="6" t="str">
        <x:v>USER_TRANSACTION. STATIC_METADATA_NOT_BUSINESS_UAT</x:v>
      </x:c>
    </x:row>
    <x:row r="119" ht="53" customHeight="1">
      <x:c r="A119" s="15" t="str">
        <x:v>FE-112</x:v>
      </x:c>
      <x:c r="B119" s="13" t="str">
        <x:v>PANTALLA</x:v>
      </x:c>
      <x:c r="C119" s="13" t="str">
        <x:v>/app/strategy/commercial-strategy-supply-chain</x:v>
      </x:c>
      <x:c r="D119" s="13" t="str">
        <x:v>USER</x:v>
      </x:c>
      <x:c r="E119" s="13" t="str">
        <x:v>frontend/src/features/commercial-strategy/CommercialStrategyWorkspace.tsx</x:v>
      </x:c>
      <x:c r="F119" s="13" t="str">
        <x:v>Business Case &amp; Investment Development &gt; Commercial &amp; Contracting Strategy &gt; Supply Chain</x:v>
      </x:c>
      <x:c r="G119" s="13" t="str">
        <x:v>authenticated</x:v>
      </x:c>
      <x:c r="H119" s="13" t="str">
        <x:v>RENDERER_REGISTERED</x:v>
      </x:c>
      <x:c r="I119" s="13" t="str">
        <x:v>commercial-strategy-supply-chain</x:v>
      </x:c>
      <x:c r="J119" s="13" t="str">
        <x:v>USER_TRANSACTION. STATIC_METADATA_NOT_BUSINESS_UAT</x:v>
      </x:c>
    </x:row>
    <x:row r="120" ht="53" customHeight="1">
      <x:c r="A120" s="14" t="str">
        <x:v>FE-113</x:v>
      </x:c>
      <x:c r="B120" s="6" t="str">
        <x:v>PANTALLA</x:v>
      </x:c>
      <x:c r="C120" s="6" t="str">
        <x:v>/app/strategy/commercial-strategy-risk-allocation</x:v>
      </x:c>
      <x:c r="D120" s="6" t="str">
        <x:v>USER</x:v>
      </x:c>
      <x:c r="E120" s="6" t="str">
        <x:v>frontend/src/features/commercial-strategy/CommercialStrategyWorkspace.tsx</x:v>
      </x:c>
      <x:c r="F120" s="6" t="str">
        <x:v>Business Case &amp; Investment Development &gt; Commercial &amp; Contracting Strategy &gt; Risk Allocation</x:v>
      </x:c>
      <x:c r="G120" s="6" t="str">
        <x:v>authenticated</x:v>
      </x:c>
      <x:c r="H120" s="6" t="str">
        <x:v>RENDERER_REGISTERED</x:v>
      </x:c>
      <x:c r="I120" s="6" t="str">
        <x:v>commercial-strategy-risk-allocation</x:v>
      </x:c>
      <x:c r="J120" s="6" t="str">
        <x:v>USER_TRANSACTION. STATIC_METADATA_NOT_BUSINESS_UAT</x:v>
      </x:c>
    </x:row>
    <x:row r="121" ht="53" customHeight="1">
      <x:c r="A121" s="15" t="str">
        <x:v>FE-114</x:v>
      </x:c>
      <x:c r="B121" s="13" t="str">
        <x:v>PANTALLA</x:v>
      </x:c>
      <x:c r="C121" s="13" t="str">
        <x:v>/app/strategy/commercial-strategy-payment-incentives</x:v>
      </x:c>
      <x:c r="D121" s="13" t="str">
        <x:v>USER</x:v>
      </x:c>
      <x:c r="E121" s="13" t="str">
        <x:v>frontend/src/features/commercial-strategy/CommercialStrategyWorkspace.tsx</x:v>
      </x:c>
      <x:c r="F121" s="13" t="str">
        <x:v>Business Case &amp; Investment Development &gt; Commercial &amp; Contracting Strategy &gt; Payment &amp; Incentives</x:v>
      </x:c>
      <x:c r="G121" s="13" t="str">
        <x:v>authenticated</x:v>
      </x:c>
      <x:c r="H121" s="13" t="str">
        <x:v>RENDERER_REGISTERED</x:v>
      </x:c>
      <x:c r="I121" s="13" t="str">
        <x:v>commercial-strategy-payment-incentives</x:v>
      </x:c>
      <x:c r="J121" s="13" t="str">
        <x:v>USER_TRANSACTION. STATIC_METADATA_NOT_BUSINESS_UAT</x:v>
      </x:c>
    </x:row>
    <x:row r="122" ht="53" customHeight="1">
      <x:c r="A122" s="14" t="str">
        <x:v>FE-115</x:v>
      </x:c>
      <x:c r="B122" s="6" t="str">
        <x:v>PANTALLA</x:v>
      </x:c>
      <x:c r="C122" s="6" t="str">
        <x:v>/app/strategy/commercial-strategy-assumptions</x:v>
      </x:c>
      <x:c r="D122" s="6" t="str">
        <x:v>USER</x:v>
      </x:c>
      <x:c r="E122" s="6" t="str">
        <x:v>frontend/src/features/commercial-strategy/CommercialStrategyWorkspace.tsx</x:v>
      </x:c>
      <x:c r="F122" s="6" t="str">
        <x:v>Business Case &amp; Investment Development &gt; Commercial &amp; Contracting Strategy &gt; Assumptions / Constraints</x:v>
      </x:c>
      <x:c r="G122" s="6" t="str">
        <x:v>authenticated</x:v>
      </x:c>
      <x:c r="H122" s="6" t="str">
        <x:v>RENDERER_REGISTERED</x:v>
      </x:c>
      <x:c r="I122" s="6" t="str">
        <x:v>commercial-strategy-assumptions</x:v>
      </x:c>
      <x:c r="J122" s="6" t="str">
        <x:v>USER_TRANSACTION. STATIC_METADATA_NOT_BUSINESS_UAT</x:v>
      </x:c>
    </x:row>
    <x:row r="123" ht="53" customHeight="1">
      <x:c r="A123" s="15" t="str">
        <x:v>FE-116</x:v>
      </x:c>
      <x:c r="B123" s="13" t="str">
        <x:v>PANTALLA</x:v>
      </x:c>
      <x:c r="C123" s="13" t="str">
        <x:v>/app/strategy/commercial-strategy-recommendation</x:v>
      </x:c>
      <x:c r="D123" s="13" t="str">
        <x:v>USER</x:v>
      </x:c>
      <x:c r="E123" s="13" t="str">
        <x:v>frontend/src/features/commercial-strategy/CommercialStrategyWorkspace.tsx</x:v>
      </x:c>
      <x:c r="F123" s="13" t="str">
        <x:v>Business Case &amp; Investment Development &gt; Commercial &amp; Contracting Strategy &gt; Recommendation</x:v>
      </x:c>
      <x:c r="G123" s="13" t="str">
        <x:v>authenticated</x:v>
      </x:c>
      <x:c r="H123" s="13" t="str">
        <x:v>RENDERER_REGISTERED</x:v>
      </x:c>
      <x:c r="I123" s="13" t="str">
        <x:v>commercial-strategy-recommendation</x:v>
      </x:c>
      <x:c r="J123" s="13" t="str">
        <x:v>USER_TRANSACTION. STATIC_METADATA_NOT_BUSINESS_UAT</x:v>
      </x:c>
    </x:row>
    <x:row r="124" ht="53" customHeight="1">
      <x:c r="A124" s="14" t="str">
        <x:v>FE-117</x:v>
      </x:c>
      <x:c r="B124" s="6" t="str">
        <x:v>PANTALLA</x:v>
      </x:c>
      <x:c r="C124" s="6" t="str">
        <x:v>/app/strategy/commercial-strategy-readiness</x:v>
      </x:c>
      <x:c r="D124" s="6" t="str">
        <x:v>USER</x:v>
      </x:c>
      <x:c r="E124" s="6" t="str">
        <x:v>frontend/src/features/commercial-strategy/CommercialStrategyWorkspace.tsx</x:v>
      </x:c>
      <x:c r="F124" s="6" t="str">
        <x:v>Business Case &amp; Investment Development &gt; Commercial &amp; Contracting Strategy &gt; Readiness</x:v>
      </x:c>
      <x:c r="G124" s="6" t="str">
        <x:v>authenticated</x:v>
      </x:c>
      <x:c r="H124" s="6" t="str">
        <x:v>RENDERER_REGISTERED</x:v>
      </x:c>
      <x:c r="I124" s="6" t="str">
        <x:v>commercial-strategy-readiness</x:v>
      </x:c>
      <x:c r="J124" s="6" t="str">
        <x:v>USER_TRANSACTION. STATIC_METADATA_NOT_BUSINESS_UAT</x:v>
      </x:c>
    </x:row>
    <x:row r="125" ht="53" customHeight="1">
      <x:c r="A125" s="15" t="str">
        <x:v>FE-118</x:v>
      </x:c>
      <x:c r="B125" s="13" t="str">
        <x:v>PANTALLA</x:v>
      </x:c>
      <x:c r="C125" s="13" t="str">
        <x:v>/app/strategy/commercial-strategy-history</x:v>
      </x:c>
      <x:c r="D125" s="13" t="str">
        <x:v>USER</x:v>
      </x:c>
      <x:c r="E125" s="13" t="str">
        <x:v>frontend/src/features/commercial-strategy/CommercialStrategyWorkspace.tsx</x:v>
      </x:c>
      <x:c r="F125" s="13" t="str">
        <x:v>Business Case &amp; Investment Development &gt; Commercial &amp; Contracting Strategy &gt; History</x:v>
      </x:c>
      <x:c r="G125" s="13" t="str">
        <x:v>authenticated</x:v>
      </x:c>
      <x:c r="H125" s="13" t="str">
        <x:v>RENDERER_REGISTERED</x:v>
      </x:c>
      <x:c r="I125" s="13" t="str">
        <x:v>commercial-strategy-history</x:v>
      </x:c>
      <x:c r="J125" s="13" t="str">
        <x:v>USER_TRANSACTION. STATIC_METADATA_NOT_BUSINESS_UAT</x:v>
      </x:c>
    </x:row>
    <x:row r="126" ht="42" customHeight="1">
      <x:c r="A126" s="14" t="str">
        <x:v>FE-119</x:v>
      </x:c>
      <x:c r="B126" s="6" t="str">
        <x:v>PANTALLA</x:v>
      </x:c>
      <x:c r="C126" s="6" t="str">
        <x:v>/app/strategy/funds-overview</x:v>
      </x:c>
      <x:c r="D126" s="6" t="str">
        <x:v>USER</x:v>
      </x:c>
      <x:c r="E126" s="6" t="str">
        <x:v>frontend/src/features/funds-manager/FundsManagerWorkspace.tsx</x:v>
      </x:c>
      <x:c r="F126" s="6" t="str">
        <x:v>Business Case &amp; Investment Development &gt; Funds &amp; Funding Readiness &gt; Overview</x:v>
      </x:c>
      <x:c r="G126" s="6" t="str">
        <x:v>authenticated</x:v>
      </x:c>
      <x:c r="H126" s="6" t="str">
        <x:v>RENDERER_REGISTERED</x:v>
      </x:c>
      <x:c r="I126" s="6" t="str">
        <x:v>funds-overview</x:v>
      </x:c>
      <x:c r="J126" s="6" t="str">
        <x:v>USER_TRANSACTION. STATIC_METADATA_NOT_BUSINESS_UAT</x:v>
      </x:c>
    </x:row>
    <x:row r="127" ht="53" customHeight="1">
      <x:c r="A127" s="15" t="str">
        <x:v>FE-120</x:v>
      </x:c>
      <x:c r="B127" s="13" t="str">
        <x:v>PANTALLA</x:v>
      </x:c>
      <x:c r="C127" s="13" t="str">
        <x:v>/app/strategy/funds-sources</x:v>
      </x:c>
      <x:c r="D127" s="13" t="str">
        <x:v>USER</x:v>
      </x:c>
      <x:c r="E127" s="13" t="str">
        <x:v>frontend/src/features/funds-manager/FundsManagerWorkspace.tsx</x:v>
      </x:c>
      <x:c r="F127" s="13" t="str">
        <x:v>Business Case &amp; Investment Development &gt; Funds &amp; Funding Readiness &gt; Funding Sources</x:v>
      </x:c>
      <x:c r="G127" s="13" t="str">
        <x:v>authenticated</x:v>
      </x:c>
      <x:c r="H127" s="13" t="str">
        <x:v>RENDERER_REGISTERED</x:v>
      </x:c>
      <x:c r="I127" s="13" t="str">
        <x:v>funds-sources</x:v>
      </x:c>
      <x:c r="J127" s="13" t="str">
        <x:v>USER_TRANSACTION. STATIC_METADATA_NOT_BUSINESS_UAT</x:v>
      </x:c>
    </x:row>
    <x:row r="128" ht="42" customHeight="1">
      <x:c r="A128" s="14" t="str">
        <x:v>FE-121</x:v>
      </x:c>
      <x:c r="B128" s="6" t="str">
        <x:v>PANTALLA</x:v>
      </x:c>
      <x:c r="C128" s="6" t="str">
        <x:v>/app/strategy/funds-envelopes</x:v>
      </x:c>
      <x:c r="D128" s="6" t="str">
        <x:v>USER</x:v>
      </x:c>
      <x:c r="E128" s="6" t="str">
        <x:v>frontend/src/features/funds-manager/FundsManagerWorkspace.tsx</x:v>
      </x:c>
      <x:c r="F128" s="6" t="str">
        <x:v>Business Case &amp; Investment Development &gt; Funds &amp; Funding Readiness &gt; Funds</x:v>
      </x:c>
      <x:c r="G128" s="6" t="str">
        <x:v>authenticated</x:v>
      </x:c>
      <x:c r="H128" s="6" t="str">
        <x:v>RENDERER_REGISTERED</x:v>
      </x:c>
      <x:c r="I128" s="6" t="str">
        <x:v>funds-envelopes</x:v>
      </x:c>
      <x:c r="J128" s="6" t="str">
        <x:v>USER_TRANSACTION. STATIC_METADATA_NOT_BUSINESS_UAT</x:v>
      </x:c>
    </x:row>
    <x:row r="129" ht="53" customHeight="1">
      <x:c r="A129" s="15" t="str">
        <x:v>FE-122</x:v>
      </x:c>
      <x:c r="B129" s="13" t="str">
        <x:v>PANTALLA</x:v>
      </x:c>
      <x:c r="C129" s="13" t="str">
        <x:v>/app/strategy/funds-assignments</x:v>
      </x:c>
      <x:c r="D129" s="13" t="str">
        <x:v>USER</x:v>
      </x:c>
      <x:c r="E129" s="13" t="str">
        <x:v>frontend/src/features/funds-manager/FundsManagerWorkspace.tsx</x:v>
      </x:c>
      <x:c r="F129" s="13" t="str">
        <x:v>Business Case &amp; Investment Development &gt; Funds &amp; Funding Readiness &gt; Funding Assignments</x:v>
      </x:c>
      <x:c r="G129" s="13" t="str">
        <x:v>authenticated</x:v>
      </x:c>
      <x:c r="H129" s="13" t="str">
        <x:v>RENDERER_REGISTERED</x:v>
      </x:c>
      <x:c r="I129" s="13" t="str">
        <x:v>funds-assignments</x:v>
      </x:c>
      <x:c r="J129" s="13" t="str">
        <x:v>USER_TRANSACTION. STATIC_METADATA_NOT_BUSINESS_UAT</x:v>
      </x:c>
    </x:row>
    <x:row r="130" ht="53" customHeight="1">
      <x:c r="A130" s="14" t="str">
        <x:v>FE-123</x:v>
      </x:c>
      <x:c r="B130" s="6" t="str">
        <x:v>PANTALLA</x:v>
      </x:c>
      <x:c r="C130" s="6" t="str">
        <x:v>/app/strategy/funds-coverage</x:v>
      </x:c>
      <x:c r="D130" s="6" t="str">
        <x:v>USER</x:v>
      </x:c>
      <x:c r="E130" s="6" t="str">
        <x:v>frontend/src/features/funds-manager/FundsManagerWorkspace.tsx</x:v>
      </x:c>
      <x:c r="F130" s="6" t="str">
        <x:v>Business Case &amp; Investment Development &gt; Funds &amp; Funding Readiness &gt; Funding Coverage</x:v>
      </x:c>
      <x:c r="G130" s="6" t="str">
        <x:v>authenticated</x:v>
      </x:c>
      <x:c r="H130" s="6" t="str">
        <x:v>RENDERER_REGISTERED</x:v>
      </x:c>
      <x:c r="I130" s="6" t="str">
        <x:v>funds-coverage</x:v>
      </x:c>
      <x:c r="J130" s="6" t="str">
        <x:v>USER_TRANSACTION. STATIC_METADATA_NOT_BUSINESS_UAT</x:v>
      </x:c>
    </x:row>
    <x:row r="131" ht="53" customHeight="1">
      <x:c r="A131" s="15" t="str">
        <x:v>FE-124</x:v>
      </x:c>
      <x:c r="B131" s="13" t="str">
        <x:v>PANTALLA</x:v>
      </x:c>
      <x:c r="C131" s="13" t="str">
        <x:v>/app/strategy/funds-readiness</x:v>
      </x:c>
      <x:c r="D131" s="13" t="str">
        <x:v>USER</x:v>
      </x:c>
      <x:c r="E131" s="13" t="str">
        <x:v>frontend/src/features/funds-manager/FundsManagerWorkspace.tsx</x:v>
      </x:c>
      <x:c r="F131" s="13" t="str">
        <x:v>Business Case &amp; Investment Development &gt; Funds &amp; Funding Readiness &gt; Funding Readiness</x:v>
      </x:c>
      <x:c r="G131" s="13" t="str">
        <x:v>authenticated</x:v>
      </x:c>
      <x:c r="H131" s="13" t="str">
        <x:v>RENDERER_REGISTERED</x:v>
      </x:c>
      <x:c r="I131" s="13" t="str">
        <x:v>funds-readiness</x:v>
      </x:c>
      <x:c r="J131" s="13" t="str">
        <x:v>USER_TRANSACTION. STATIC_METADATA_NOT_BUSINESS_UAT</x:v>
      </x:c>
    </x:row>
    <x:row r="132" ht="53" customHeight="1">
      <x:c r="A132" s="14" t="str">
        <x:v>FE-125</x:v>
      </x:c>
      <x:c r="B132" s="6" t="str">
        <x:v>PANTALLA</x:v>
      </x:c>
      <x:c r="C132" s="6" t="str">
        <x:v>/app/strategy/funds-history</x:v>
      </x:c>
      <x:c r="D132" s="6" t="str">
        <x:v>USER</x:v>
      </x:c>
      <x:c r="E132" s="6" t="str">
        <x:v>frontend/src/features/funds-manager/FundsManagerWorkspace.tsx</x:v>
      </x:c>
      <x:c r="F132" s="6" t="str">
        <x:v>Business Case &amp; Investment Development &gt; Funds &amp; Funding Readiness &gt; History / Audit</x:v>
      </x:c>
      <x:c r="G132" s="6" t="str">
        <x:v>authenticated</x:v>
      </x:c>
      <x:c r="H132" s="6" t="str">
        <x:v>RENDERER_REGISTERED</x:v>
      </x:c>
      <x:c r="I132" s="6" t="str">
        <x:v>funds-history</x:v>
      </x:c>
      <x:c r="J132" s="6" t="str">
        <x:v>USER_TRANSACTION. STATIC_METADATA_NOT_BUSINESS_UAT</x:v>
      </x:c>
    </x:row>
    <x:row r="133" ht="53" customHeight="1">
      <x:c r="A133" s="15" t="str">
        <x:v>FE-126</x:v>
      </x:c>
      <x:c r="B133" s="13" t="str">
        <x:v>PANTALLA</x:v>
      </x:c>
      <x:c r="C133" s="13" t="str">
        <x:v>/app/strategy/financial-model-my-models</x:v>
      </x:c>
      <x:c r="D133" s="13" t="str">
        <x:v>USER</x:v>
      </x:c>
      <x:c r="E133" s="13" t="str">
        <x:v>frontend/src/features/economic-financial-model/EconomicFinancialModelWorkspace.tsx</x:v>
      </x:c>
      <x:c r="F133" s="13" t="str">
        <x:v>Business Case &amp; Investment Development &gt; Economic &amp; Financial Model &gt; My Models</x:v>
      </x:c>
      <x:c r="G133" s="13" t="str">
        <x:v>authenticated</x:v>
      </x:c>
      <x:c r="H133" s="13" t="str">
        <x:v>RENDERER_REGISTERED</x:v>
      </x:c>
      <x:c r="I133" s="13" t="str">
        <x:v>financial-model-my-models</x:v>
      </x:c>
      <x:c r="J133" s="13" t="str">
        <x:v>USER_TRANSACTION. STATIC_METADATA_NOT_BUSINESS_UAT</x:v>
      </x:c>
    </x:row>
    <x:row r="134" ht="53" customHeight="1">
      <x:c r="A134" s="14" t="str">
        <x:v>FE-127</x:v>
      </x:c>
      <x:c r="B134" s="6" t="str">
        <x:v>PANTALLA</x:v>
      </x:c>
      <x:c r="C134" s="6" t="str">
        <x:v>/app/strategy/financial-model-overview</x:v>
      </x:c>
      <x:c r="D134" s="6" t="str">
        <x:v>USER</x:v>
      </x:c>
      <x:c r="E134" s="6" t="str">
        <x:v>frontend/src/features/economic-financial-model/EconomicFinancialModelWorkspace.tsx</x:v>
      </x:c>
      <x:c r="F134" s="6" t="str">
        <x:v>Business Case &amp; Investment Development &gt; Economic &amp; Financial Model &gt; Overview</x:v>
      </x:c>
      <x:c r="G134" s="6" t="str">
        <x:v>authenticated</x:v>
      </x:c>
      <x:c r="H134" s="6" t="str">
        <x:v>RENDERER_REGISTERED</x:v>
      </x:c>
      <x:c r="I134" s="6" t="str">
        <x:v>financial-model-overview</x:v>
      </x:c>
      <x:c r="J134" s="6" t="str">
        <x:v>USER_TRANSACTION. STATIC_METADATA_NOT_BUSINESS_UAT</x:v>
      </x:c>
    </x:row>
    <x:row r="135" ht="53" customHeight="1">
      <x:c r="A135" s="15" t="str">
        <x:v>FE-128</x:v>
      </x:c>
      <x:c r="B135" s="13" t="str">
        <x:v>PANTALLA</x:v>
      </x:c>
      <x:c r="C135" s="13" t="str">
        <x:v>/app/strategy/financial-model-current-version</x:v>
      </x:c>
      <x:c r="D135" s="13" t="str">
        <x:v>USER</x:v>
      </x:c>
      <x:c r="E135" s="13" t="str">
        <x:v>frontend/src/features/economic-financial-model/EconomicFinancialModelWorkspace.tsx</x:v>
      </x:c>
      <x:c r="F135" s="13" t="str">
        <x:v>Business Case &amp; Investment Development &gt; Economic &amp; Financial Model &gt; Current Version</x:v>
      </x:c>
      <x:c r="G135" s="13" t="str">
        <x:v>authenticated</x:v>
      </x:c>
      <x:c r="H135" s="13" t="str">
        <x:v>RENDERER_REGISTERED</x:v>
      </x:c>
      <x:c r="I135" s="13" t="str">
        <x:v>financial-model-current-version</x:v>
      </x:c>
      <x:c r="J135" s="13" t="str">
        <x:v>USER_TRANSACTION. STATIC_METADATA_NOT_BUSINESS_UAT</x:v>
      </x:c>
    </x:row>
    <x:row r="136" ht="53" customHeight="1">
      <x:c r="A136" s="14" t="str">
        <x:v>FE-129</x:v>
      </x:c>
      <x:c r="B136" s="6" t="str">
        <x:v>PANTALLA</x:v>
      </x:c>
      <x:c r="C136" s="6" t="str">
        <x:v>/app/strategy/financial-model-assumptions</x:v>
      </x:c>
      <x:c r="D136" s="6" t="str">
        <x:v>USER</x:v>
      </x:c>
      <x:c r="E136" s="6" t="str">
        <x:v>frontend/src/features/economic-financial-model/EconomicFinancialModelWorkspace.tsx</x:v>
      </x:c>
      <x:c r="F136" s="6" t="str">
        <x:v>Business Case &amp; Investment Development &gt; Economic &amp; Financial Model &gt; Assumptions</x:v>
      </x:c>
      <x:c r="G136" s="6" t="str">
        <x:v>authenticated</x:v>
      </x:c>
      <x:c r="H136" s="6" t="str">
        <x:v>RENDERER_REGISTERED</x:v>
      </x:c>
      <x:c r="I136" s="6" t="str">
        <x:v>financial-model-assumptions</x:v>
      </x:c>
      <x:c r="J136" s="6" t="str">
        <x:v>USER_TRANSACTION. STATIC_METADATA_NOT_BUSINESS_UAT</x:v>
      </x:c>
    </x:row>
    <x:row r="137" ht="53" customHeight="1">
      <x:c r="A137" s="15" t="str">
        <x:v>FE-130</x:v>
      </x:c>
      <x:c r="B137" s="13" t="str">
        <x:v>PANTALLA</x:v>
      </x:c>
      <x:c r="C137" s="13" t="str">
        <x:v>/app/strategy/financial-model-economic-case</x:v>
      </x:c>
      <x:c r="D137" s="13" t="str">
        <x:v>USER</x:v>
      </x:c>
      <x:c r="E137" s="13" t="str">
        <x:v>frontend/src/features/economic-financial-model/EconomicFinancialModelWorkspace.tsx</x:v>
      </x:c>
      <x:c r="F137" s="13" t="str">
        <x:v>Business Case &amp; Investment Development &gt; Economic &amp; Financial Model &gt; Economic Case</x:v>
      </x:c>
      <x:c r="G137" s="13" t="str">
        <x:v>authenticated</x:v>
      </x:c>
      <x:c r="H137" s="13" t="str">
        <x:v>RENDERER_REGISTERED</x:v>
      </x:c>
      <x:c r="I137" s="13" t="str">
        <x:v>financial-model-economic-case</x:v>
      </x:c>
      <x:c r="J137" s="13" t="str">
        <x:v>USER_TRANSACTION. STATIC_METADATA_NOT_BUSINESS_UAT</x:v>
      </x:c>
    </x:row>
    <x:row r="138" ht="53" customHeight="1">
      <x:c r="A138" s="14" t="str">
        <x:v>FE-131</x:v>
      </x:c>
      <x:c r="B138" s="6" t="str">
        <x:v>PANTALLA</x:v>
      </x:c>
      <x:c r="C138" s="6" t="str">
        <x:v>/app/strategy/financial-model-financial-case</x:v>
      </x:c>
      <x:c r="D138" s="6" t="str">
        <x:v>USER</x:v>
      </x:c>
      <x:c r="E138" s="6" t="str">
        <x:v>frontend/src/features/economic-financial-model/EconomicFinancialModelWorkspace.tsx</x:v>
      </x:c>
      <x:c r="F138" s="6" t="str">
        <x:v>Business Case &amp; Investment Development &gt; Economic &amp; Financial Model &gt; Financial Case</x:v>
      </x:c>
      <x:c r="G138" s="6" t="str">
        <x:v>authenticated</x:v>
      </x:c>
      <x:c r="H138" s="6" t="str">
        <x:v>RENDERER_REGISTERED</x:v>
      </x:c>
      <x:c r="I138" s="6" t="str">
        <x:v>financial-model-financial-case</x:v>
      </x:c>
      <x:c r="J138" s="6" t="str">
        <x:v>USER_TRANSACTION. STATIC_METADATA_NOT_BUSINESS_UAT</x:v>
      </x:c>
    </x:row>
    <x:row r="139" ht="53" customHeight="1">
      <x:c r="A139" s="15" t="str">
        <x:v>FE-132</x:v>
      </x:c>
      <x:c r="B139" s="13" t="str">
        <x:v>PANTALLA</x:v>
      </x:c>
      <x:c r="C139" s="13" t="str">
        <x:v>/app/strategy/financial-model-capex-opex</x:v>
      </x:c>
      <x:c r="D139" s="13" t="str">
        <x:v>USER</x:v>
      </x:c>
      <x:c r="E139" s="13" t="str">
        <x:v>frontend/src/features/economic-financial-model/EconomicFinancialModelWorkspace.tsx</x:v>
      </x:c>
      <x:c r="F139" s="13" t="str">
        <x:v>Business Case &amp; Investment Development &gt; Economic &amp; Financial Model &gt; CAPEX / OPEX</x:v>
      </x:c>
      <x:c r="G139" s="13" t="str">
        <x:v>authenticated</x:v>
      </x:c>
      <x:c r="H139" s="13" t="str">
        <x:v>RENDERER_REGISTERED</x:v>
      </x:c>
      <x:c r="I139" s="13" t="str">
        <x:v>financial-model-capex-opex</x:v>
      </x:c>
      <x:c r="J139" s="13" t="str">
        <x:v>USER_TRANSACTION. STATIC_METADATA_NOT_BUSINESS_UAT</x:v>
      </x:c>
    </x:row>
    <x:row r="140" ht="53" customHeight="1">
      <x:c r="A140" s="14" t="str">
        <x:v>FE-133</x:v>
      </x:c>
      <x:c r="B140" s="6" t="str">
        <x:v>PANTALLA</x:v>
      </x:c>
      <x:c r="C140" s="6" t="str">
        <x:v>/app/strategy/financial-model-revenue-benefits</x:v>
      </x:c>
      <x:c r="D140" s="6" t="str">
        <x:v>USER</x:v>
      </x:c>
      <x:c r="E140" s="6" t="str">
        <x:v>frontend/src/features/economic-financial-model/EconomicFinancialModelWorkspace.tsx</x:v>
      </x:c>
      <x:c r="F140" s="6" t="str">
        <x:v>Business Case &amp; Investment Development &gt; Economic &amp; Financial Model &gt; Revenue / Benefits</x:v>
      </x:c>
      <x:c r="G140" s="6" t="str">
        <x:v>authenticated</x:v>
      </x:c>
      <x:c r="H140" s="6" t="str">
        <x:v>RENDERER_REGISTERED</x:v>
      </x:c>
      <x:c r="I140" s="6" t="str">
        <x:v>financial-model-revenue-benefits</x:v>
      </x:c>
      <x:c r="J140" s="6" t="str">
        <x:v>USER_TRANSACTION. STATIC_METADATA_NOT_BUSINESS_UAT</x:v>
      </x:c>
    </x:row>
    <x:row r="141" ht="53" customHeight="1">
      <x:c r="A141" s="15" t="str">
        <x:v>FE-134</x:v>
      </x:c>
      <x:c r="B141" s="13" t="str">
        <x:v>PANTALLA</x:v>
      </x:c>
      <x:c r="C141" s="13" t="str">
        <x:v>/app/strategy/financial-model-capital-structure</x:v>
      </x:c>
      <x:c r="D141" s="13" t="str">
        <x:v>USER</x:v>
      </x:c>
      <x:c r="E141" s="13" t="str">
        <x:v>frontend/src/features/economic-financial-model/EconomicFinancialModelWorkspace.tsx</x:v>
      </x:c>
      <x:c r="F141" s="13" t="str">
        <x:v>Business Case &amp; Investment Development &gt; Economic &amp; Financial Model &gt; Capital Structure</x:v>
      </x:c>
      <x:c r="G141" s="13" t="str">
        <x:v>authenticated</x:v>
      </x:c>
      <x:c r="H141" s="13" t="str">
        <x:v>RENDERER_REGISTERED</x:v>
      </x:c>
      <x:c r="I141" s="13" t="str">
        <x:v>financial-model-capital-structure</x:v>
      </x:c>
      <x:c r="J141" s="13" t="str">
        <x:v>USER_TRANSACTION. STATIC_METADATA_NOT_BUSINESS_UAT</x:v>
      </x:c>
    </x:row>
    <x:row r="142" ht="53" customHeight="1">
      <x:c r="A142" s="14" t="str">
        <x:v>FE-135</x:v>
      </x:c>
      <x:c r="B142" s="6" t="str">
        <x:v>PANTALLA</x:v>
      </x:c>
      <x:c r="C142" s="6" t="str">
        <x:v>/app/strategy/financial-model-funding-linkage</x:v>
      </x:c>
      <x:c r="D142" s="6" t="str">
        <x:v>USER</x:v>
      </x:c>
      <x:c r="E142" s="6" t="str">
        <x:v>frontend/src/features/economic-financial-model/EconomicFinancialModelWorkspace.tsx</x:v>
      </x:c>
      <x:c r="F142" s="6" t="str">
        <x:v>Business Case &amp; Investment Development &gt; Economic &amp; Financial Model &gt; Funding Linkage</x:v>
      </x:c>
      <x:c r="G142" s="6" t="str">
        <x:v>authenticated</x:v>
      </x:c>
      <x:c r="H142" s="6" t="str">
        <x:v>RENDERER_REGISTERED</x:v>
      </x:c>
      <x:c r="I142" s="6" t="str">
        <x:v>financial-model-funding-linkage</x:v>
      </x:c>
      <x:c r="J142" s="6" t="str">
        <x:v>USER_TRANSACTION. STATIC_METADATA_NOT_BUSINESS_UAT</x:v>
      </x:c>
    </x:row>
    <x:row r="143" ht="53" customHeight="1">
      <x:c r="A143" s="15" t="str">
        <x:v>FE-136</x:v>
      </x:c>
      <x:c r="B143" s="13" t="str">
        <x:v>PANTALLA</x:v>
      </x:c>
      <x:c r="C143" s="13" t="str">
        <x:v>/app/strategy/financial-model-investors</x:v>
      </x:c>
      <x:c r="D143" s="13" t="str">
        <x:v>USER</x:v>
      </x:c>
      <x:c r="E143" s="13" t="str">
        <x:v>frontend/src/features/economic-financial-model/EconomicFinancialModelWorkspace.tsx</x:v>
      </x:c>
      <x:c r="F143" s="13" t="str">
        <x:v>Business Case &amp; Investment Development &gt; Economic &amp; Financial Model &gt; Investors</x:v>
      </x:c>
      <x:c r="G143" s="13" t="str">
        <x:v>authenticated</x:v>
      </x:c>
      <x:c r="H143" s="13" t="str">
        <x:v>RENDERER_REGISTERED</x:v>
      </x:c>
      <x:c r="I143" s="13" t="str">
        <x:v>financial-model-investors</x:v>
      </x:c>
      <x:c r="J143" s="13" t="str">
        <x:v>USER_TRANSACTION. STATIC_METADATA_NOT_BUSINESS_UAT</x:v>
      </x:c>
    </x:row>
    <x:row r="144" ht="42" customHeight="1">
      <x:c r="A144" s="14" t="str">
        <x:v>FE-137</x:v>
      </x:c>
      <x:c r="B144" s="6" t="str">
        <x:v>PANTALLA</x:v>
      </x:c>
      <x:c r="C144" s="6" t="str">
        <x:v>/app/strategy/financial-model-debt</x:v>
      </x:c>
      <x:c r="D144" s="6" t="str">
        <x:v>USER</x:v>
      </x:c>
      <x:c r="E144" s="6" t="str">
        <x:v>frontend/src/features/economic-financial-model/EconomicFinancialModelWorkspace.tsx</x:v>
      </x:c>
      <x:c r="F144" s="6" t="str">
        <x:v>Business Case &amp; Investment Development &gt; Economic &amp; Financial Model &gt; Debt</x:v>
      </x:c>
      <x:c r="G144" s="6" t="str">
        <x:v>authenticated</x:v>
      </x:c>
      <x:c r="H144" s="6" t="str">
        <x:v>RENDERER_REGISTERED</x:v>
      </x:c>
      <x:c r="I144" s="6" t="str">
        <x:v>financial-model-debt</x:v>
      </x:c>
      <x:c r="J144" s="6" t="str">
        <x:v>USER_TRANSACTION. STATIC_METADATA_NOT_BUSINESS_UAT</x:v>
      </x:c>
    </x:row>
    <x:row r="145" ht="53" customHeight="1">
      <x:c r="A145" s="15" t="str">
        <x:v>FE-138</x:v>
      </x:c>
      <x:c r="B145" s="13" t="str">
        <x:v>PANTALLA</x:v>
      </x:c>
      <x:c r="C145" s="13" t="str">
        <x:v>/app/strategy/financial-model-cash-flow</x:v>
      </x:c>
      <x:c r="D145" s="13" t="str">
        <x:v>USER</x:v>
      </x:c>
      <x:c r="E145" s="13" t="str">
        <x:v>frontend/src/features/economic-financial-model/EconomicFinancialModelWorkspace.tsx</x:v>
      </x:c>
      <x:c r="F145" s="13" t="str">
        <x:v>Business Case &amp; Investment Development &gt; Economic &amp; Financial Model &gt; Cash Flow</x:v>
      </x:c>
      <x:c r="G145" s="13" t="str">
        <x:v>authenticated</x:v>
      </x:c>
      <x:c r="H145" s="13" t="str">
        <x:v>RENDERER_REGISTERED</x:v>
      </x:c>
      <x:c r="I145" s="13" t="str">
        <x:v>financial-model-cash-flow</x:v>
      </x:c>
      <x:c r="J145" s="13" t="str">
        <x:v>USER_TRANSACTION. STATIC_METADATA_NOT_BUSINESS_UAT</x:v>
      </x:c>
    </x:row>
    <x:row r="146" ht="53" customHeight="1">
      <x:c r="A146" s="14" t="str">
        <x:v>FE-139</x:v>
      </x:c>
      <x:c r="B146" s="6" t="str">
        <x:v>PANTALLA</x:v>
      </x:c>
      <x:c r="C146" s="6" t="str">
        <x:v>/app/strategy/financial-model-debt-service</x:v>
      </x:c>
      <x:c r="D146" s="6" t="str">
        <x:v>USER</x:v>
      </x:c>
      <x:c r="E146" s="6" t="str">
        <x:v>frontend/src/features/economic-financial-model/EconomicFinancialModelWorkspace.tsx</x:v>
      </x:c>
      <x:c r="F146" s="6" t="str">
        <x:v>Business Case &amp; Investment Development &gt; Economic &amp; Financial Model &gt; Debt Service</x:v>
      </x:c>
      <x:c r="G146" s="6" t="str">
        <x:v>authenticated</x:v>
      </x:c>
      <x:c r="H146" s="6" t="str">
        <x:v>RENDERER_REGISTERED</x:v>
      </x:c>
      <x:c r="I146" s="6" t="str">
        <x:v>financial-model-debt-service</x:v>
      </x:c>
      <x:c r="J146" s="6" t="str">
        <x:v>USER_TRANSACTION. STATIC_METADATA_NOT_BUSINESS_UAT</x:v>
      </x:c>
    </x:row>
    <x:row r="147" ht="53" customHeight="1">
      <x:c r="A147" s="15" t="str">
        <x:v>FE-140</x:v>
      </x:c>
      <x:c r="B147" s="13" t="str">
        <x:v>PANTALLA</x:v>
      </x:c>
      <x:c r="C147" s="13" t="str">
        <x:v>/app/strategy/financial-model-indicators</x:v>
      </x:c>
      <x:c r="D147" s="13" t="str">
        <x:v>USER</x:v>
      </x:c>
      <x:c r="E147" s="13" t="str">
        <x:v>frontend/src/features/economic-financial-model/EconomicFinancialModelWorkspace.tsx</x:v>
      </x:c>
      <x:c r="F147" s="13" t="str">
        <x:v>Business Case &amp; Investment Development &gt; Economic &amp; Financial Model &gt; Indicators</x:v>
      </x:c>
      <x:c r="G147" s="13" t="str">
        <x:v>authenticated</x:v>
      </x:c>
      <x:c r="H147" s="13" t="str">
        <x:v>RENDERER_REGISTERED</x:v>
      </x:c>
      <x:c r="I147" s="13" t="str">
        <x:v>financial-model-indicators</x:v>
      </x:c>
      <x:c r="J147" s="13" t="str">
        <x:v>USER_TRANSACTION. STATIC_METADATA_NOT_BUSINESS_UAT</x:v>
      </x:c>
    </x:row>
    <x:row r="148" ht="53" customHeight="1">
      <x:c r="A148" s="14" t="str">
        <x:v>FE-141</x:v>
      </x:c>
      <x:c r="B148" s="6" t="str">
        <x:v>PANTALLA</x:v>
      </x:c>
      <x:c r="C148" s="6" t="str">
        <x:v>/app/strategy/financial-model-covenants</x:v>
      </x:c>
      <x:c r="D148" s="6" t="str">
        <x:v>USER</x:v>
      </x:c>
      <x:c r="E148" s="6" t="str">
        <x:v>frontend/src/features/economic-financial-model/EconomicFinancialModelWorkspace.tsx</x:v>
      </x:c>
      <x:c r="F148" s="6" t="str">
        <x:v>Business Case &amp; Investment Development &gt; Economic &amp; Financial Model &gt; Covenants</x:v>
      </x:c>
      <x:c r="G148" s="6" t="str">
        <x:v>authenticated</x:v>
      </x:c>
      <x:c r="H148" s="6" t="str">
        <x:v>RENDERER_REGISTERED</x:v>
      </x:c>
      <x:c r="I148" s="6" t="str">
        <x:v>financial-model-covenants</x:v>
      </x:c>
      <x:c r="J148" s="6" t="str">
        <x:v>USER_TRANSACTION. STATIC_METADATA_NOT_BUSINESS_UAT</x:v>
      </x:c>
    </x:row>
    <x:row r="149" ht="53" customHeight="1">
      <x:c r="A149" s="15" t="str">
        <x:v>FE-142</x:v>
      </x:c>
      <x:c r="B149" s="13" t="str">
        <x:v>PANTALLA</x:v>
      </x:c>
      <x:c r="C149" s="13" t="str">
        <x:v>/app/strategy/financial-model-scenarios</x:v>
      </x:c>
      <x:c r="D149" s="13" t="str">
        <x:v>USER</x:v>
      </x:c>
      <x:c r="E149" s="13" t="str">
        <x:v>frontend/src/features/economic-financial-model/EconomicFinancialModelWorkspace.tsx</x:v>
      </x:c>
      <x:c r="F149" s="13" t="str">
        <x:v>Business Case &amp; Investment Development &gt; Economic &amp; Financial Model &gt; Scenarios</x:v>
      </x:c>
      <x:c r="G149" s="13" t="str">
        <x:v>authenticated</x:v>
      </x:c>
      <x:c r="H149" s="13" t="str">
        <x:v>RENDERER_REGISTERED</x:v>
      </x:c>
      <x:c r="I149" s="13" t="str">
        <x:v>financial-model-scenarios</x:v>
      </x:c>
      <x:c r="J149" s="13" t="str">
        <x:v>USER_TRANSACTION. STATIC_METADATA_NOT_BUSINESS_UAT</x:v>
      </x:c>
    </x:row>
    <x:row r="150" ht="53" customHeight="1">
      <x:c r="A150" s="14" t="str">
        <x:v>FE-143</x:v>
      </x:c>
      <x:c r="B150" s="6" t="str">
        <x:v>PANTALLA</x:v>
      </x:c>
      <x:c r="C150" s="6" t="str">
        <x:v>/app/strategy/financial-model-sensitivities</x:v>
      </x:c>
      <x:c r="D150" s="6" t="str">
        <x:v>USER</x:v>
      </x:c>
      <x:c r="E150" s="6" t="str">
        <x:v>frontend/src/features/economic-financial-model/EconomicFinancialModelWorkspace.tsx</x:v>
      </x:c>
      <x:c r="F150" s="6" t="str">
        <x:v>Business Case &amp; Investment Development &gt; Economic &amp; Financial Model &gt; Sensitivities</x:v>
      </x:c>
      <x:c r="G150" s="6" t="str">
        <x:v>authenticated</x:v>
      </x:c>
      <x:c r="H150" s="6" t="str">
        <x:v>RENDERER_REGISTERED</x:v>
      </x:c>
      <x:c r="I150" s="6" t="str">
        <x:v>financial-model-sensitivities</x:v>
      </x:c>
      <x:c r="J150" s="6" t="str">
        <x:v>USER_TRANSACTION. STATIC_METADATA_NOT_BUSINESS_UAT</x:v>
      </x:c>
    </x:row>
    <x:row r="151" ht="53" customHeight="1">
      <x:c r="A151" s="15" t="str">
        <x:v>FE-144</x:v>
      </x:c>
      <x:c r="B151" s="13" t="str">
        <x:v>PANTALLA</x:v>
      </x:c>
      <x:c r="C151" s="13" t="str">
        <x:v>/app/strategy/financial-model-break-even</x:v>
      </x:c>
      <x:c r="D151" s="13" t="str">
        <x:v>USER</x:v>
      </x:c>
      <x:c r="E151" s="13" t="str">
        <x:v>frontend/src/features/economic-financial-model/EconomicFinancialModelWorkspace.tsx</x:v>
      </x:c>
      <x:c r="F151" s="13" t="str">
        <x:v>Business Case &amp; Investment Development &gt; Economic &amp; Financial Model &gt; Break-Even</x:v>
      </x:c>
      <x:c r="G151" s="13" t="str">
        <x:v>authenticated</x:v>
      </x:c>
      <x:c r="H151" s="13" t="str">
        <x:v>RENDERER_REGISTERED</x:v>
      </x:c>
      <x:c r="I151" s="13" t="str">
        <x:v>financial-model-break-even</x:v>
      </x:c>
      <x:c r="J151" s="13" t="str">
        <x:v>USER_TRANSACTION. STATIC_METADATA_NOT_BUSINESS_UAT</x:v>
      </x:c>
    </x:row>
    <x:row r="152" ht="53" customHeight="1">
      <x:c r="A152" s="14" t="str">
        <x:v>FE-145</x:v>
      </x:c>
      <x:c r="B152" s="6" t="str">
        <x:v>PANTALLA</x:v>
      </x:c>
      <x:c r="C152" s="6" t="str">
        <x:v>/app/strategy/financial-model-readiness</x:v>
      </x:c>
      <x:c r="D152" s="6" t="str">
        <x:v>USER</x:v>
      </x:c>
      <x:c r="E152" s="6" t="str">
        <x:v>frontend/src/features/economic-financial-model/EconomicFinancialModelWorkspace.tsx</x:v>
      </x:c>
      <x:c r="F152" s="6" t="str">
        <x:v>Business Case &amp; Investment Development &gt; Economic &amp; Financial Model &gt; Readiness</x:v>
      </x:c>
      <x:c r="G152" s="6" t="str">
        <x:v>authenticated</x:v>
      </x:c>
      <x:c r="H152" s="6" t="str">
        <x:v>RENDERER_REGISTERED</x:v>
      </x:c>
      <x:c r="I152" s="6" t="str">
        <x:v>financial-model-readiness</x:v>
      </x:c>
      <x:c r="J152" s="6" t="str">
        <x:v>USER_TRANSACTION. STATIC_METADATA_NOT_BUSINESS_UAT</x:v>
      </x:c>
    </x:row>
    <x:row r="153" ht="53" customHeight="1">
      <x:c r="A153" s="15" t="str">
        <x:v>FE-146</x:v>
      </x:c>
      <x:c r="B153" s="13" t="str">
        <x:v>PANTALLA</x:v>
      </x:c>
      <x:c r="C153" s="13" t="str">
        <x:v>/app/strategy/financial-model-source-lineage</x:v>
      </x:c>
      <x:c r="D153" s="13" t="str">
        <x:v>USER</x:v>
      </x:c>
      <x:c r="E153" s="13" t="str">
        <x:v>frontend/src/features/economic-financial-model/EconomicFinancialModelWorkspace.tsx</x:v>
      </x:c>
      <x:c r="F153" s="13" t="str">
        <x:v>Business Case &amp; Investment Development &gt; Economic &amp; Financial Model &gt; Source Lineage</x:v>
      </x:c>
      <x:c r="G153" s="13" t="str">
        <x:v>authenticated</x:v>
      </x:c>
      <x:c r="H153" s="13" t="str">
        <x:v>RENDERER_REGISTERED</x:v>
      </x:c>
      <x:c r="I153" s="13" t="str">
        <x:v>financial-model-source-lineage</x:v>
      </x:c>
      <x:c r="J153" s="13" t="str">
        <x:v>USER_TRANSACTION. STATIC_METADATA_NOT_BUSINESS_UAT</x:v>
      </x:c>
    </x:row>
    <x:row r="154" ht="53" customHeight="1">
      <x:c r="A154" s="14" t="str">
        <x:v>FE-147</x:v>
      </x:c>
      <x:c r="B154" s="6" t="str">
        <x:v>PANTALLA</x:v>
      </x:c>
      <x:c r="C154" s="6" t="str">
        <x:v>/app/strategy/financial-model-compare-versions</x:v>
      </x:c>
      <x:c r="D154" s="6" t="str">
        <x:v>USER</x:v>
      </x:c>
      <x:c r="E154" s="6" t="str">
        <x:v>frontend/src/features/economic-financial-model/EconomicFinancialModelWorkspace.tsx</x:v>
      </x:c>
      <x:c r="F154" s="6" t="str">
        <x:v>Business Case &amp; Investment Development &gt; Economic &amp; Financial Model &gt; Compare Versions</x:v>
      </x:c>
      <x:c r="G154" s="6" t="str">
        <x:v>authenticated</x:v>
      </x:c>
      <x:c r="H154" s="6" t="str">
        <x:v>RENDERER_REGISTERED</x:v>
      </x:c>
      <x:c r="I154" s="6" t="str">
        <x:v>financial-model-compare-versions</x:v>
      </x:c>
      <x:c r="J154" s="6" t="str">
        <x:v>USER_TRANSACTION. STATIC_METADATA_NOT_BUSINESS_UAT</x:v>
      </x:c>
    </x:row>
    <x:row r="155" ht="53" customHeight="1">
      <x:c r="A155" s="15" t="str">
        <x:v>FE-148</x:v>
      </x:c>
      <x:c r="B155" s="13" t="str">
        <x:v>PANTALLA</x:v>
      </x:c>
      <x:c r="C155" s="13" t="str">
        <x:v>/app/strategy/financial-model-history-audit</x:v>
      </x:c>
      <x:c r="D155" s="13" t="str">
        <x:v>USER</x:v>
      </x:c>
      <x:c r="E155" s="13" t="str">
        <x:v>frontend/src/features/economic-financial-model/EconomicFinancialModelWorkspace.tsx</x:v>
      </x:c>
      <x:c r="F155" s="13" t="str">
        <x:v>Business Case &amp; Investment Development &gt; Economic &amp; Financial Model &gt; History / Audit</x:v>
      </x:c>
      <x:c r="G155" s="13" t="str">
        <x:v>authenticated</x:v>
      </x:c>
      <x:c r="H155" s="13" t="str">
        <x:v>RENDERER_REGISTERED</x:v>
      </x:c>
      <x:c r="I155" s="13" t="str">
        <x:v>financial-model-history-audit</x:v>
      </x:c>
      <x:c r="J155" s="13" t="str">
        <x:v>USER_TRANSACTION. STATIC_METADATA_NOT_BUSINESS_UAT</x:v>
      </x:c>
    </x:row>
    <x:row r="156" ht="42" customHeight="1">
      <x:c r="A156" s="14" t="str">
        <x:v>FE-149</x:v>
      </x:c>
      <x:c r="B156" s="6" t="str">
        <x:v>PANTALLA</x:v>
      </x:c>
      <x:c r="C156" s="6" t="str">
        <x:v>/app/strategy/risk-readiness-my</x:v>
      </x:c>
      <x:c r="D156" s="6" t="str">
        <x:v>USER</x:v>
      </x:c>
      <x:c r="E156" s="6" t="str">
        <x:v>frontend/src/features/risk-readiness/RiskReadinessWorkspace.tsx</x:v>
      </x:c>
      <x:c r="F156" s="6" t="str">
        <x:v>Business Case &amp; Investment Development &gt; Risk Readiness &gt; My Risk Work</x:v>
      </x:c>
      <x:c r="G156" s="6" t="str">
        <x:v>authenticated</x:v>
      </x:c>
      <x:c r="H156" s="6" t="str">
        <x:v>RENDERER_REGISTERED</x:v>
      </x:c>
      <x:c r="I156" s="6" t="str">
        <x:v>risk-readiness-my</x:v>
      </x:c>
      <x:c r="J156" s="6" t="str">
        <x:v>USER_TRANSACTION. STATIC_METADATA_NOT_BUSINESS_UAT</x:v>
      </x:c>
    </x:row>
    <x:row r="157" ht="53" customHeight="1">
      <x:c r="A157" s="15" t="str">
        <x:v>FE-150</x:v>
      </x:c>
      <x:c r="B157" s="13" t="str">
        <x:v>PANTALLA</x:v>
      </x:c>
      <x:c r="C157" s="13" t="str">
        <x:v>/app/strategy/risk-readiness-portfolio</x:v>
      </x:c>
      <x:c r="D157" s="13" t="str">
        <x:v>USER</x:v>
      </x:c>
      <x:c r="E157" s="13" t="str">
        <x:v>frontend/src/features/risk-readiness/RiskReadinessWorkspace.tsx</x:v>
      </x:c>
      <x:c r="F157" s="13" t="str">
        <x:v>Business Case &amp; Investment Development &gt; Risk Readiness &gt; Project Set Risk Readiness</x:v>
      </x:c>
      <x:c r="G157" s="13" t="str">
        <x:v>authenticated</x:v>
      </x:c>
      <x:c r="H157" s="13" t="str">
        <x:v>RENDERER_REGISTERED</x:v>
      </x:c>
      <x:c r="I157" s="13" t="str">
        <x:v>risk-readiness-portfolio</x:v>
      </x:c>
      <x:c r="J157" s="13" t="str">
        <x:v>USER_TRANSACTION. STATIC_METADATA_NOT_BUSINESS_UAT</x:v>
      </x:c>
    </x:row>
    <x:row r="158" ht="53" customHeight="1">
      <x:c r="A158" s="14" t="str">
        <x:v>FE-151</x:v>
      </x:c>
      <x:c r="B158" s="6" t="str">
        <x:v>PANTALLA</x:v>
      </x:c>
      <x:c r="C158" s="6" t="str">
        <x:v>/app/strategy/risk-readiness-register</x:v>
      </x:c>
      <x:c r="D158" s="6" t="str">
        <x:v>USER</x:v>
      </x:c>
      <x:c r="E158" s="6" t="str">
        <x:v>frontend/src/features/risk-readiness/RiskReadinessWorkspace.tsx</x:v>
      </x:c>
      <x:c r="F158" s="6" t="str">
        <x:v>Business Case &amp; Investment Development &gt; Risk Readiness &gt; Project Risk Register</x:v>
      </x:c>
      <x:c r="G158" s="6" t="str">
        <x:v>authenticated</x:v>
      </x:c>
      <x:c r="H158" s="6" t="str">
        <x:v>RENDERER_REGISTERED</x:v>
      </x:c>
      <x:c r="I158" s="6" t="str">
        <x:v>risk-readiness-register</x:v>
      </x:c>
      <x:c r="J158" s="6" t="str">
        <x:v>USER_TRANSACTION. STATIC_METADATA_NOT_BUSINESS_UAT</x:v>
      </x:c>
    </x:row>
    <x:row r="159" ht="42" customHeight="1">
      <x:c r="A159" s="15" t="str">
        <x:v>FE-152</x:v>
      </x:c>
      <x:c r="B159" s="13" t="str">
        <x:v>PANTALLA</x:v>
      </x:c>
      <x:c r="C159" s="13" t="str">
        <x:v>/app/strategy/risk-readiness-assessments</x:v>
      </x:c>
      <x:c r="D159" s="13" t="str">
        <x:v>USER</x:v>
      </x:c>
      <x:c r="E159" s="13" t="str">
        <x:v>frontend/src/features/risk-readiness/RiskReadinessWorkspace.tsx</x:v>
      </x:c>
      <x:c r="F159" s="13" t="str">
        <x:v>Business Case &amp; Investment Development &gt; Risk Readiness &gt; Risk Assessments</x:v>
      </x:c>
      <x:c r="G159" s="13" t="str">
        <x:v>authenticated</x:v>
      </x:c>
      <x:c r="H159" s="13" t="str">
        <x:v>RENDERER_REGISTERED</x:v>
      </x:c>
      <x:c r="I159" s="13" t="str">
        <x:v>risk-readiness-assessments</x:v>
      </x:c>
      <x:c r="J159" s="13" t="str">
        <x:v>USER_TRANSACTION. STATIC_METADATA_NOT_BUSINESS_UAT</x:v>
      </x:c>
    </x:row>
    <x:row r="160" ht="42" customHeight="1">
      <x:c r="A160" s="14" t="str">
        <x:v>FE-153</x:v>
      </x:c>
      <x:c r="B160" s="6" t="str">
        <x:v>PANTALLA</x:v>
      </x:c>
      <x:c r="C160" s="6" t="str">
        <x:v>/app/strategy/risk-readiness-treatments</x:v>
      </x:c>
      <x:c r="D160" s="6" t="str">
        <x:v>USER</x:v>
      </x:c>
      <x:c r="E160" s="6" t="str">
        <x:v>frontend/src/features/risk-readiness/RiskReadinessWorkspace.tsx</x:v>
      </x:c>
      <x:c r="F160" s="6" t="str">
        <x:v>Business Case &amp; Investment Development &gt; Risk Readiness &gt; Treatments</x:v>
      </x:c>
      <x:c r="G160" s="6" t="str">
        <x:v>authenticated</x:v>
      </x:c>
      <x:c r="H160" s="6" t="str">
        <x:v>RENDERER_REGISTERED</x:v>
      </x:c>
      <x:c r="I160" s="6" t="str">
        <x:v>risk-readiness-treatments</x:v>
      </x:c>
      <x:c r="J160" s="6" t="str">
        <x:v>USER_TRANSACTION. STATIC_METADATA_NOT_BUSINESS_UAT</x:v>
      </x:c>
    </x:row>
    <x:row r="161" ht="53" customHeight="1">
      <x:c r="A161" s="15" t="str">
        <x:v>FE-154</x:v>
      </x:c>
      <x:c r="B161" s="13" t="str">
        <x:v>PANTALLA</x:v>
      </x:c>
      <x:c r="C161" s="13" t="str">
        <x:v>/app/strategy/risk-readiness-residual</x:v>
      </x:c>
      <x:c r="D161" s="13" t="str">
        <x:v>USER</x:v>
      </x:c>
      <x:c r="E161" s="13" t="str">
        <x:v>frontend/src/features/risk-readiness/RiskReadinessWorkspace.tsx</x:v>
      </x:c>
      <x:c r="F161" s="13" t="str">
        <x:v>Business Case &amp; Investment Development &gt; Risk Readiness &gt; Residual Risk &amp; Acceptance</x:v>
      </x:c>
      <x:c r="G161" s="13" t="str">
        <x:v>authenticated</x:v>
      </x:c>
      <x:c r="H161" s="13" t="str">
        <x:v>RENDERER_REGISTERED</x:v>
      </x:c>
      <x:c r="I161" s="13" t="str">
        <x:v>risk-readiness-residual</x:v>
      </x:c>
      <x:c r="J161" s="13" t="str">
        <x:v>USER_TRANSACTION. STATIC_METADATA_NOT_BUSINESS_UAT</x:v>
      </x:c>
    </x:row>
    <x:row r="162" ht="53" customHeight="1">
      <x:c r="A162" s="14" t="str">
        <x:v>FE-155</x:v>
      </x:c>
      <x:c r="B162" s="6" t="str">
        <x:v>PANTALLA</x:v>
      </x:c>
      <x:c r="C162" s="6" t="str">
        <x:v>/app/strategy/risk-readiness-dashboard</x:v>
      </x:c>
      <x:c r="D162" s="6" t="str">
        <x:v>USER</x:v>
      </x:c>
      <x:c r="E162" s="6" t="str">
        <x:v>frontend/src/features/risk-readiness/RiskReadinessWorkspace.tsx</x:v>
      </x:c>
      <x:c r="F162" s="6" t="str">
        <x:v>Business Case &amp; Investment Development &gt; Risk Readiness &gt; Risk Readiness Dashboard</x:v>
      </x:c>
      <x:c r="G162" s="6" t="str">
        <x:v>authenticated</x:v>
      </x:c>
      <x:c r="H162" s="6" t="str">
        <x:v>RENDERER_REGISTERED</x:v>
      </x:c>
      <x:c r="I162" s="6" t="str">
        <x:v>risk-readiness-dashboard</x:v>
      </x:c>
      <x:c r="J162" s="6" t="str">
        <x:v>USER_TRANSACTION. STATIC_METADATA_NOT_BUSINESS_UAT</x:v>
      </x:c>
    </x:row>
    <x:row r="163" ht="42" customHeight="1">
      <x:c r="A163" s="15" t="str">
        <x:v>FE-156</x:v>
      </x:c>
      <x:c r="B163" s="13" t="str">
        <x:v>PANTALLA</x:v>
      </x:c>
      <x:c r="C163" s="13" t="str">
        <x:v>/app/strategy/risk-readiness-history</x:v>
      </x:c>
      <x:c r="D163" s="13" t="str">
        <x:v>USER</x:v>
      </x:c>
      <x:c r="E163" s="13" t="str">
        <x:v>frontend/src/features/risk-readiness/RiskReadinessWorkspace.tsx</x:v>
      </x:c>
      <x:c r="F163" s="13" t="str">
        <x:v>Business Case &amp; Investment Development &gt; Risk Readiness &gt; History / Audit</x:v>
      </x:c>
      <x:c r="G163" s="13" t="str">
        <x:v>authenticated</x:v>
      </x:c>
      <x:c r="H163" s="13" t="str">
        <x:v>RENDERER_REGISTERED</x:v>
      </x:c>
      <x:c r="I163" s="13" t="str">
        <x:v>risk-readiness-history</x:v>
      </x:c>
      <x:c r="J163" s="13" t="str">
        <x:v>USER_TRANSACTION. STATIC_METADATA_NOT_BUSINESS_UAT</x:v>
      </x:c>
    </x:row>
    <x:row r="164" ht="42" customHeight="1">
      <x:c r="A164" s="14" t="str">
        <x:v>FE-157</x:v>
      </x:c>
      <x:c r="B164" s="6" t="str">
        <x:v>PANTALLA</x:v>
      </x:c>
      <x:c r="C164" s="6" t="str">
        <x:v>/app/strategy/permit-readiness-my</x:v>
      </x:c>
      <x:c r="D164" s="6" t="str">
        <x:v>USER</x:v>
      </x:c>
      <x:c r="E164" s="6" t="str">
        <x:v>frontend/src/features/permit-readiness/PermitReadinessWorkspace.tsx</x:v>
      </x:c>
      <x:c r="F164" s="6" t="str">
        <x:v>Business Case &amp; Investment Development &gt; Permit Readiness &gt; My Permit Work</x:v>
      </x:c>
      <x:c r="G164" s="6" t="str">
        <x:v>authenticated</x:v>
      </x:c>
      <x:c r="H164" s="6" t="str">
        <x:v>RENDERER_REGISTERED</x:v>
      </x:c>
      <x:c r="I164" s="6" t="str">
        <x:v>permit-readiness-my</x:v>
      </x:c>
      <x:c r="J164" s="6" t="str">
        <x:v>USER_TRANSACTION. STATIC_METADATA_NOT_BUSINESS_UAT</x:v>
      </x:c>
    </x:row>
    <x:row r="165" ht="53" customHeight="1">
      <x:c r="A165" s="15" t="str">
        <x:v>FE-158</x:v>
      </x:c>
      <x:c r="B165" s="13" t="str">
        <x:v>PANTALLA</x:v>
      </x:c>
      <x:c r="C165" s="13" t="str">
        <x:v>/app/strategy/permit-readiness-register</x:v>
      </x:c>
      <x:c r="D165" s="13" t="str">
        <x:v>USER</x:v>
      </x:c>
      <x:c r="E165" s="13" t="str">
        <x:v>frontend/src/features/permit-readiness/PermitReadinessWorkspace.tsx</x:v>
      </x:c>
      <x:c r="F165" s="13" t="str">
        <x:v>Business Case &amp; Investment Development &gt; Permit Readiness &gt; Project Permit Register</x:v>
      </x:c>
      <x:c r="G165" s="13" t="str">
        <x:v>authenticated</x:v>
      </x:c>
      <x:c r="H165" s="13" t="str">
        <x:v>RENDERER_REGISTERED</x:v>
      </x:c>
      <x:c r="I165" s="13" t="str">
        <x:v>permit-readiness-register</x:v>
      </x:c>
      <x:c r="J165" s="13" t="str">
        <x:v>USER_TRANSACTION. STATIC_METADATA_NOT_BUSINESS_UAT</x:v>
      </x:c>
    </x:row>
    <x:row r="166" ht="53" customHeight="1">
      <x:c r="A166" s="14" t="str">
        <x:v>FE-159</x:v>
      </x:c>
      <x:c r="B166" s="6" t="str">
        <x:v>PANTALLA</x:v>
      </x:c>
      <x:c r="C166" s="6" t="str">
        <x:v>/app/strategy/permit-readiness-requirements</x:v>
      </x:c>
      <x:c r="D166" s="6" t="str">
        <x:v>USER</x:v>
      </x:c>
      <x:c r="E166" s="6" t="str">
        <x:v>frontend/src/features/permit-readiness/PermitReadinessWorkspace.tsx</x:v>
      </x:c>
      <x:c r="F166" s="6" t="str">
        <x:v>Business Case &amp; Investment Development &gt; Permit Readiness &gt; Permit Requirements</x:v>
      </x:c>
      <x:c r="G166" s="6" t="str">
        <x:v>authenticated</x:v>
      </x:c>
      <x:c r="H166" s="6" t="str">
        <x:v>RENDERER_REGISTERED</x:v>
      </x:c>
      <x:c r="I166" s="6" t="str">
        <x:v>permit-readiness-requirements</x:v>
      </x:c>
      <x:c r="J166" s="6" t="str">
        <x:v>USER_TRANSACTION. STATIC_METADATA_NOT_BUSINESS_UAT</x:v>
      </x:c>
    </x:row>
    <x:row r="167" ht="42" customHeight="1">
      <x:c r="A167" s="15" t="str">
        <x:v>FE-160</x:v>
      </x:c>
      <x:c r="B167" s="13" t="str">
        <x:v>PANTALLA</x:v>
      </x:c>
      <x:c r="C167" s="13" t="str">
        <x:v>/app/strategy/permit-readiness-conditions</x:v>
      </x:c>
      <x:c r="D167" s="13" t="str">
        <x:v>USER</x:v>
      </x:c>
      <x:c r="E167" s="13" t="str">
        <x:v>frontend/src/features/permit-readiness/PermitReadinessWorkspace.tsx</x:v>
      </x:c>
      <x:c r="F167" s="13" t="str">
        <x:v>Business Case &amp; Investment Development &gt; Permit Readiness &gt; Permit Conditions</x:v>
      </x:c>
      <x:c r="G167" s="13" t="str">
        <x:v>authenticated</x:v>
      </x:c>
      <x:c r="H167" s="13" t="str">
        <x:v>RENDERER_REGISTERED</x:v>
      </x:c>
      <x:c r="I167" s="13" t="str">
        <x:v>permit-readiness-conditions</x:v>
      </x:c>
      <x:c r="J167" s="13" t="str">
        <x:v>USER_TRANSACTION. STATIC_METADATA_NOT_BUSINESS_UAT</x:v>
      </x:c>
    </x:row>
    <x:row r="168" ht="53" customHeight="1">
      <x:c r="A168" s="14" t="str">
        <x:v>FE-161</x:v>
      </x:c>
      <x:c r="B168" s="6" t="str">
        <x:v>PANTALLA</x:v>
      </x:c>
      <x:c r="C168" s="6" t="str">
        <x:v>/app/strategy/permit-readiness-project</x:v>
      </x:c>
      <x:c r="D168" s="6" t="str">
        <x:v>USER</x:v>
      </x:c>
      <x:c r="E168" s="6" t="str">
        <x:v>frontend/src/features/permit-readiness/PermitReadinessWorkspace.tsx</x:v>
      </x:c>
      <x:c r="F168" s="6" t="str">
        <x:v>Business Case &amp; Investment Development &gt; Permit Readiness &gt; Project Permit Readiness</x:v>
      </x:c>
      <x:c r="G168" s="6" t="str">
        <x:v>authenticated</x:v>
      </x:c>
      <x:c r="H168" s="6" t="str">
        <x:v>RENDERER_REGISTERED</x:v>
      </x:c>
      <x:c r="I168" s="6" t="str">
        <x:v>permit-readiness-project</x:v>
      </x:c>
      <x:c r="J168" s="6" t="str">
        <x:v>USER_TRANSACTION. STATIC_METADATA_NOT_BUSINESS_UAT</x:v>
      </x:c>
    </x:row>
    <x:row r="169" ht="53" customHeight="1">
      <x:c r="A169" s="15" t="str">
        <x:v>FE-162</x:v>
      </x:c>
      <x:c r="B169" s="13" t="str">
        <x:v>PANTALLA</x:v>
      </x:c>
      <x:c r="C169" s="13" t="str">
        <x:v>/app/strategy/permit-readiness-portfolio</x:v>
      </x:c>
      <x:c r="D169" s="13" t="str">
        <x:v>USER</x:v>
      </x:c>
      <x:c r="E169" s="13" t="str">
        <x:v>frontend/src/features/permit-readiness/PermitReadinessWorkspace.tsx</x:v>
      </x:c>
      <x:c r="F169" s="13" t="str">
        <x:v>Business Case &amp; Investment Development &gt; Permit Readiness &gt; Project Set Permit Readiness</x:v>
      </x:c>
      <x:c r="G169" s="13" t="str">
        <x:v>authenticated</x:v>
      </x:c>
      <x:c r="H169" s="13" t="str">
        <x:v>RENDERER_REGISTERED</x:v>
      </x:c>
      <x:c r="I169" s="13" t="str">
        <x:v>permit-readiness-portfolio</x:v>
      </x:c>
      <x:c r="J169" s="13" t="str">
        <x:v>USER_TRANSACTION. STATIC_METADATA_NOT_BUSINESS_UAT</x:v>
      </x:c>
    </x:row>
    <x:row r="170" ht="53" customHeight="1">
      <x:c r="A170" s="14" t="str">
        <x:v>FE-163</x:v>
      </x:c>
      <x:c r="B170" s="6" t="str">
        <x:v>PANTALLA</x:v>
      </x:c>
      <x:c r="C170" s="6" t="str">
        <x:v>/app/strategy/permit-readiness-history</x:v>
      </x:c>
      <x:c r="D170" s="6" t="str">
        <x:v>USER</x:v>
      </x:c>
      <x:c r="E170" s="6" t="str">
        <x:v>frontend/src/features/permit-readiness/PermitReadinessWorkspace.tsx</x:v>
      </x:c>
      <x:c r="F170" s="6" t="str">
        <x:v>Business Case &amp; Investment Development &gt; Permit Readiness &gt; Permit History / Audit</x:v>
      </x:c>
      <x:c r="G170" s="6" t="str">
        <x:v>authenticated</x:v>
      </x:c>
      <x:c r="H170" s="6" t="str">
        <x:v>RENDERER_REGISTERED</x:v>
      </x:c>
      <x:c r="I170" s="6" t="str">
        <x:v>permit-readiness-history</x:v>
      </x:c>
      <x:c r="J170" s="6" t="str">
        <x:v>USER_TRANSACTION. STATIC_METADATA_NOT_BUSINESS_UAT</x:v>
      </x:c>
    </x:row>
    <x:row r="171" ht="42" customHeight="1">
      <x:c r="A171" s="15" t="str">
        <x:v>FE-164</x:v>
      </x:c>
      <x:c r="B171" s="13" t="str">
        <x:v>PANTALLA</x:v>
      </x:c>
      <x:c r="C171" s="13" t="str">
        <x:v>/app/strategy/basic-data-readiness</x:v>
      </x:c>
      <x:c r="D171" s="13" t="str">
        <x:v>USER</x:v>
      </x:c>
      <x:c r="E171" s="13" t="str">
        <x:v>frontend/src/features/basic-data/BasicDataWorkspace.tsx</x:v>
      </x:c>
      <x:c r="F171" s="13" t="str">
        <x:v>Business Case &amp; Investment Development &gt; Basic Data Readiness</x:v>
      </x:c>
      <x:c r="G171" s="13" t="str">
        <x:v>authenticated</x:v>
      </x:c>
      <x:c r="H171" s="13" t="str">
        <x:v>RENDERER_REGISTERED</x:v>
      </x:c>
      <x:c r="I171" s="13" t="str">
        <x:v>basic-data-readiness</x:v>
      </x:c>
      <x:c r="J171" s="13" t="str">
        <x:v>USER_TRANSACTION. STATIC_METADATA_NOT_BUSINESS_UAT</x:v>
      </x:c>
    </x:row>
    <x:row r="172" ht="42" customHeight="1">
      <x:c r="A172" s="14" t="str">
        <x:v>FE-165</x:v>
      </x:c>
      <x:c r="B172" s="6" t="str">
        <x:v>PANTALLA</x:v>
      </x:c>
      <x:c r="C172" s="6" t="str">
        <x:v>/app/strategy/owner-capability-readiness</x:v>
      </x:c>
      <x:c r="D172" s="6" t="str">
        <x:v>USER</x:v>
      </x:c>
      <x:c r="E172" s="6" t="str">
        <x:v>frontend/src/features/owner-capability/OwnerCapabilityWorkspace.tsx</x:v>
      </x:c>
      <x:c r="F172" s="6" t="str">
        <x:v>Business Case &amp; Investment Development &gt; Owner Capability Readiness</x:v>
      </x:c>
      <x:c r="G172" s="6" t="str">
        <x:v>authenticated</x:v>
      </x:c>
      <x:c r="H172" s="6" t="str">
        <x:v>RENDERER_REGISTERED</x:v>
      </x:c>
      <x:c r="I172" s="6" t="str">
        <x:v>owner-capability-readiness</x:v>
      </x:c>
      <x:c r="J172" s="6" t="str">
        <x:v>USER_TRANSACTION. STATIC_METADATA_NOT_BUSINESS_UAT</x:v>
      </x:c>
    </x:row>
    <x:row r="173" ht="42" customHeight="1">
      <x:c r="A173" s="15" t="str">
        <x:v>FE-166</x:v>
      </x:c>
      <x:c r="B173" s="13" t="str">
        <x:v>PANTALLA</x:v>
      </x:c>
      <x:c r="C173" s="13" t="str">
        <x:v>/app/strategy/qra-foundation</x:v>
      </x:c>
      <x:c r="D173" s="13" t="str">
        <x:v>USER</x:v>
      </x:c>
      <x:c r="E173" s="13" t="str">
        <x:v>frontend/src/features/qra-foundation/QraFoundationWorkspace.tsx</x:v>
      </x:c>
      <x:c r="F173" s="13" t="str">
        <x:v>Business Case &amp; Investment Development &gt; QRA &gt; Cost Source Readiness</x:v>
      </x:c>
      <x:c r="G173" s="13" t="str">
        <x:v>authenticated</x:v>
      </x:c>
      <x:c r="H173" s="13" t="str">
        <x:v>RENDERER_REGISTERED</x:v>
      </x:c>
      <x:c r="I173" s="13" t="str">
        <x:v>qra-foundation</x:v>
      </x:c>
      <x:c r="J173" s="13" t="str">
        <x:v>USER_TRANSACTION. STATIC_METADATA_NOT_BUSINESS_UAT</x:v>
      </x:c>
    </x:row>
    <x:row r="174" ht="42" customHeight="1">
      <x:c r="A174" s="14" t="str">
        <x:v>FE-167</x:v>
      </x:c>
      <x:c r="B174" s="6" t="str">
        <x:v>PANTALLA</x:v>
      </x:c>
      <x:c r="C174" s="6" t="str">
        <x:v>/app/strategy/qra-schedule-source-readiness</x:v>
      </x:c>
      <x:c r="D174" s="6" t="str">
        <x:v>USER</x:v>
      </x:c>
      <x:c r="E174" s="6" t="str">
        <x:v>frontend/src/features/qra-foundation/QraFoundationWorkspace.tsx</x:v>
      </x:c>
      <x:c r="F174" s="6" t="str">
        <x:v>Business Case &amp; Investment Development &gt; QRA &gt; Schedule Source Readiness</x:v>
      </x:c>
      <x:c r="G174" s="6" t="str">
        <x:v>authenticated</x:v>
      </x:c>
      <x:c r="H174" s="6" t="str">
        <x:v>RENDERER_REGISTERED</x:v>
      </x:c>
      <x:c r="I174" s="6" t="str">
        <x:v>qra-schedule-source-readiness</x:v>
      </x:c>
      <x:c r="J174" s="6" t="str">
        <x:v>USER_TRANSACTION. STATIC_METADATA_NOT_BUSINESS_UAT</x:v>
      </x:c>
    </x:row>
    <x:row r="175" ht="42" customHeight="1">
      <x:c r="A175" s="15" t="str">
        <x:v>FE-168</x:v>
      </x:c>
      <x:c r="B175" s="13" t="str">
        <x:v>PANTALLA</x:v>
      </x:c>
      <x:c r="C175" s="13" t="str">
        <x:v>/app/strategy/qra-model-definition</x:v>
      </x:c>
      <x:c r="D175" s="13" t="str">
        <x:v>USER</x:v>
      </x:c>
      <x:c r="E175" s="13" t="str">
        <x:v>frontend/src/features/qra-foundation/QraFoundationWorkspace.tsx</x:v>
      </x:c>
      <x:c r="F175" s="13" t="str">
        <x:v>Business Case &amp; Investment Development &gt; QRA &gt; Model Definition</x:v>
      </x:c>
      <x:c r="G175" s="13" t="str">
        <x:v>authenticated</x:v>
      </x:c>
      <x:c r="H175" s="13" t="str">
        <x:v>RENDERER_REGISTERED</x:v>
      </x:c>
      <x:c r="I175" s="13" t="str">
        <x:v>qra-model-definition</x:v>
      </x:c>
      <x:c r="J175" s="13" t="str">
        <x:v>USER_TRANSACTION. STATIC_METADATA_NOT_BUSINESS_UAT</x:v>
      </x:c>
    </x:row>
    <x:row r="176" ht="42" customHeight="1">
      <x:c r="A176" s="14" t="str">
        <x:v>FE-169</x:v>
      </x:c>
      <x:c r="B176" s="6" t="str">
        <x:v>PANTALLA</x:v>
      </x:c>
      <x:c r="C176" s="6" t="str">
        <x:v>/app/strategy/qra-foundation-history</x:v>
      </x:c>
      <x:c r="D176" s="6" t="str">
        <x:v>USER</x:v>
      </x:c>
      <x:c r="E176" s="6" t="str">
        <x:v>frontend/src/features/qra-foundation/QraFoundationWorkspace.tsx</x:v>
      </x:c>
      <x:c r="F176" s="6" t="str">
        <x:v>Business Case &amp; Investment Development &gt; QRA &gt; Foundation History</x:v>
      </x:c>
      <x:c r="G176" s="6" t="str">
        <x:v>authenticated</x:v>
      </x:c>
      <x:c r="H176" s="6" t="str">
        <x:v>RENDERER_REGISTERED</x:v>
      </x:c>
      <x:c r="I176" s="6" t="str">
        <x:v>qra-foundation-history</x:v>
      </x:c>
      <x:c r="J176" s="6" t="str">
        <x:v>USER_TRANSACTION. STATIC_METADATA_NOT_BUSINESS_UAT</x:v>
      </x:c>
    </x:row>
    <x:row r="177" ht="42" customHeight="1">
      <x:c r="A177" s="15" t="str">
        <x:v>FE-170</x:v>
      </x:c>
      <x:c r="B177" s="13" t="str">
        <x:v>PANTALLA</x:v>
      </x:c>
      <x:c r="C177" s="13" t="str">
        <x:v>/app/strategy/qra-approved-models</x:v>
      </x:c>
      <x:c r="D177" s="13" t="str">
        <x:v>USER</x:v>
      </x:c>
      <x:c r="E177" s="13" t="str">
        <x:v>frontend/src/features/qra-engine/QraEngineWorkspace.tsx</x:v>
      </x:c>
      <x:c r="F177" s="13" t="str">
        <x:v>Business Case &amp; Investment Development &gt; QRA &gt; Approved Models</x:v>
      </x:c>
      <x:c r="G177" s="13" t="str">
        <x:v>authenticated</x:v>
      </x:c>
      <x:c r="H177" s="13" t="str">
        <x:v>RENDERER_REGISTERED</x:v>
      </x:c>
      <x:c r="I177" s="13" t="str">
        <x:v>qra-approved-models</x:v>
      </x:c>
      <x:c r="J177" s="13" t="str">
        <x:v>USER_TRANSACTION. STATIC_METADATA_NOT_BUSINESS_UAT</x:v>
      </x:c>
    </x:row>
    <x:row r="178" ht="42" customHeight="1">
      <x:c r="A178" s="14" t="str">
        <x:v>FE-171</x:v>
      </x:c>
      <x:c r="B178" s="6" t="str">
        <x:v>PANTALLA</x:v>
      </x:c>
      <x:c r="C178" s="6" t="str">
        <x:v>/app/strategy/qra-runs</x:v>
      </x:c>
      <x:c r="D178" s="6" t="str">
        <x:v>USER</x:v>
      </x:c>
      <x:c r="E178" s="6" t="str">
        <x:v>frontend/src/features/qra-engine/QraEngineWorkspace.tsx</x:v>
      </x:c>
      <x:c r="F178" s="6" t="str">
        <x:v>Business Case &amp; Investment Development &gt; QRA &gt; Runs</x:v>
      </x:c>
      <x:c r="G178" s="6" t="str">
        <x:v>authenticated</x:v>
      </x:c>
      <x:c r="H178" s="6" t="str">
        <x:v>RENDERER_REGISTERED</x:v>
      </x:c>
      <x:c r="I178" s="6" t="str">
        <x:v>qra-runs</x:v>
      </x:c>
      <x:c r="J178" s="6" t="str">
        <x:v>USER_TRANSACTION. STATIC_METADATA_NOT_BUSINESS_UAT</x:v>
      </x:c>
    </x:row>
    <x:row r="179" ht="42" customHeight="1">
      <x:c r="A179" s="15" t="str">
        <x:v>FE-172</x:v>
      </x:c>
      <x:c r="B179" s="13" t="str">
        <x:v>PANTALLA</x:v>
      </x:c>
      <x:c r="C179" s="13" t="str">
        <x:v>/app/strategy/qra-run-overview</x:v>
      </x:c>
      <x:c r="D179" s="13" t="str">
        <x:v>USER</x:v>
      </x:c>
      <x:c r="E179" s="13" t="str">
        <x:v>frontend/src/features/qra-engine/QraEngineWorkspace.tsx</x:v>
      </x:c>
      <x:c r="F179" s="13" t="str">
        <x:v>Business Case &amp; Investment Development &gt; QRA &gt; Run Overview</x:v>
      </x:c>
      <x:c r="G179" s="13" t="str">
        <x:v>authenticated</x:v>
      </x:c>
      <x:c r="H179" s="13" t="str">
        <x:v>RENDERER_REGISTERED</x:v>
      </x:c>
      <x:c r="I179" s="13" t="str">
        <x:v>qra-run-overview</x:v>
      </x:c>
      <x:c r="J179" s="13" t="str">
        <x:v>USER_TRANSACTION. STATIC_METADATA_NOT_BUSINESS_UAT</x:v>
      </x:c>
    </x:row>
    <x:row r="180" ht="42" customHeight="1">
      <x:c r="A180" s="14" t="str">
        <x:v>FE-173</x:v>
      </x:c>
      <x:c r="B180" s="6" t="str">
        <x:v>PANTALLA</x:v>
      </x:c>
      <x:c r="C180" s="6" t="str">
        <x:v>/app/strategy/qra-cost-results</x:v>
      </x:c>
      <x:c r="D180" s="6" t="str">
        <x:v>USER</x:v>
      </x:c>
      <x:c r="E180" s="6" t="str">
        <x:v>frontend/src/features/qra-engine/QraEngineWorkspace.tsx</x:v>
      </x:c>
      <x:c r="F180" s="6" t="str">
        <x:v>Business Case &amp; Investment Development &gt; QRA &gt; Cost Results</x:v>
      </x:c>
      <x:c r="G180" s="6" t="str">
        <x:v>authenticated</x:v>
      </x:c>
      <x:c r="H180" s="6" t="str">
        <x:v>RENDERER_REGISTERED</x:v>
      </x:c>
      <x:c r="I180" s="6" t="str">
        <x:v>qra-cost-results</x:v>
      </x:c>
      <x:c r="J180" s="6" t="str">
        <x:v>USER_TRANSACTION. STATIC_METADATA_NOT_BUSINESS_UAT</x:v>
      </x:c>
    </x:row>
    <x:row r="181" ht="42" customHeight="1">
      <x:c r="A181" s="15" t="str">
        <x:v>FE-174</x:v>
      </x:c>
      <x:c r="B181" s="13" t="str">
        <x:v>PANTALLA</x:v>
      </x:c>
      <x:c r="C181" s="13" t="str">
        <x:v>/app/strategy/qra-schedule-results</x:v>
      </x:c>
      <x:c r="D181" s="13" t="str">
        <x:v>USER</x:v>
      </x:c>
      <x:c r="E181" s="13" t="str">
        <x:v>frontend/src/features/qra-engine/QraEngineWorkspace.tsx</x:v>
      </x:c>
      <x:c r="F181" s="13" t="str">
        <x:v>Business Case &amp; Investment Development &gt; QRA &gt; Schedule Results</x:v>
      </x:c>
      <x:c r="G181" s="13" t="str">
        <x:v>authenticated</x:v>
      </x:c>
      <x:c r="H181" s="13" t="str">
        <x:v>RENDERER_REGISTERED</x:v>
      </x:c>
      <x:c r="I181" s="13" t="str">
        <x:v>qra-schedule-results</x:v>
      </x:c>
      <x:c r="J181" s="13" t="str">
        <x:v>USER_TRANSACTION. STATIC_METADATA_NOT_BUSINESS_UAT</x:v>
      </x:c>
    </x:row>
    <x:row r="182" ht="42" customHeight="1">
      <x:c r="A182" s="14" t="str">
        <x:v>FE-175</x:v>
      </x:c>
      <x:c r="B182" s="6" t="str">
        <x:v>PANTALLA</x:v>
      </x:c>
      <x:c r="C182" s="6" t="str">
        <x:v>/app/strategy/qra-percentiles</x:v>
      </x:c>
      <x:c r="D182" s="6" t="str">
        <x:v>USER</x:v>
      </x:c>
      <x:c r="E182" s="6" t="str">
        <x:v>frontend/src/features/qra-engine/QraEngineWorkspace.tsx</x:v>
      </x:c>
      <x:c r="F182" s="6" t="str">
        <x:v>Business Case &amp; Investment Development &gt; QRA &gt; Percentiles</x:v>
      </x:c>
      <x:c r="G182" s="6" t="str">
        <x:v>authenticated</x:v>
      </x:c>
      <x:c r="H182" s="6" t="str">
        <x:v>RENDERER_REGISTERED</x:v>
      </x:c>
      <x:c r="I182" s="6" t="str">
        <x:v>qra-percentiles</x:v>
      </x:c>
      <x:c r="J182" s="6" t="str">
        <x:v>USER_TRANSACTION. STATIC_METADATA_NOT_BUSINESS_UAT</x:v>
      </x:c>
    </x:row>
    <x:row r="183" ht="42" customHeight="1">
      <x:c r="A183" s="15" t="str">
        <x:v>FE-176</x:v>
      </x:c>
      <x:c r="B183" s="13" t="str">
        <x:v>PANTALLA</x:v>
      </x:c>
      <x:c r="C183" s="13" t="str">
        <x:v>/app/strategy/qra-sensitivity</x:v>
      </x:c>
      <x:c r="D183" s="13" t="str">
        <x:v>USER</x:v>
      </x:c>
      <x:c r="E183" s="13" t="str">
        <x:v>frontend/src/features/qra-engine/QraEngineWorkspace.tsx</x:v>
      </x:c>
      <x:c r="F183" s="13" t="str">
        <x:v>Business Case &amp; Investment Development &gt; QRA &gt; Sensitivity / Drivers</x:v>
      </x:c>
      <x:c r="G183" s="13" t="str">
        <x:v>authenticated</x:v>
      </x:c>
      <x:c r="H183" s="13" t="str">
        <x:v>RENDERER_REGISTERED</x:v>
      </x:c>
      <x:c r="I183" s="13" t="str">
        <x:v>qra-sensitivity</x:v>
      </x:c>
      <x:c r="J183" s="13" t="str">
        <x:v>USER_TRANSACTION. STATIC_METADATA_NOT_BUSINESS_UAT</x:v>
      </x:c>
    </x:row>
    <x:row r="184" ht="42" customHeight="1">
      <x:c r="A184" s="14" t="str">
        <x:v>FE-177</x:v>
      </x:c>
      <x:c r="B184" s="6" t="str">
        <x:v>PANTALLA</x:v>
      </x:c>
      <x:c r="C184" s="6" t="str">
        <x:v>/app/strategy/qra-convergence</x:v>
      </x:c>
      <x:c r="D184" s="6" t="str">
        <x:v>USER</x:v>
      </x:c>
      <x:c r="E184" s="6" t="str">
        <x:v>frontend/src/features/qra-engine/QraEngineWorkspace.tsx</x:v>
      </x:c>
      <x:c r="F184" s="6" t="str">
        <x:v>Business Case &amp; Investment Development &gt; QRA &gt; Convergence</x:v>
      </x:c>
      <x:c r="G184" s="6" t="str">
        <x:v>authenticated</x:v>
      </x:c>
      <x:c r="H184" s="6" t="str">
        <x:v>RENDERER_REGISTERED</x:v>
      </x:c>
      <x:c r="I184" s="6" t="str">
        <x:v>qra-convergence</x:v>
      </x:c>
      <x:c r="J184" s="6" t="str">
        <x:v>USER_TRANSACTION. STATIC_METADATA_NOT_BUSINESS_UAT</x:v>
      </x:c>
    </x:row>
    <x:row r="185" ht="42" customHeight="1">
      <x:c r="A185" s="15" t="str">
        <x:v>FE-178</x:v>
      </x:c>
      <x:c r="B185" s="13" t="str">
        <x:v>PANTALLA</x:v>
      </x:c>
      <x:c r="C185" s="13" t="str">
        <x:v>/app/strategy/qra-run-evidence</x:v>
      </x:c>
      <x:c r="D185" s="13" t="str">
        <x:v>USER</x:v>
      </x:c>
      <x:c r="E185" s="13" t="str">
        <x:v>frontend/src/features/qra-engine/QraEngineWorkspace.tsx</x:v>
      </x:c>
      <x:c r="F185" s="13" t="str">
        <x:v>Business Case &amp; Investment Development &gt; QRA &gt; Evidence / Traceability</x:v>
      </x:c>
      <x:c r="G185" s="13" t="str">
        <x:v>authenticated</x:v>
      </x:c>
      <x:c r="H185" s="13" t="str">
        <x:v>RENDERER_REGISTERED</x:v>
      </x:c>
      <x:c r="I185" s="13" t="str">
        <x:v>qra-run-evidence</x:v>
      </x:c>
      <x:c r="J185" s="13" t="str">
        <x:v>USER_TRANSACTION. STATIC_METADATA_NOT_BUSINESS_UAT</x:v>
      </x:c>
    </x:row>
    <x:row r="186" ht="42" customHeight="1">
      <x:c r="A186" s="14" t="str">
        <x:v>FE-179</x:v>
      </x:c>
      <x:c r="B186" s="6" t="str">
        <x:v>PANTALLA</x:v>
      </x:c>
      <x:c r="C186" s="6" t="str">
        <x:v>/app/strategy/qra-run-comparison</x:v>
      </x:c>
      <x:c r="D186" s="6" t="str">
        <x:v>USER</x:v>
      </x:c>
      <x:c r="E186" s="6" t="str">
        <x:v>frontend/src/features/qra-engine/QraEngineWorkspace.tsx</x:v>
      </x:c>
      <x:c r="F186" s="6" t="str">
        <x:v>Business Case &amp; Investment Development &gt; QRA &gt; Run Comparison</x:v>
      </x:c>
      <x:c r="G186" s="6" t="str">
        <x:v>authenticated</x:v>
      </x:c>
      <x:c r="H186" s="6" t="str">
        <x:v>RENDERER_REGISTERED</x:v>
      </x:c>
      <x:c r="I186" s="6" t="str">
        <x:v>qra-run-comparison</x:v>
      </x:c>
      <x:c r="J186" s="6" t="str">
        <x:v>USER_TRANSACTION. STATIC_METADATA_NOT_BUSINESS_UAT</x:v>
      </x:c>
    </x:row>
    <x:row r="187" ht="42" customHeight="1">
      <x:c r="A187" s="15" t="str">
        <x:v>FE-180</x:v>
      </x:c>
      <x:c r="B187" s="13" t="str">
        <x:v>PANTALLA</x:v>
      </x:c>
      <x:c r="C187" s="13" t="str">
        <x:v>/app/strategy/qra-run-history</x:v>
      </x:c>
      <x:c r="D187" s="13" t="str">
        <x:v>USER</x:v>
      </x:c>
      <x:c r="E187" s="13" t="str">
        <x:v>frontend/src/features/qra-engine/QraEngineWorkspace.tsx</x:v>
      </x:c>
      <x:c r="F187" s="13" t="str">
        <x:v>Business Case &amp; Investment Development &gt; QRA &gt; Run History</x:v>
      </x:c>
      <x:c r="G187" s="13" t="str">
        <x:v>authenticated</x:v>
      </x:c>
      <x:c r="H187" s="13" t="str">
        <x:v>RENDERER_REGISTERED</x:v>
      </x:c>
      <x:c r="I187" s="13" t="str">
        <x:v>qra-run-history</x:v>
      </x:c>
      <x:c r="J187" s="13" t="str">
        <x:v>USER_TRANSACTION. STATIC_METADATA_NOT_BUSINESS_UAT</x:v>
      </x:c>
    </x:row>
    <x:row r="188" ht="42" customHeight="1">
      <x:c r="A188" s="14" t="str">
        <x:v>FE-181</x:v>
      </x:c>
      <x:c r="B188" s="6" t="str">
        <x:v>PANTALLA</x:v>
      </x:c>
      <x:c r="C188" s="6" t="str">
        <x:v>/app/strategy/investment-gate-preparation</x:v>
      </x:c>
      <x:c r="D188" s="6" t="str">
        <x:v>USER</x:v>
      </x:c>
      <x:c r="E188" s="6" t="str">
        <x:v>frontend/src/features/investment-gate-preparation/InvestmentGatePreparationWorkspace.tsx</x:v>
      </x:c>
      <x:c r="F188" s="6" t="str">
        <x:v>Investment Governance &gt; Investment Gate Preparation</x:v>
      </x:c>
      <x:c r="G188" s="6" t="str">
        <x:v>authenticated</x:v>
      </x:c>
      <x:c r="H188" s="6" t="str">
        <x:v>RENDERER_REGISTERED</x:v>
      </x:c>
      <x:c r="I188" s="6" t="str">
        <x:v>investment-gate-preparation</x:v>
      </x:c>
      <x:c r="J188" s="6" t="str">
        <x:v>USER_TRANSACTION. STATIC_METADATA_NOT_BUSINESS_UAT</x:v>
      </x:c>
    </x:row>
    <x:row r="189" ht="42" customHeight="1">
      <x:c r="A189" s="15" t="str">
        <x:v>FE-182</x:v>
      </x:c>
      <x:c r="B189" s="13" t="str">
        <x:v>PANTALLA</x:v>
      </x:c>
      <x:c r="C189" s="13" t="str">
        <x:v>/app/strategy/investment-decision-queue</x:v>
      </x:c>
      <x:c r="D189" s="13" t="str">
        <x:v>USER</x:v>
      </x:c>
      <x:c r="E189" s="13" t="str">
        <x:v>frontend/src/features/investment-decision/InvestmentDecisionWorkspace.tsx</x:v>
      </x:c>
      <x:c r="F189" s="13" t="str">
        <x:v>Investment Governance &gt; Investment Decision / FID &gt; Decision Queue</x:v>
      </x:c>
      <x:c r="G189" s="13" t="str">
        <x:v>authenticated</x:v>
      </x:c>
      <x:c r="H189" s="13" t="str">
        <x:v>RENDERER_REGISTERED</x:v>
      </x:c>
      <x:c r="I189" s="13" t="str">
        <x:v>investment-decision-queue</x:v>
      </x:c>
      <x:c r="J189" s="13" t="str">
        <x:v>USER_TRANSACTION. STATIC_METADATA_NOT_BUSINESS_UAT</x:v>
      </x:c>
    </x:row>
    <x:row r="190" ht="42" customHeight="1">
      <x:c r="A190" s="14" t="str">
        <x:v>FE-183</x:v>
      </x:c>
      <x:c r="B190" s="6" t="str">
        <x:v>PANTALLA</x:v>
      </x:c>
      <x:c r="C190" s="6" t="str">
        <x:v>/app/strategy/investment-decision-mine</x:v>
      </x:c>
      <x:c r="D190" s="6" t="str">
        <x:v>USER</x:v>
      </x:c>
      <x:c r="E190" s="6" t="str">
        <x:v>frontend/src/features/investment-decision/InvestmentDecisionWorkspace.tsx</x:v>
      </x:c>
      <x:c r="F190" s="6" t="str">
        <x:v>Investment Governance &gt; Investment Decision / FID &gt; My Decisions</x:v>
      </x:c>
      <x:c r="G190" s="6" t="str">
        <x:v>authenticated</x:v>
      </x:c>
      <x:c r="H190" s="6" t="str">
        <x:v>RENDERER_REGISTERED</x:v>
      </x:c>
      <x:c r="I190" s="6" t="str">
        <x:v>investment-decision-mine</x:v>
      </x:c>
      <x:c r="J190" s="6" t="str">
        <x:v>USER_TRANSACTION. STATIC_METADATA_NOT_BUSINESS_UAT</x:v>
      </x:c>
    </x:row>
    <x:row r="191" ht="53" customHeight="1">
      <x:c r="A191" s="15" t="str">
        <x:v>FE-184</x:v>
      </x:c>
      <x:c r="B191" s="13" t="str">
        <x:v>PANTALLA</x:v>
      </x:c>
      <x:c r="C191" s="13" t="str">
        <x:v>/app/strategy/investment-decision-package</x:v>
      </x:c>
      <x:c r="D191" s="13" t="str">
        <x:v>USER</x:v>
      </x:c>
      <x:c r="E191" s="13" t="str">
        <x:v>frontend/src/features/investment-decision/InvestmentDecisionWorkspace.tsx</x:v>
      </x:c>
      <x:c r="F191" s="13" t="str">
        <x:v>Investment Governance &gt; Investment Decision / FID &gt; Investment Decision Package</x:v>
      </x:c>
      <x:c r="G191" s="13" t="str">
        <x:v>authenticated</x:v>
      </x:c>
      <x:c r="H191" s="13" t="str">
        <x:v>RENDERER_REGISTERED</x:v>
      </x:c>
      <x:c r="I191" s="13" t="str">
        <x:v>investment-decision-package</x:v>
      </x:c>
      <x:c r="J191" s="13" t="str">
        <x:v>USER_TRANSACTION. STATIC_METADATA_NOT_BUSINESS_UAT</x:v>
      </x:c>
    </x:row>
    <x:row r="192" ht="42" customHeight="1">
      <x:c r="A192" s="14" t="str">
        <x:v>FE-185</x:v>
      </x:c>
      <x:c r="B192" s="6" t="str">
        <x:v>PANTALLA</x:v>
      </x:c>
      <x:c r="C192" s="6" t="str">
        <x:v>/app/strategy/investment-decision-evidence</x:v>
      </x:c>
      <x:c r="D192" s="6" t="str">
        <x:v>USER</x:v>
      </x:c>
      <x:c r="E192" s="6" t="str">
        <x:v>frontend/src/features/investment-decision/InvestmentDecisionWorkspace.tsx</x:v>
      </x:c>
      <x:c r="F192" s="6" t="str">
        <x:v>Investment Governance &gt; Investment Decision / FID &gt; Evidence Summary</x:v>
      </x:c>
      <x:c r="G192" s="6" t="str">
        <x:v>authenticated</x:v>
      </x:c>
      <x:c r="H192" s="6" t="str">
        <x:v>RENDERER_REGISTERED</x:v>
      </x:c>
      <x:c r="I192" s="6" t="str">
        <x:v>investment-decision-evidence</x:v>
      </x:c>
      <x:c r="J192" s="6" t="str">
        <x:v>USER_TRANSACTION. STATIC_METADATA_NOT_BUSINESS_UAT</x:v>
      </x:c>
    </x:row>
    <x:row r="193" ht="42" customHeight="1">
      <x:c r="A193" s="15" t="str">
        <x:v>FE-186</x:v>
      </x:c>
      <x:c r="B193" s="13" t="str">
        <x:v>PANTALLA</x:v>
      </x:c>
      <x:c r="C193" s="13" t="str">
        <x:v>/app/strategy/investment-decision-checklist</x:v>
      </x:c>
      <x:c r="D193" s="13" t="str">
        <x:v>USER</x:v>
      </x:c>
      <x:c r="E193" s="13" t="str">
        <x:v>frontend/src/features/investment-decision/InvestmentDecisionWorkspace.tsx</x:v>
      </x:c>
      <x:c r="F193" s="13" t="str">
        <x:v>Investment Governance &gt; Investment Decision / FID &gt; Decision Checklist</x:v>
      </x:c>
      <x:c r="G193" s="13" t="str">
        <x:v>authenticated</x:v>
      </x:c>
      <x:c r="H193" s="13" t="str">
        <x:v>RENDERER_REGISTERED</x:v>
      </x:c>
      <x:c r="I193" s="13" t="str">
        <x:v>investment-decision-checklist</x:v>
      </x:c>
      <x:c r="J193" s="13" t="str">
        <x:v>USER_TRANSACTION. STATIC_METADATA_NOT_BUSINESS_UAT</x:v>
      </x:c>
    </x:row>
    <x:row r="194" ht="42" customHeight="1">
      <x:c r="A194" s="14" t="str">
        <x:v>FE-187</x:v>
      </x:c>
      <x:c r="B194" s="6" t="str">
        <x:v>PANTALLA</x:v>
      </x:c>
      <x:c r="C194" s="6" t="str">
        <x:v>/app/strategy/investment-decision-conditions</x:v>
      </x:c>
      <x:c r="D194" s="6" t="str">
        <x:v>USER</x:v>
      </x:c>
      <x:c r="E194" s="6" t="str">
        <x:v>frontend/src/features/investment-decision/InvestmentDecisionWorkspace.tsx</x:v>
      </x:c>
      <x:c r="F194" s="6" t="str">
        <x:v>Investment Governance &gt; Investment Decision / FID &gt; Conditions</x:v>
      </x:c>
      <x:c r="G194" s="6" t="str">
        <x:v>authenticated</x:v>
      </x:c>
      <x:c r="H194" s="6" t="str">
        <x:v>RENDERER_REGISTERED</x:v>
      </x:c>
      <x:c r="I194" s="6" t="str">
        <x:v>investment-decision-conditions</x:v>
      </x:c>
      <x:c r="J194" s="6" t="str">
        <x:v>USER_TRANSACTION. STATIC_METADATA_NOT_BUSINESS_UAT</x:v>
      </x:c>
    </x:row>
    <x:row r="195" ht="42" customHeight="1">
      <x:c r="A195" s="15" t="str">
        <x:v>FE-188</x:v>
      </x:c>
      <x:c r="B195" s="13" t="str">
        <x:v>PANTALLA</x:v>
      </x:c>
      <x:c r="C195" s="13" t="str">
        <x:v>/app/strategy/investment-decision-committee</x:v>
      </x:c>
      <x:c r="D195" s="13" t="str">
        <x:v>USER</x:v>
      </x:c>
      <x:c r="E195" s="13" t="str">
        <x:v>frontend/src/features/investment-decision/InvestmentDecisionWorkspace.tsx</x:v>
      </x:c>
      <x:c r="F195" s="13" t="str">
        <x:v>Investment Governance &gt; Investment Decision / FID &gt; Committee / Votes</x:v>
      </x:c>
      <x:c r="G195" s="13" t="str">
        <x:v>authenticated</x:v>
      </x:c>
      <x:c r="H195" s="13" t="str">
        <x:v>RENDERER_REGISTERED</x:v>
      </x:c>
      <x:c r="I195" s="13" t="str">
        <x:v>investment-decision-committee</x:v>
      </x:c>
      <x:c r="J195" s="13" t="str">
        <x:v>USER_TRANSACTION. STATIC_METADATA_NOT_BUSINESS_UAT</x:v>
      </x:c>
    </x:row>
    <x:row r="196" ht="42" customHeight="1">
      <x:c r="A196" s="14" t="str">
        <x:v>FE-189</x:v>
      </x:c>
      <x:c r="B196" s="6" t="str">
        <x:v>PANTALLA</x:v>
      </x:c>
      <x:c r="C196" s="6" t="str">
        <x:v>/app/strategy/investment-decision-history</x:v>
      </x:c>
      <x:c r="D196" s="6" t="str">
        <x:v>USER</x:v>
      </x:c>
      <x:c r="E196" s="6" t="str">
        <x:v>frontend/src/features/investment-decision/InvestmentDecisionWorkspace.tsx</x:v>
      </x:c>
      <x:c r="F196" s="6" t="str">
        <x:v>Investment Governance &gt; Investment Decision / FID &gt; Decision History</x:v>
      </x:c>
      <x:c r="G196" s="6" t="str">
        <x:v>authenticated</x:v>
      </x:c>
      <x:c r="H196" s="6" t="str">
        <x:v>RENDERER_REGISTERED</x:v>
      </x:c>
      <x:c r="I196" s="6" t="str">
        <x:v>investment-decision-history</x:v>
      </x:c>
      <x:c r="J196" s="6" t="str">
        <x:v>USER_TRANSACTION. STATIC_METADATA_NOT_BUSINESS_UAT</x:v>
      </x:c>
    </x:row>
    <x:row r="197" ht="42" customHeight="1">
      <x:c r="A197" s="15" t="str">
        <x:v>FE-190</x:v>
      </x:c>
      <x:c r="B197" s="13" t="str">
        <x:v>PANTALLA</x:v>
      </x:c>
      <x:c r="C197" s="13" t="str">
        <x:v>/app/strategy/investment-decision-output</x:v>
      </x:c>
      <x:c r="D197" s="13" t="str">
        <x:v>USER</x:v>
      </x:c>
      <x:c r="E197" s="13" t="str">
        <x:v>frontend/src/features/investment-decision/InvestmentDecisionWorkspace.tsx</x:v>
      </x:c>
      <x:c r="F197" s="13" t="str">
        <x:v>Investment Governance &gt; Investment Decision / FID &gt; Authorization Output</x:v>
      </x:c>
      <x:c r="G197" s="13" t="str">
        <x:v>authenticated</x:v>
      </x:c>
      <x:c r="H197" s="13" t="str">
        <x:v>RENDERER_REGISTERED</x:v>
      </x:c>
      <x:c r="I197" s="13" t="str">
        <x:v>investment-decision-output</x:v>
      </x:c>
      <x:c r="J197" s="13" t="str">
        <x:v>USER_TRANSACTION. STATIC_METADATA_NOT_BUSINESS_UAT</x:v>
      </x:c>
    </x:row>
    <x:row r="198" ht="42" customHeight="1">
      <x:c r="A198" s="14" t="str">
        <x:v>FE-191</x:v>
      </x:c>
      <x:c r="B198" s="6" t="str">
        <x:v>PANTALLA</x:v>
      </x:c>
      <x:c r="C198" s="6" t="str">
        <x:v>/app/strategy/post-fid-queue</x:v>
      </x:c>
      <x:c r="D198" s="6" t="str">
        <x:v>USER</x:v>
      </x:c>
      <x:c r="E198" s="6" t="str">
        <x:v>frontend/src/features/post-fid-governance/PostFIDGovernanceWorkspace.tsx</x:v>
      </x:c>
      <x:c r="F198" s="6" t="str">
        <x:v>Investment Governance &gt; Post-FID Project Governance &gt; Post-FID Queue</x:v>
      </x:c>
      <x:c r="G198" s="6" t="str">
        <x:v>authenticated</x:v>
      </x:c>
      <x:c r="H198" s="6" t="str">
        <x:v>RENDERER_REGISTERED</x:v>
      </x:c>
      <x:c r="I198" s="6" t="str">
        <x:v>post-fid-queue</x:v>
      </x:c>
      <x:c r="J198" s="6" t="str">
        <x:v>USER_TRANSACTION. STATIC_METADATA_NOT_BUSINESS_UAT</x:v>
      </x:c>
    </x:row>
    <x:row r="199" ht="42" customHeight="1">
      <x:c r="A199" s="15" t="str">
        <x:v>FE-192</x:v>
      </x:c>
      <x:c r="B199" s="13" t="str">
        <x:v>PANTALLA</x:v>
      </x:c>
      <x:c r="C199" s="13" t="str">
        <x:v>/app/strategy/post-fid-handoff</x:v>
      </x:c>
      <x:c r="D199" s="13" t="str">
        <x:v>USER</x:v>
      </x:c>
      <x:c r="E199" s="13" t="str">
        <x:v>frontend/src/features/post-fid-governance/PostFIDGovernanceWorkspace.tsx</x:v>
      </x:c>
      <x:c r="F199" s="13" t="str">
        <x:v>Investment Governance &gt; Post-FID Project Governance &gt; FID Handoff</x:v>
      </x:c>
      <x:c r="G199" s="13" t="str">
        <x:v>authenticated</x:v>
      </x:c>
      <x:c r="H199" s="13" t="str">
        <x:v>RENDERER_REGISTERED</x:v>
      </x:c>
      <x:c r="I199" s="13" t="str">
        <x:v>post-fid-handoff</x:v>
      </x:c>
      <x:c r="J199" s="13" t="str">
        <x:v>USER_TRANSACTION. STATIC_METADATA_NOT_BUSINESS_UAT</x:v>
      </x:c>
    </x:row>
    <x:row r="200" ht="53" customHeight="1">
      <x:c r="A200" s="14" t="str">
        <x:v>FE-193</x:v>
      </x:c>
      <x:c r="B200" s="6" t="str">
        <x:v>PANTALLA</x:v>
      </x:c>
      <x:c r="C200" s="6" t="str">
        <x:v>/app/strategy/post-fid-eligibility-matrix</x:v>
      </x:c>
      <x:c r="D200" s="6" t="str">
        <x:v>USER</x:v>
      </x:c>
      <x:c r="E200" s="6" t="str">
        <x:v>frontend/src/features/post-fid-governance/PostFIDGovernanceWorkspace.tsx</x:v>
      </x:c>
      <x:c r="F200" s="6" t="str">
        <x:v>Investment Governance &gt; Post-FID Project Governance &gt; Project Eligibility Matrix</x:v>
      </x:c>
      <x:c r="G200" s="6" t="str">
        <x:v>authenticated</x:v>
      </x:c>
      <x:c r="H200" s="6" t="str">
        <x:v>RENDERER_REGISTERED</x:v>
      </x:c>
      <x:c r="I200" s="6" t="str">
        <x:v>post-fid-eligibility-matrix</x:v>
      </x:c>
      <x:c r="J200" s="6" t="str">
        <x:v>USER_TRANSACTION. STATIC_METADATA_NOT_BUSINESS_UAT</x:v>
      </x:c>
    </x:row>
    <x:row r="201" ht="42" customHeight="1">
      <x:c r="A201" s="15" t="str">
        <x:v>FE-194</x:v>
      </x:c>
      <x:c r="B201" s="13" t="str">
        <x:v>PANTALLA</x:v>
      </x:c>
      <x:c r="C201" s="13" t="str">
        <x:v>/app/strategy/post-fid-conditions</x:v>
      </x:c>
      <x:c r="D201" s="13" t="str">
        <x:v>USER</x:v>
      </x:c>
      <x:c r="E201" s="13" t="str">
        <x:v>frontend/src/features/post-fid-governance/PostFIDGovernanceWorkspace.tsx</x:v>
      </x:c>
      <x:c r="F201" s="13" t="str">
        <x:v>Investment Governance &gt; Post-FID Project Governance &gt; Post-FID Conditions</x:v>
      </x:c>
      <x:c r="G201" s="13" t="str">
        <x:v>authenticated</x:v>
      </x:c>
      <x:c r="H201" s="13" t="str">
        <x:v>RENDERER_REGISTERED</x:v>
      </x:c>
      <x:c r="I201" s="13" t="str">
        <x:v>post-fid-conditions</x:v>
      </x:c>
      <x:c r="J201" s="13" t="str">
        <x:v>USER_TRANSACTION. STATIC_METADATA_NOT_BUSINESS_UAT</x:v>
      </x:c>
    </x:row>
    <x:row r="202" ht="42" customHeight="1">
      <x:c r="A202" s="14" t="str">
        <x:v>FE-195</x:v>
      </x:c>
      <x:c r="B202" s="6" t="str">
        <x:v>PANTALLA</x:v>
      </x:c>
      <x:c r="C202" s="6" t="str">
        <x:v>/app/strategy/post-fid-initialization-handoff</x:v>
      </x:c>
      <x:c r="D202" s="6" t="str">
        <x:v>USER</x:v>
      </x:c>
      <x:c r="E202" s="6" t="str">
        <x:v>frontend/src/features/post-fid-governance/PostFIDGovernanceWorkspace.tsx</x:v>
      </x:c>
      <x:c r="F202" s="6" t="str">
        <x:v>Investment Governance &gt; Post-FID Project Governance &gt; Initialization Handoff</x:v>
      </x:c>
      <x:c r="G202" s="6" t="str">
        <x:v>authenticated</x:v>
      </x:c>
      <x:c r="H202" s="6" t="str">
        <x:v>RENDERER_REGISTERED</x:v>
      </x:c>
      <x:c r="I202" s="6" t="str">
        <x:v>post-fid-initialization-handoff</x:v>
      </x:c>
      <x:c r="J202" s="6" t="str">
        <x:v>USER_TRANSACTION. STATIC_METADATA_NOT_BUSINESS_UAT</x:v>
      </x:c>
    </x:row>
    <x:row r="203" ht="42" customHeight="1">
      <x:c r="A203" s="15" t="str">
        <x:v>FE-196</x:v>
      </x:c>
      <x:c r="B203" s="13" t="str">
        <x:v>PANTALLA</x:v>
      </x:c>
      <x:c r="C203" s="13" t="str">
        <x:v>/app/strategy/post-fid-activation-handoff</x:v>
      </x:c>
      <x:c r="D203" s="13" t="str">
        <x:v>USER</x:v>
      </x:c>
      <x:c r="E203" s="13" t="str">
        <x:v>frontend/src/features/post-fid-governance/PostFIDGovernanceWorkspace.tsx</x:v>
      </x:c>
      <x:c r="F203" s="13" t="str">
        <x:v>Investment Governance &gt; Post-FID Project Governance &gt; Activation Handoff</x:v>
      </x:c>
      <x:c r="G203" s="13" t="str">
        <x:v>authenticated</x:v>
      </x:c>
      <x:c r="H203" s="13" t="str">
        <x:v>RENDERER_REGISTERED</x:v>
      </x:c>
      <x:c r="I203" s="13" t="str">
        <x:v>post-fid-activation-handoff</x:v>
      </x:c>
      <x:c r="J203" s="13" t="str">
        <x:v>USER_TRANSACTION. STATIC_METADATA_NOT_BUSINESS_UAT</x:v>
      </x:c>
    </x:row>
    <x:row r="204" ht="53" customHeight="1">
      <x:c r="A204" s="14" t="str">
        <x:v>FE-197</x:v>
      </x:c>
      <x:c r="B204" s="6" t="str">
        <x:v>PANTALLA</x:v>
      </x:c>
      <x:c r="C204" s="6" t="str">
        <x:v>/app/strategy/post-fid-history</x:v>
      </x:c>
      <x:c r="D204" s="6" t="str">
        <x:v>USER</x:v>
      </x:c>
      <x:c r="E204" s="6" t="str">
        <x:v>frontend/src/features/post-fid-governance/PostFIDGovernanceWorkspace.tsx</x:v>
      </x:c>
      <x:c r="F204" s="6" t="str">
        <x:v>Investment Governance &gt; Post-FID Project Governance &gt; Post-FID History / Audit</x:v>
      </x:c>
      <x:c r="G204" s="6" t="str">
        <x:v>authenticated</x:v>
      </x:c>
      <x:c r="H204" s="6" t="str">
        <x:v>RENDERER_REGISTERED</x:v>
      </x:c>
      <x:c r="I204" s="6" t="str">
        <x:v>post-fid-history</x:v>
      </x:c>
      <x:c r="J204" s="6" t="str">
        <x:v>USER_TRANSACTION. STATIC_METADATA_NOT_BUSINESS_UAT</x:v>
      </x:c>
    </x:row>
    <x:row r="205" ht="42" customHeight="1">
      <x:c r="A205" s="15" t="str">
        <x:v>API-1</x:v>
      </x:c>
      <x:c r="B205" s="13" t="str">
        <x:v>POST</x:v>
      </x:c>
      <x:c r="C205" s="13" t="str">
        <x:v>/api/v1/admin-configuration/configurations</x:v>
      </x:c>
      <x:c r="D205" s="13" t="str">
        <x:v>ADMIN MODE</x:v>
      </x:c>
      <x:c r="E205" s="13" t="str">
        <x:v>admin_configuration</x:v>
      </x:c>
      <x:c r="F205" s="13" t="str">
        <x:v>create configuration</x:v>
      </x:c>
      <x:c r="G205" s="13" t="str">
        <x:v>can_configure</x:v>
      </x:c>
      <x:c r="H205" s="13" t="str">
        <x:v>LIVE_ROUTER_REGISTERED</x:v>
      </x:c>
      <x:c r="I205" s="13" t="str">
        <x:v>frontend/src/api/adminConfiguration.ts</x:v>
      </x:c>
      <x:c r="J205" s="13" t="str">
        <x:v>NOT_EXECUTED_BY_INVENTORY. SOURCE_LITERAL_OR_TRANSITIVE_HELPER_UNION</x:v>
      </x:c>
    </x:row>
    <x:row r="206" ht="42" customHeight="1">
      <x:c r="A206" s="14" t="str">
        <x:v>API-2</x:v>
      </x:c>
      <x:c r="B206" s="6" t="str">
        <x:v>PATCH</x:v>
      </x:c>
      <x:c r="C206" s="6" t="str">
        <x:v>/api/v1/admin-configuration/configurations/{configuration_id}</x:v>
      </x:c>
      <x:c r="D206" s="6" t="str">
        <x:v>ADMIN MODE</x:v>
      </x:c>
      <x:c r="E206" s="6" t="str">
        <x:v>admin_configuration</x:v>
      </x:c>
      <x:c r="F206" s="6" t="str">
        <x:v>update configuration</x:v>
      </x:c>
      <x:c r="G206" s="6" t="str">
        <x:v>can_configure</x:v>
      </x:c>
      <x:c r="H206" s="6" t="str">
        <x:v>LIVE_ROUTER_REGISTERED</x:v>
      </x:c>
      <x:c r="I206" s="6" t="str">
        <x:v>NO_DIRECT_LITERAL_MATCH_NOT_PROOF_UNUSED</x:v>
      </x:c>
      <x:c r="J206" s="6" t="str">
        <x:v>NOT_EXECUTED_BY_INVENTORY. SOURCE_LITERAL_OR_TRANSITIVE_HELPER_UNION</x:v>
      </x:c>
    </x:row>
    <x:row r="207" ht="42" customHeight="1">
      <x:c r="A207" s="15" t="str">
        <x:v>API-3</x:v>
      </x:c>
      <x:c r="B207" s="13" t="str">
        <x:v>POST</x:v>
      </x:c>
      <x:c r="C207" s="13" t="str">
        <x:v>/api/v1/admin-configuration/configurations/{configuration_id}/clone</x:v>
      </x:c>
      <x:c r="D207" s="13" t="str">
        <x:v>ADMIN MODE</x:v>
      </x:c>
      <x:c r="E207" s="13" t="str">
        <x:v>admin_configuration</x:v>
      </x:c>
      <x:c r="F207" s="13" t="str">
        <x:v>clone configuration</x:v>
      </x:c>
      <x:c r="G207" s="13" t="str">
        <x:v>can_configure</x:v>
      </x:c>
      <x:c r="H207" s="13" t="str">
        <x:v>LIVE_ROUTER_REGISTERED</x:v>
      </x:c>
      <x:c r="I207" s="13" t="str">
        <x:v>frontend/src/api/adminConfiguration.ts</x:v>
      </x:c>
      <x:c r="J207" s="13" t="str">
        <x:v>NOT_EXECUTED_BY_INVENTORY. SOURCE_LITERAL_OR_TRANSITIVE_HELPER_UNION</x:v>
      </x:c>
    </x:row>
    <x:row r="208" ht="42" customHeight="1">
      <x:c r="A208" s="14" t="str">
        <x:v>API-4</x:v>
      </x:c>
      <x:c r="B208" s="6" t="str">
        <x:v>POST</x:v>
      </x:c>
      <x:c r="C208" s="6" t="str">
        <x:v>/api/v1/admin-configuration/configurations/{configuration_id}/publish</x:v>
      </x:c>
      <x:c r="D208" s="6" t="str">
        <x:v>ADMIN MODE</x:v>
      </x:c>
      <x:c r="E208" s="6" t="str">
        <x:v>admin_configuration</x:v>
      </x:c>
      <x:c r="F208" s="6" t="str">
        <x:v>publish configuration</x:v>
      </x:c>
      <x:c r="G208" s="6" t="str">
        <x:v>can_configure</x:v>
      </x:c>
      <x:c r="H208" s="6" t="str">
        <x:v>LIVE_ROUTER_REGISTERED</x:v>
      </x:c>
      <x:c r="I208" s="6" t="str">
        <x:v>frontend/src/api/adminConfiguration.ts</x:v>
      </x:c>
      <x:c r="J208" s="6" t="str">
        <x:v>NOT_EXECUTED_BY_INVENTORY. SOURCE_LITERAL_OR_TRANSITIVE_HELPER_UNION</x:v>
      </x:c>
    </x:row>
    <x:row r="209" ht="42" customHeight="1">
      <x:c r="A209" s="15" t="str">
        <x:v>API-5</x:v>
      </x:c>
      <x:c r="B209" s="13" t="str">
        <x:v>POST</x:v>
      </x:c>
      <x:c r="C209" s="13" t="str">
        <x:v>/api/v1/admin-configuration/numbering/{rule_code}/next</x:v>
      </x:c>
      <x:c r="D209" s="13" t="str">
        <x:v>ADMIN MODE</x:v>
      </x:c>
      <x:c r="E209" s="13" t="str">
        <x:v>admin_configuration</x:v>
      </x:c>
      <x:c r="F209" s="13" t="str">
        <x:v>issue number</x:v>
      </x:c>
      <x:c r="G209" s="13" t="str">
        <x:v>can_configure</x:v>
      </x:c>
      <x:c r="H209" s="13" t="str">
        <x:v>LIVE_ROUTER_REGISTERED</x:v>
      </x:c>
      <x:c r="I209" s="13" t="str">
        <x:v>frontend/src/api/adminConfiguration.ts</x:v>
      </x:c>
      <x:c r="J209" s="13" t="str">
        <x:v>NOT_EXECUTED_BY_INVENTORY. SOURCE_LITERAL_OR_TRANSITIVE_HELPER_UNION</x:v>
      </x:c>
    </x:row>
    <x:row r="210" ht="42" customHeight="1">
      <x:c r="A210" s="14" t="str">
        <x:v>API-6</x:v>
      </x:c>
      <x:c r="B210" s="6" t="str">
        <x:v>POST</x:v>
      </x:c>
      <x:c r="C210" s="6" t="str">
        <x:v>/api/v1/admin-configuration/numbering/{rule_code}/preview</x:v>
      </x:c>
      <x:c r="D210" s="6" t="str">
        <x:v>ADMIN MODE</x:v>
      </x:c>
      <x:c r="E210" s="6" t="str">
        <x:v>admin_configuration</x:v>
      </x:c>
      <x:c r="F210" s="6" t="str">
        <x:v>preview number</x:v>
      </x:c>
      <x:c r="G210" s="6" t="str">
        <x:v>can_configure</x:v>
      </x:c>
      <x:c r="H210" s="6" t="str">
        <x:v>LIVE_ROUTER_REGISTERED</x:v>
      </x:c>
      <x:c r="I210" s="6" t="str">
        <x:v>frontend/src/api/adminConfiguration.ts</x:v>
      </x:c>
      <x:c r="J210" s="6" t="str">
        <x:v>NOT_EXECUTED_BY_INVENTORY. SOURCE_LITERAL_OR_TRANSITIVE_HELPER_UNION</x:v>
      </x:c>
    </x:row>
    <x:row r="211" ht="42" customHeight="1">
      <x:c r="A211" s="15" t="str">
        <x:v>API-7</x:v>
      </x:c>
      <x:c r="B211" s="13" t="str">
        <x:v>GET</x:v>
      </x:c>
      <x:c r="C211" s="13" t="str">
        <x:v>/api/v1/admin-configuration/overview</x:v>
      </x:c>
      <x:c r="D211" s="13" t="str">
        <x:v>ADMIN MODE</x:v>
      </x:c>
      <x:c r="E211" s="13" t="str">
        <x:v>admin_configuration</x:v>
      </x:c>
      <x:c r="F211" s="13" t="str">
        <x:v>overview</x:v>
      </x:c>
      <x:c r="G211" s="13" t="str">
        <x:v>can_configure</x:v>
      </x:c>
      <x:c r="H211" s="13" t="str">
        <x:v>LIVE_ROUTER_REGISTERED</x:v>
      </x:c>
      <x:c r="I211" s="13" t="str">
        <x:v>frontend/src/api/adminConfiguration.ts</x:v>
      </x:c>
      <x:c r="J211" s="13" t="str">
        <x:v>NOT_EXECUTED_BY_INVENTORY. SOURCE_LITERAL_OR_TRANSITIVE_HELPER_UNION</x:v>
      </x:c>
    </x:row>
    <x:row r="212" ht="42" customHeight="1">
      <x:c r="A212" s="14" t="str">
        <x:v>API-8</x:v>
      </x:c>
      <x:c r="B212" s="6" t="str">
        <x:v>POST</x:v>
      </x:c>
      <x:c r="C212" s="6" t="str">
        <x:v>/api/v1/admin-configuration/workspaces</x:v>
      </x:c>
      <x:c r="D212" s="6" t="str">
        <x:v>ADMIN MODE</x:v>
      </x:c>
      <x:c r="E212" s="6" t="str">
        <x:v>admin_configuration</x:v>
      </x:c>
      <x:c r="F212" s="6" t="str">
        <x:v>create workspace</x:v>
      </x:c>
      <x:c r="G212" s="6" t="str">
        <x:v>can_configure</x:v>
      </x:c>
      <x:c r="H212" s="6" t="str">
        <x:v>LIVE_ROUTER_REGISTERED</x:v>
      </x:c>
      <x:c r="I212" s="6" t="str">
        <x:v>frontend/src/api/adminConfiguration.ts</x:v>
      </x:c>
      <x:c r="J212" s="6" t="str">
        <x:v>NOT_EXECUTED_BY_INVENTORY. SOURCE_LITERAL_OR_TRANSITIVE_HELPER_UNION</x:v>
      </x:c>
    </x:row>
    <x:row r="213" ht="42" customHeight="1">
      <x:c r="A213" s="15" t="str">
        <x:v>API-9</x:v>
      </x:c>
      <x:c r="B213" s="13" t="str">
        <x:v>PATCH</x:v>
      </x:c>
      <x:c r="C213" s="13" t="str">
        <x:v>/api/v1/admin-configuration/workspaces/{workspace_id}</x:v>
      </x:c>
      <x:c r="D213" s="13" t="str">
        <x:v>ADMIN MODE</x:v>
      </x:c>
      <x:c r="E213" s="13" t="str">
        <x:v>admin_configuration</x:v>
      </x:c>
      <x:c r="F213" s="13" t="str">
        <x:v>update workspace</x:v>
      </x:c>
      <x:c r="G213" s="13" t="str">
        <x:v>can_configure</x:v>
      </x:c>
      <x:c r="H213" s="13" t="str">
        <x:v>LIVE_ROUTER_REGISTERED</x:v>
      </x:c>
      <x:c r="I213" s="13" t="str">
        <x:v>NO_DIRECT_LITERAL_MATCH_NOT_PROOF_UNUSED</x:v>
      </x:c>
      <x:c r="J213" s="13" t="str">
        <x:v>NOT_EXECUTED_BY_INVENTORY. SOURCE_LITERAL_OR_TRANSITIVE_HELPER_UNION</x:v>
      </x:c>
    </x:row>
    <x:row r="214" ht="42" customHeight="1">
      <x:c r="A214" s="14" t="str">
        <x:v>API-10</x:v>
      </x:c>
      <x:c r="B214" s="6" t="str">
        <x:v>PUT</x:v>
      </x:c>
      <x:c r="C214" s="6" t="str">
        <x:v>/api/v1/admin-configuration/workspaces/{workspace_id}/defaults</x:v>
      </x:c>
      <x:c r="D214" s="6" t="str">
        <x:v>ADMIN MODE</x:v>
      </x:c>
      <x:c r="E214" s="6" t="str">
        <x:v>admin_configuration</x:v>
      </x:c>
      <x:c r="F214" s="6" t="str">
        <x:v>update workspace defaults</x:v>
      </x:c>
      <x:c r="G214" s="6" t="str">
        <x:v>can_configure</x:v>
      </x:c>
      <x:c r="H214" s="6" t="str">
        <x:v>LIVE_ROUTER_REGISTERED</x:v>
      </x:c>
      <x:c r="I214" s="6" t="str">
        <x:v>frontend/src/api/adminConfiguration.ts</x:v>
      </x:c>
      <x:c r="J214" s="6" t="str">
        <x:v>NOT_EXECUTED_BY_INVENTORY. SOURCE_LITERAL_OR_TRANSITIVE_HELPER_UNION</x:v>
      </x:c>
    </x:row>
    <x:row r="215" ht="42" customHeight="1">
      <x:c r="A215" s="15" t="str">
        <x:v>API-11</x:v>
      </x:c>
      <x:c r="B215" s="13" t="str">
        <x:v>GET</x:v>
      </x:c>
      <x:c r="C215" s="13" t="str">
        <x:v>/api/v1/admin-configuration/workspaces/{workspace_id}/effective</x:v>
      </x:c>
      <x:c r="D215" s="13" t="str">
        <x:v>ADMIN MODE</x:v>
      </x:c>
      <x:c r="E215" s="13" t="str">
        <x:v>admin_configuration</x:v>
      </x:c>
      <x:c r="F215" s="13" t="str">
        <x:v>effective workspace configuration</x:v>
      </x:c>
      <x:c r="G215" s="13" t="str">
        <x:v>can_configure</x:v>
      </x:c>
      <x:c r="H215" s="13" t="str">
        <x:v>LIVE_ROUTER_REGISTERED</x:v>
      </x:c>
      <x:c r="I215" s="13" t="str">
        <x:v>frontend/src/api/adminConfiguration.ts</x:v>
      </x:c>
      <x:c r="J215" s="13" t="str">
        <x:v>NOT_EXECUTED_BY_INVENTORY. SOURCE_LITERAL_OR_TRANSITIVE_HELPER_UNION</x:v>
      </x:c>
    </x:row>
    <x:row r="216" ht="42" customHeight="1">
      <x:c r="A216" s="14" t="str">
        <x:v>API-12</x:v>
      </x:c>
      <x:c r="B216" s="6" t="str">
        <x:v>PUT</x:v>
      </x:c>
      <x:c r="C216" s="6" t="str">
        <x:v>/api/v1/admin-configuration/workspaces/{workspace_id}/modules/{module_key}</x:v>
      </x:c>
      <x:c r="D216" s="6" t="str">
        <x:v>ADMIN MODE</x:v>
      </x:c>
      <x:c r="E216" s="6" t="str">
        <x:v>admin_configuration</x:v>
      </x:c>
      <x:c r="F216" s="6" t="str">
        <x:v>set workspace module</x:v>
      </x:c>
      <x:c r="G216" s="6" t="str">
        <x:v>can_configure</x:v>
      </x:c>
      <x:c r="H216" s="6" t="str">
        <x:v>LIVE_ROUTER_REGISTERED</x:v>
      </x:c>
      <x:c r="I216" s="6" t="str">
        <x:v>frontend/src/api/adminConfiguration.ts</x:v>
      </x:c>
      <x:c r="J216" s="6" t="str">
        <x:v>NOT_EXECUTED_BY_INVENTORY. SOURCE_LITERAL_OR_TRANSITIVE_HELPER_UNION</x:v>
      </x:c>
    </x:row>
    <x:row r="217" ht="42" customHeight="1">
      <x:c r="A217" s="15" t="str">
        <x:v>API-13</x:v>
      </x:c>
      <x:c r="B217" s="13" t="str">
        <x:v>GET</x:v>
      </x:c>
      <x:c r="C217" s="13" t="str">
        <x:v>/api/v1/basic-data/admin/configurations</x:v>
      </x:c>
      <x:c r="D217" s="13" t="str">
        <x:v>ADMIN MODE</x:v>
      </x:c>
      <x:c r="E217" s="13" t="str">
        <x:v>basic_data</x:v>
      </x:c>
      <x:c r="F217" s="13" t="str">
        <x:v>configurations</x:v>
      </x:c>
      <x:c r="G217" s="13" t="str">
        <x:v>basic_data.admin.configure</x:v>
      </x:c>
      <x:c r="H217" s="13" t="str">
        <x:v>LIVE_ROUTER_REGISTERED</x:v>
      </x:c>
      <x:c r="I217" s="13" t="str">
        <x:v>NO_DIRECT_LITERAL_MATCH_NOT_PROOF_UNUSED</x:v>
      </x:c>
      <x:c r="J217" s="13" t="str">
        <x:v>NOT_EXECUTED_BY_INVENTORY. SOURCE_LITERAL_OR_TRANSITIVE_HELPER_UNION</x:v>
      </x:c>
    </x:row>
    <x:row r="218" ht="42" customHeight="1">
      <x:c r="A218" s="14" t="str">
        <x:v>API-14</x:v>
      </x:c>
      <x:c r="B218" s="6" t="str">
        <x:v>PUT</x:v>
      </x:c>
      <x:c r="C218" s="6" t="str">
        <x:v>/api/v1/basic-data/admin/configurations/{configuration_id}</x:v>
      </x:c>
      <x:c r="D218" s="6" t="str">
        <x:v>ADMIN MODE</x:v>
      </x:c>
      <x:c r="E218" s="6" t="str">
        <x:v>basic_data</x:v>
      </x:c>
      <x:c r="F218" s="6" t="str">
        <x:v>update configuration</x:v>
      </x:c>
      <x:c r="G218" s="6" t="str">
        <x:v>basic_data.admin.configure</x:v>
      </x:c>
      <x:c r="H218" s="6" t="str">
        <x:v>LIVE_ROUTER_REGISTERED</x:v>
      </x:c>
      <x:c r="I218" s="6" t="str">
        <x:v>NO_DIRECT_LITERAL_MATCH_NOT_PROOF_UNUSED</x:v>
      </x:c>
      <x:c r="J218" s="6" t="str">
        <x:v>NOT_EXECUTED_BY_INVENTORY. SOURCE_LITERAL_OR_TRANSITIVE_HELPER_UNION</x:v>
      </x:c>
    </x:row>
    <x:row r="219" ht="42" customHeight="1">
      <x:c r="A219" s="15" t="str">
        <x:v>API-15</x:v>
      </x:c>
      <x:c r="B219" s="13" t="str">
        <x:v>POST</x:v>
      </x:c>
      <x:c r="C219" s="13" t="str">
        <x:v>/api/v1/basic-data/admin/configurations/{configuration_id}/archive</x:v>
      </x:c>
      <x:c r="D219" s="13" t="str">
        <x:v>ADMIN MODE</x:v>
      </x:c>
      <x:c r="E219" s="13" t="str">
        <x:v>basic_data</x:v>
      </x:c>
      <x:c r="F219" s="13" t="str">
        <x:v>archive</x:v>
      </x:c>
      <x:c r="G219" s="13" t="str">
        <x:v>basic_data.admin.publish</x:v>
      </x:c>
      <x:c r="H219" s="13" t="str">
        <x:v>LIVE_ROUTER_REGISTERED</x:v>
      </x:c>
      <x:c r="I219" s="13" t="str">
        <x:v>NO_DIRECT_LITERAL_MATCH_NOT_PROOF_UNUSED</x:v>
      </x:c>
      <x:c r="J219" s="13" t="str">
        <x:v>NOT_EXECUTED_BY_INVENTORY. SOURCE_LITERAL_OR_TRANSITIVE_HELPER_UNION</x:v>
      </x:c>
    </x:row>
    <x:row r="220" ht="42" customHeight="1">
      <x:c r="A220" s="14" t="str">
        <x:v>API-16</x:v>
      </x:c>
      <x:c r="B220" s="6" t="str">
        <x:v>POST</x:v>
      </x:c>
      <x:c r="C220" s="6" t="str">
        <x:v>/api/v1/basic-data/admin/configurations/{configuration_id}/clone</x:v>
      </x:c>
      <x:c r="D220" s="6" t="str">
        <x:v>ADMIN MODE</x:v>
      </x:c>
      <x:c r="E220" s="6" t="str">
        <x:v>basic_data</x:v>
      </x:c>
      <x:c r="F220" s="6" t="str">
        <x:v>clone</x:v>
      </x:c>
      <x:c r="G220" s="6" t="str">
        <x:v>basic_data.admin.configure</x:v>
      </x:c>
      <x:c r="H220" s="6" t="str">
        <x:v>LIVE_ROUTER_REGISTERED</x:v>
      </x:c>
      <x:c r="I220" s="6" t="str">
        <x:v>NO_DIRECT_LITERAL_MATCH_NOT_PROOF_UNUSED</x:v>
      </x:c>
      <x:c r="J220" s="6" t="str">
        <x:v>NOT_EXECUTED_BY_INVENTORY. SOURCE_LITERAL_OR_TRANSITIVE_HELPER_UNION</x:v>
      </x:c>
    </x:row>
    <x:row r="221" ht="42" customHeight="1">
      <x:c r="A221" s="15" t="str">
        <x:v>API-17</x:v>
      </x:c>
      <x:c r="B221" s="13" t="str">
        <x:v>POST</x:v>
      </x:c>
      <x:c r="C221" s="13" t="str">
        <x:v>/api/v1/basic-data/admin/configurations/{configuration_id}/publish</x:v>
      </x:c>
      <x:c r="D221" s="13" t="str">
        <x:v>ADMIN MODE</x:v>
      </x:c>
      <x:c r="E221" s="13" t="str">
        <x:v>basic_data</x:v>
      </x:c>
      <x:c r="F221" s="13" t="str">
        <x:v>publish</x:v>
      </x:c>
      <x:c r="G221" s="13" t="str">
        <x:v>basic_data.admin.publish</x:v>
      </x:c>
      <x:c r="H221" s="13" t="str">
        <x:v>LIVE_ROUTER_REGISTERED</x:v>
      </x:c>
      <x:c r="I221" s="13" t="str">
        <x:v>NO_DIRECT_LITERAL_MATCH_NOT_PROOF_UNUSED</x:v>
      </x:c>
      <x:c r="J221" s="13" t="str">
        <x:v>NOT_EXECUTED_BY_INVENTORY. SOURCE_LITERAL_OR_TRANSITIVE_HELPER_UNION</x:v>
      </x:c>
    </x:row>
    <x:row r="222" ht="42" customHeight="1">
      <x:c r="A222" s="14" t="str">
        <x:v>API-18</x:v>
      </x:c>
      <x:c r="B222" s="6" t="str">
        <x:v>POST</x:v>
      </x:c>
      <x:c r="C222" s="6" t="str">
        <x:v>/api/v1/basic-data/admin/preview</x:v>
      </x:c>
      <x:c r="D222" s="6" t="str">
        <x:v>ADMIN MODE</x:v>
      </x:c>
      <x:c r="E222" s="6" t="str">
        <x:v>basic_data</x:v>
      </x:c>
      <x:c r="F222" s="6" t="str">
        <x:v>config preview</x:v>
      </x:c>
      <x:c r="G222" s="6" t="str">
        <x:v>basic_data.admin.configure</x:v>
      </x:c>
      <x:c r="H222" s="6" t="str">
        <x:v>LIVE_ROUTER_REGISTERED</x:v>
      </x:c>
      <x:c r="I222" s="6" t="str">
        <x:v>NO_DIRECT_LITERAL_MATCH_NOT_PROOF_UNUSED</x:v>
      </x:c>
      <x:c r="J222" s="6" t="str">
        <x:v>NOT_EXECUTED_BY_INVENTORY. SOURCE_LITERAL_OR_TRANSITIVE_HELPER_UNION</x:v>
      </x:c>
    </x:row>
    <x:row r="223" ht="42" customHeight="1">
      <x:c r="A223" s="15" t="str">
        <x:v>API-19</x:v>
      </x:c>
      <x:c r="B223" s="13" t="str">
        <x:v>GET</x:v>
      </x:c>
      <x:c r="C223" s="13" t="str">
        <x:v>/api/v1/basic-data/assessments/{assessment_id}</x:v>
      </x:c>
      <x:c r="D223" s="13" t="str">
        <x:v>READ-ONLY SHARED CONTEXT</x:v>
      </x:c>
      <x:c r="E223" s="13" t="str">
        <x:v>basic_data</x:v>
      </x:c>
      <x:c r="F223" s="13" t="str">
        <x:v>assessment</x:v>
      </x:c>
      <x:c r="G223" s="13" t="str">
        <x:v>basic_data.read</x:v>
      </x:c>
      <x:c r="H223" s="13" t="str">
        <x:v>LIVE_ROUTER_REGISTERED</x:v>
      </x:c>
      <x:c r="I223" s="13" t="str">
        <x:v>frontend/src/features/basic-data/api.ts</x:v>
      </x:c>
      <x:c r="J223" s="13" t="str">
        <x:v>NOT_EXECUTED_BY_INVENTORY. SOURCE_LITERAL_OR_TRANSITIVE_HELPER_UNION</x:v>
      </x:c>
    </x:row>
    <x:row r="224" ht="42" customHeight="1">
      <x:c r="A224" s="14" t="str">
        <x:v>API-20</x:v>
      </x:c>
      <x:c r="B224" s="6" t="str">
        <x:v>POST</x:v>
      </x:c>
      <x:c r="C224" s="6" t="str">
        <x:v>/api/v1/basic-data/assessments/{assessment_id}/complete</x:v>
      </x:c>
      <x:c r="D224" s="6" t="str">
        <x:v>USER MODE</x:v>
      </x:c>
      <x:c r="E224" s="6" t="str">
        <x:v>basic_data</x:v>
      </x:c>
      <x:c r="F224" s="6" t="str">
        <x:v>complete</x:v>
      </x:c>
      <x:c r="G224" s="6" t="str">
        <x:v>basic_data.assessment.complete</x:v>
      </x:c>
      <x:c r="H224" s="6" t="str">
        <x:v>LIVE_ROUTER_REGISTERED</x:v>
      </x:c>
      <x:c r="I224" s="6" t="str">
        <x:v>NO_DIRECT_LITERAL_MATCH_NOT_PROOF_UNUSED</x:v>
      </x:c>
      <x:c r="J224" s="6" t="str">
        <x:v>NOT_EXECUTED_BY_INVENTORY. SOURCE_LITERAL_OR_TRANSITIVE_HELPER_UNION</x:v>
      </x:c>
    </x:row>
    <x:row r="225" ht="42" customHeight="1">
      <x:c r="A225" s="15" t="str">
        <x:v>API-21</x:v>
      </x:c>
      <x:c r="B225" s="13" t="str">
        <x:v>POST</x:v>
      </x:c>
      <x:c r="C225" s="13" t="str">
        <x:v>/api/v1/basic-data/assessments/{assessment_id}/preview</x:v>
      </x:c>
      <x:c r="D225" s="13" t="str">
        <x:v>USER MODE</x:v>
      </x:c>
      <x:c r="E225" s="13" t="str">
        <x:v>basic_data</x:v>
      </x:c>
      <x:c r="F225" s="13" t="str">
        <x:v>preview</x:v>
      </x:c>
      <x:c r="G225" s="13" t="str">
        <x:v>basic_data.read</x:v>
      </x:c>
      <x:c r="H225" s="13" t="str">
        <x:v>LIVE_ROUTER_REGISTERED</x:v>
      </x:c>
      <x:c r="I225" s="13" t="str">
        <x:v>NO_DIRECT_LITERAL_MATCH_NOT_PROOF_UNUSED</x:v>
      </x:c>
      <x:c r="J225" s="13" t="str">
        <x:v>NOT_EXECUTED_BY_INVENTORY. SOURCE_LITERAL_OR_TRANSITIVE_HELPER_UNION</x:v>
      </x:c>
    </x:row>
    <x:row r="226" ht="42" customHeight="1">
      <x:c r="A226" s="14" t="str">
        <x:v>API-22</x:v>
      </x:c>
      <x:c r="B226" s="6" t="str">
        <x:v>POST</x:v>
      </x:c>
      <x:c r="C226" s="6" t="str">
        <x:v>/api/v1/basic-data/assessments/{assessment_id}/refresh-apply</x:v>
      </x:c>
      <x:c r="D226" s="6" t="str">
        <x:v>USER MODE</x:v>
      </x:c>
      <x:c r="E226" s="6" t="str">
        <x:v>basic_data</x:v>
      </x:c>
      <x:c r="F226" s="6" t="str">
        <x:v>refresh apply</x:v>
      </x:c>
      <x:c r="G226" s="6" t="str">
        <x:v>basic_data.assessment.create</x:v>
      </x:c>
      <x:c r="H226" s="6" t="str">
        <x:v>LIVE_ROUTER_REGISTERED</x:v>
      </x:c>
      <x:c r="I226" s="6" t="str">
        <x:v>NO_DIRECT_LITERAL_MATCH_NOT_PROOF_UNUSED</x:v>
      </x:c>
      <x:c r="J226" s="6" t="str">
        <x:v>NOT_EXECUTED_BY_INVENTORY. SOURCE_LITERAL_OR_TRANSITIVE_HELPER_UNION</x:v>
      </x:c>
    </x:row>
    <x:row r="227" ht="42" customHeight="1">
      <x:c r="A227" s="15" t="str">
        <x:v>API-23</x:v>
      </x:c>
      <x:c r="B227" s="13" t="str">
        <x:v>GET</x:v>
      </x:c>
      <x:c r="C227" s="13" t="str">
        <x:v>/api/v1/basic-data/assessments/{assessment_id}/refresh-preview</x:v>
      </x:c>
      <x:c r="D227" s="13" t="str">
        <x:v>READ-ONLY SHARED CONTEXT</x:v>
      </x:c>
      <x:c r="E227" s="13" t="str">
        <x:v>basic_data</x:v>
      </x:c>
      <x:c r="F227" s="13" t="str">
        <x:v>refresh preview</x:v>
      </x:c>
      <x:c r="G227" s="13" t="str">
        <x:v>basic_data.read</x:v>
      </x:c>
      <x:c r="H227" s="13" t="str">
        <x:v>LIVE_ROUTER_REGISTERED</x:v>
      </x:c>
      <x:c r="I227" s="13" t="str">
        <x:v>frontend/src/features/basic-data/api.ts</x:v>
      </x:c>
      <x:c r="J227" s="13" t="str">
        <x:v>NOT_EXECUTED_BY_INVENTORY. SOURCE_LITERAL_OR_TRANSITIVE_HELPER_UNION</x:v>
      </x:c>
    </x:row>
    <x:row r="228" ht="42" customHeight="1">
      <x:c r="A228" s="14" t="str">
        <x:v>API-24</x:v>
      </x:c>
      <x:c r="B228" s="6" t="str">
        <x:v>POST</x:v>
      </x:c>
      <x:c r="C228" s="6" t="str">
        <x:v>/api/v1/basic-data/assessments/{assessment_id}/submit</x:v>
      </x:c>
      <x:c r="D228" s="6" t="str">
        <x:v>USER MODE</x:v>
      </x:c>
      <x:c r="E228" s="6" t="str">
        <x:v>basic_data</x:v>
      </x:c>
      <x:c r="F228" s="6" t="str">
        <x:v>submit</x:v>
      </x:c>
      <x:c r="G228" s="6" t="str">
        <x:v>basic_data.assessment.submit</x:v>
      </x:c>
      <x:c r="H228" s="6" t="str">
        <x:v>LIVE_ROUTER_REGISTERED</x:v>
      </x:c>
      <x:c r="I228" s="6" t="str">
        <x:v>NO_DIRECT_LITERAL_MATCH_NOT_PROOF_UNUSED</x:v>
      </x:c>
      <x:c r="J228" s="6" t="str">
        <x:v>NOT_EXECUTED_BY_INVENTORY. SOURCE_LITERAL_OR_TRANSITIVE_HELPER_UNION</x:v>
      </x:c>
    </x:row>
    <x:row r="229" ht="42" customHeight="1">
      <x:c r="A229" s="15" t="str">
        <x:v>API-25</x:v>
      </x:c>
      <x:c r="B229" s="13" t="str">
        <x:v>GET</x:v>
      </x:c>
      <x:c r="C229" s="13" t="str">
        <x:v>/api/v1/basic-data/items/{item_id}</x:v>
      </x:c>
      <x:c r="D229" s="13" t="str">
        <x:v>READ-ONLY SHARED CONTEXT</x:v>
      </x:c>
      <x:c r="E229" s="13" t="str">
        <x:v>basic_data</x:v>
      </x:c>
      <x:c r="F229" s="13" t="str">
        <x:v>item</x:v>
      </x:c>
      <x:c r="G229" s="13" t="str">
        <x:v>basic_data.read</x:v>
      </x:c>
      <x:c r="H229" s="13" t="str">
        <x:v>LIVE_ROUTER_REGISTERED</x:v>
      </x:c>
      <x:c r="I229" s="13" t="str">
        <x:v>frontend/src/features/basic-data/api.ts</x:v>
      </x:c>
      <x:c r="J229" s="13" t="str">
        <x:v>NOT_EXECUTED_BY_INVENTORY. SOURCE_LITERAL_OR_TRANSITIVE_HELPER_UNION</x:v>
      </x:c>
    </x:row>
    <x:row r="230" ht="42" customHeight="1">
      <x:c r="A230" s="14" t="str">
        <x:v>API-26</x:v>
      </x:c>
      <x:c r="B230" s="6" t="str">
        <x:v>PUT</x:v>
      </x:c>
      <x:c r="C230" s="6" t="str">
        <x:v>/api/v1/basic-data/items/{item_id}</x:v>
      </x:c>
      <x:c r="D230" s="6" t="str">
        <x:v>USER MODE</x:v>
      </x:c>
      <x:c r="E230" s="6" t="str">
        <x:v>basic_data</x:v>
      </x:c>
      <x:c r="F230" s="6" t="str">
        <x:v>update item</x:v>
      </x:c>
      <x:c r="G230" s="6" t="str">
        <x:v>basic_data.item.edit</x:v>
      </x:c>
      <x:c r="H230" s="6" t="str">
        <x:v>LIVE_ROUTER_REGISTERED</x:v>
      </x:c>
      <x:c r="I230" s="6" t="str">
        <x:v>frontend/src/features/basic-data/api.ts</x:v>
      </x:c>
      <x:c r="J230" s="6" t="str">
        <x:v>NOT_EXECUTED_BY_INVENTORY. SOURCE_LITERAL_OR_TRANSITIVE_HELPER_UNION</x:v>
      </x:c>
    </x:row>
    <x:row r="231" ht="42" customHeight="1">
      <x:c r="A231" s="15" t="str">
        <x:v>API-27</x:v>
      </x:c>
      <x:c r="B231" s="13" t="str">
        <x:v>POST</x:v>
      </x:c>
      <x:c r="C231" s="13" t="str">
        <x:v>/api/v1/basic-data/items/{item_id}/validate</x:v>
      </x:c>
      <x:c r="D231" s="13" t="str">
        <x:v>USER MODE</x:v>
      </x:c>
      <x:c r="E231" s="13" t="str">
        <x:v>basic_data</x:v>
      </x:c>
      <x:c r="F231" s="13" t="str">
        <x:v>validate item</x:v>
      </x:c>
      <x:c r="G231" s="13" t="str">
        <x:v>basic_data.item.validate</x:v>
      </x:c>
      <x:c r="H231" s="13" t="str">
        <x:v>LIVE_ROUTER_REGISTERED</x:v>
      </x:c>
      <x:c r="I231" s="13" t="str">
        <x:v>frontend/src/features/basic-data/api.ts</x:v>
      </x:c>
      <x:c r="J231" s="13" t="str">
        <x:v>NOT_EXECUTED_BY_INVENTORY. SOURCE_LITERAL_OR_TRANSITIVE_HELPER_UNION</x:v>
      </x:c>
    </x:row>
    <x:row r="232" ht="42" customHeight="1">
      <x:c r="A232" s="14" t="str">
        <x:v>API-28</x:v>
      </x:c>
      <x:c r="B232" s="6" t="str">
        <x:v>GET</x:v>
      </x:c>
      <x:c r="C232" s="6" t="str">
        <x:v>/api/v1/basic-data/options</x:v>
      </x:c>
      <x:c r="D232" s="6" t="str">
        <x:v>READ-ONLY SHARED CONTEXT</x:v>
      </x:c>
      <x:c r="E232" s="6" t="str">
        <x:v>basic_data</x:v>
      </x:c>
      <x:c r="F232" s="6" t="str">
        <x:v>options</x:v>
      </x:c>
      <x:c r="G232" s="6" t="str">
        <x:v>basic_data.read</x:v>
      </x:c>
      <x:c r="H232" s="6" t="str">
        <x:v>LIVE_ROUTER_REGISTERED</x:v>
      </x:c>
      <x:c r="I232" s="6" t="str">
        <x:v>frontend/src/features/basic-data/api.ts</x:v>
      </x:c>
      <x:c r="J232" s="6" t="str">
        <x:v>NOT_EXECUTED_BY_INVENTORY. SOURCE_LITERAL_OR_TRANSITIVE_HELPER_UNION</x:v>
      </x:c>
    </x:row>
    <x:row r="233" ht="42" customHeight="1">
      <x:c r="A233" s="15" t="str">
        <x:v>API-29</x:v>
      </x:c>
      <x:c r="B233" s="13" t="str">
        <x:v>GET</x:v>
      </x:c>
      <x:c r="C233" s="13" t="str">
        <x:v>/api/v1/basic-data/projects/{project_id}/assessments</x:v>
      </x:c>
      <x:c r="D233" s="13" t="str">
        <x:v>READ-ONLY SHARED CONTEXT</x:v>
      </x:c>
      <x:c r="E233" s="13" t="str">
        <x:v>basic_data</x:v>
      </x:c>
      <x:c r="F233" s="13" t="str">
        <x:v>assessments</x:v>
      </x:c>
      <x:c r="G233" s="13" t="str">
        <x:v>basic_data.read</x:v>
      </x:c>
      <x:c r="H233" s="13" t="str">
        <x:v>LIVE_ROUTER_REGISTERED</x:v>
      </x:c>
      <x:c r="I233" s="13" t="str">
        <x:v>frontend/src/features/basic-data/api.ts</x:v>
      </x:c>
      <x:c r="J233" s="13" t="str">
        <x:v>NOT_EXECUTED_BY_INVENTORY. SOURCE_LITERAL_OR_TRANSITIVE_HELPER_UNION</x:v>
      </x:c>
    </x:row>
    <x:row r="234" ht="42" customHeight="1">
      <x:c r="A234" s="14" t="str">
        <x:v>API-30</x:v>
      </x:c>
      <x:c r="B234" s="6" t="str">
        <x:v>POST</x:v>
      </x:c>
      <x:c r="C234" s="6" t="str">
        <x:v>/api/v1/basic-data/projects/{project_id}/assessments</x:v>
      </x:c>
      <x:c r="D234" s="6" t="str">
        <x:v>USER MODE</x:v>
      </x:c>
      <x:c r="E234" s="6" t="str">
        <x:v>basic_data</x:v>
      </x:c>
      <x:c r="F234" s="6" t="str">
        <x:v>create assessment</x:v>
      </x:c>
      <x:c r="G234" s="6" t="str">
        <x:v>basic_data.assessment.create</x:v>
      </x:c>
      <x:c r="H234" s="6" t="str">
        <x:v>LIVE_ROUTER_REGISTERED</x:v>
      </x:c>
      <x:c r="I234" s="6" t="str">
        <x:v>frontend/src/features/basic-data/api.ts</x:v>
      </x:c>
      <x:c r="J234" s="6" t="str">
        <x:v>NOT_EXECUTED_BY_INVENTORY. SOURCE_LITERAL_OR_TRANSITIVE_HELPER_UNION</x:v>
      </x:c>
    </x:row>
    <x:row r="235" ht="42" customHeight="1">
      <x:c r="A235" s="15" t="str">
        <x:v>API-31</x:v>
      </x:c>
      <x:c r="B235" s="13" t="str">
        <x:v>GET</x:v>
      </x:c>
      <x:c r="C235" s="13" t="str">
        <x:v>/api/v1/basic-data/projects/{project_id}/current-readiness</x:v>
      </x:c>
      <x:c r="D235" s="13" t="str">
        <x:v>READ-ONLY SHARED CONTEXT</x:v>
      </x:c>
      <x:c r="E235" s="13" t="str">
        <x:v>basic_data</x:v>
      </x:c>
      <x:c r="F235" s="13" t="str">
        <x:v>current readiness</x:v>
      </x:c>
      <x:c r="G235" s="13" t="str">
        <x:v>basic_data.read</x:v>
      </x:c>
      <x:c r="H235" s="13" t="str">
        <x:v>LIVE_ROUTER_REGISTERED</x:v>
      </x:c>
      <x:c r="I235" s="13" t="str">
        <x:v>frontend/src/features/basic-data/api.ts</x:v>
      </x:c>
      <x:c r="J235" s="13" t="str">
        <x:v>NOT_EXECUTED_BY_INVENTORY. SOURCE_LITERAL_OR_TRANSITIVE_HELPER_UNION</x:v>
      </x:c>
    </x:row>
    <x:row r="236" ht="42" customHeight="1">
      <x:c r="A236" s="14" t="str">
        <x:v>API-32</x:v>
      </x:c>
      <x:c r="B236" s="6" t="str">
        <x:v>GET</x:v>
      </x:c>
      <x:c r="C236" s="6" t="str">
        <x:v>/api/v1/basic-data/projects/{project_id}/fel-context</x:v>
      </x:c>
      <x:c r="D236" s="6" t="str">
        <x:v>READ-ONLY SHARED CONTEXT</x:v>
      </x:c>
      <x:c r="E236" s="6" t="str">
        <x:v>basic_data</x:v>
      </x:c>
      <x:c r="F236" s="6" t="str">
        <x:v>fel context</x:v>
      </x:c>
      <x:c r="G236" s="6" t="str">
        <x:v>basic_data.read</x:v>
      </x:c>
      <x:c r="H236" s="6" t="str">
        <x:v>LIVE_ROUTER_REGISTERED</x:v>
      </x:c>
      <x:c r="I236" s="6" t="str">
        <x:v>NO_DIRECT_LITERAL_MATCH_NOT_PROOF_UNUSED</x:v>
      </x:c>
      <x:c r="J236" s="6" t="str">
        <x:v>NOT_EXECUTED_BY_INVENTORY. SOURCE_LITERAL_OR_TRANSITIVE_HELPER_UNION</x:v>
      </x:c>
    </x:row>
    <x:row r="237" ht="42" customHeight="1">
      <x:c r="A237" s="15" t="str">
        <x:v>API-33</x:v>
      </x:c>
      <x:c r="B237" s="13" t="str">
        <x:v>GET</x:v>
      </x:c>
      <x:c r="C237" s="13" t="str">
        <x:v>/api/v1/basic-data/projects/{project_id}/items</x:v>
      </x:c>
      <x:c r="D237" s="13" t="str">
        <x:v>READ-ONLY SHARED CONTEXT</x:v>
      </x:c>
      <x:c r="E237" s="13" t="str">
        <x:v>basic_data</x:v>
      </x:c>
      <x:c r="F237" s="13" t="str">
        <x:v>items</x:v>
      </x:c>
      <x:c r="G237" s="13" t="str">
        <x:v>basic_data.read</x:v>
      </x:c>
      <x:c r="H237" s="13" t="str">
        <x:v>LIVE_ROUTER_REGISTERED</x:v>
      </x:c>
      <x:c r="I237" s="13" t="str">
        <x:v>frontend/src/features/basic-data/api.ts</x:v>
      </x:c>
      <x:c r="J237" s="13" t="str">
        <x:v>NOT_EXECUTED_BY_INVENTORY. SOURCE_LITERAL_OR_TRANSITIVE_HELPER_UNION</x:v>
      </x:c>
    </x:row>
    <x:row r="238" ht="42" customHeight="1">
      <x:c r="A238" s="14" t="str">
        <x:v>API-34</x:v>
      </x:c>
      <x:c r="B238" s="6" t="str">
        <x:v>POST</x:v>
      </x:c>
      <x:c r="C238" s="6" t="str">
        <x:v>/api/v1/basic-data/projects/{project_id}/items</x:v>
      </x:c>
      <x:c r="D238" s="6" t="str">
        <x:v>USER MODE</x:v>
      </x:c>
      <x:c r="E238" s="6" t="str">
        <x:v>basic_data</x:v>
      </x:c>
      <x:c r="F238" s="6" t="str">
        <x:v>create item</x:v>
      </x:c>
      <x:c r="G238" s="6" t="str">
        <x:v>basic_data.item.create</x:v>
      </x:c>
      <x:c r="H238" s="6" t="str">
        <x:v>LIVE_ROUTER_REGISTERED</x:v>
      </x:c>
      <x:c r="I238" s="6" t="str">
        <x:v>frontend/src/features/basic-data/api.ts</x:v>
      </x:c>
      <x:c r="J238" s="6" t="str">
        <x:v>NOT_EXECUTED_BY_INVENTORY. SOURCE_LITERAL_OR_TRANSITIVE_HELPER_UNION</x:v>
      </x:c>
    </x:row>
    <x:row r="239" ht="42" customHeight="1">
      <x:c r="A239" s="15" t="str">
        <x:v>API-35</x:v>
      </x:c>
      <x:c r="B239" s="13" t="str">
        <x:v>GET</x:v>
      </x:c>
      <x:c r="C239" s="13" t="str">
        <x:v>/api/v1/basic-data/projects/{project_id}/provider-evidence</x:v>
      </x:c>
      <x:c r="D239" s="13" t="str">
        <x:v>READ-ONLY SHARED CONTEXT</x:v>
      </x:c>
      <x:c r="E239" s="13" t="str">
        <x:v>basic_data</x:v>
      </x:c>
      <x:c r="F239" s="13" t="str">
        <x:v>provider evidence</x:v>
      </x:c>
      <x:c r="G239" s="13" t="str">
        <x:v>basic_data.read</x:v>
      </x:c>
      <x:c r="H239" s="13" t="str">
        <x:v>LIVE_ROUTER_REGISTERED</x:v>
      </x:c>
      <x:c r="I239" s="13" t="str">
        <x:v>NO_DIRECT_LITERAL_MATCH_NOT_PROOF_UNUSED</x:v>
      </x:c>
      <x:c r="J239" s="13" t="str">
        <x:v>NOT_EXECUTED_BY_INVENTORY. SOURCE_LITERAL_OR_TRANSITIVE_HELPER_UNION</x:v>
      </x:c>
    </x:row>
    <x:row r="240" ht="42" customHeight="1">
      <x:c r="A240" s="14" t="str">
        <x:v>API-36</x:v>
      </x:c>
      <x:c r="B240" s="6" t="str">
        <x:v>GET</x:v>
      </x:c>
      <x:c r="C240" s="6" t="str">
        <x:v>/api/v1/basic-data/projects/{project_id}/requirements</x:v>
      </x:c>
      <x:c r="D240" s="6" t="str">
        <x:v>READ-ONLY SHARED CONTEXT</x:v>
      </x:c>
      <x:c r="E240" s="6" t="str">
        <x:v>basic_data</x:v>
      </x:c>
      <x:c r="F240" s="6" t="str">
        <x:v>requirements</x:v>
      </x:c>
      <x:c r="G240" s="6" t="str">
        <x:v>basic_data.read</x:v>
      </x:c>
      <x:c r="H240" s="6" t="str">
        <x:v>LIVE_ROUTER_REGISTERED</x:v>
      </x:c>
      <x:c r="I240" s="6" t="str">
        <x:v>frontend/src/features/basic-data/api.ts</x:v>
      </x:c>
      <x:c r="J240" s="6" t="str">
        <x:v>NOT_EXECUTED_BY_INVENTORY. SOURCE_LITERAL_OR_TRANSITIVE_HELPER_UNION</x:v>
      </x:c>
    </x:row>
    <x:row r="241" ht="53" customHeight="1">
      <x:c r="A241" s="15" t="str">
        <x:v>API-37</x:v>
      </x:c>
      <x:c r="B241" s="13" t="str">
        <x:v>GET</x:v>
      </x:c>
      <x:c r="C241" s="13" t="str">
        <x:v>/api/v1/business-analyses</x:v>
      </x:c>
      <x:c r="D241" s="13" t="str">
        <x:v>READ-ONLY SHARED CONTEXT</x:v>
      </x:c>
      <x:c r="E241" s="13" t="str">
        <x:v>business_analysis</x:v>
      </x:c>
      <x:c r="F241" s="13" t="str">
        <x:v>list analyses</x:v>
      </x:c>
      <x:c r="G241" s="13" t="str">
        <x:v>business_analysis.read</x:v>
      </x:c>
      <x:c r="H241" s="13" t="str">
        <x:v>LIVE_ROUTER_REGISTERED</x:v>
      </x:c>
      <x:c r="I241" s="13" t="str">
        <x:v>frontend/src/features/business-analysis/BusinessAnalysisAdminView.tsx; frontend/src/features/business-analysis/api.ts</x:v>
      </x:c>
      <x:c r="J241" s="13" t="str">
        <x:v>NOT_EXECUTED_BY_INVENTORY. SOURCE_LITERAL_OR_TRANSITIVE_HELPER_UNION</x:v>
      </x:c>
    </x:row>
    <x:row r="242" ht="53" customHeight="1">
      <x:c r="A242" s="14" t="str">
        <x:v>API-38</x:v>
      </x:c>
      <x:c r="B242" s="6" t="str">
        <x:v>POST</x:v>
      </x:c>
      <x:c r="C242" s="6" t="str">
        <x:v>/api/v1/business-analyses</x:v>
      </x:c>
      <x:c r="D242" s="6" t="str">
        <x:v>USER MODE</x:v>
      </x:c>
      <x:c r="E242" s="6" t="str">
        <x:v>business_analysis</x:v>
      </x:c>
      <x:c r="F242" s="6" t="str">
        <x:v>create</x:v>
      </x:c>
      <x:c r="G242" s="6" t="str">
        <x:v>business_analysis.create</x:v>
      </x:c>
      <x:c r="H242" s="6" t="str">
        <x:v>LIVE_ROUTER_REGISTERED</x:v>
      </x:c>
      <x:c r="I242" s="6" t="str">
        <x:v>frontend/src/features/business-analysis/BusinessAnalysisAdminView.tsx; frontend/src/features/business-analysis/api.ts</x:v>
      </x:c>
      <x:c r="J242" s="6" t="str">
        <x:v>NOT_EXECUTED_BY_INVENTORY. SOURCE_LITERAL_OR_TRANSITIVE_HELPER_UNION</x:v>
      </x:c>
    </x:row>
    <x:row r="243" ht="53" customHeight="1">
      <x:c r="A243" s="15" t="str">
        <x:v>API-39</x:v>
      </x:c>
      <x:c r="B243" s="13" t="str">
        <x:v>POST</x:v>
      </x:c>
      <x:c r="C243" s="13" t="str">
        <x:v>/api/v1/business-analyses/admin/configuration/preview</x:v>
      </x:c>
      <x:c r="D243" s="13" t="str">
        <x:v>ADMIN MODE</x:v>
      </x:c>
      <x:c r="E243" s="13" t="str">
        <x:v>business_analysis</x:v>
      </x:c>
      <x:c r="F243" s="13" t="str">
        <x:v>configuration preview</x:v>
      </x:c>
      <x:c r="G243" s="13" t="str">
        <x:v>business_analysis.admin.configure</x:v>
      </x:c>
      <x:c r="H243" s="13" t="str">
        <x:v>LIVE_ROUTER_REGISTERED</x:v>
      </x:c>
      <x:c r="I243" s="13" t="str">
        <x:v>frontend/src/features/business-analysis/BusinessAnalysisAdminView.tsx; frontend/src/features/business-analysis/api.ts</x:v>
      </x:c>
      <x:c r="J243" s="13" t="str">
        <x:v>NOT_EXECUTED_BY_INVENTORY. SOURCE_LITERAL_OR_TRANSITIVE_HELPER_UNION</x:v>
      </x:c>
    </x:row>
    <x:row r="244" ht="53" customHeight="1">
      <x:c r="A244" s="14" t="str">
        <x:v>API-40</x:v>
      </x:c>
      <x:c r="B244" s="6" t="str">
        <x:v>GET</x:v>
      </x:c>
      <x:c r="C244" s="6" t="str">
        <x:v>/api/v1/business-analyses/admin/configurations</x:v>
      </x:c>
      <x:c r="D244" s="6" t="str">
        <x:v>ADMIN MODE</x:v>
      </x:c>
      <x:c r="E244" s="6" t="str">
        <x:v>business_analysis</x:v>
      </x:c>
      <x:c r="F244" s="6" t="str">
        <x:v>configurations</x:v>
      </x:c>
      <x:c r="G244" s="6" t="str">
        <x:v>business_analysis.admin.configure</x:v>
      </x:c>
      <x:c r="H244" s="6" t="str">
        <x:v>LIVE_ROUTER_REGISTERED</x:v>
      </x:c>
      <x:c r="I244" s="6" t="str">
        <x:v>frontend/src/features/business-analysis/BusinessAnalysisAdminView.tsx; frontend/src/features/business-analysis/api.ts</x:v>
      </x:c>
      <x:c r="J244" s="6" t="str">
        <x:v>NOT_EXECUTED_BY_INVENTORY. SOURCE_LITERAL_OR_TRANSITIVE_HELPER_UNION</x:v>
      </x:c>
    </x:row>
    <x:row r="245" ht="53" customHeight="1">
      <x:c r="A245" s="15" t="str">
        <x:v>API-41</x:v>
      </x:c>
      <x:c r="B245" s="13" t="str">
        <x:v>PUT</x:v>
      </x:c>
      <x:c r="C245" s="13" t="str">
        <x:v>/api/v1/business-analyses/admin/configurations/{configuration_id}</x:v>
      </x:c>
      <x:c r="D245" s="13" t="str">
        <x:v>ADMIN MODE</x:v>
      </x:c>
      <x:c r="E245" s="13" t="str">
        <x:v>business_analysis</x:v>
      </x:c>
      <x:c r="F245" s="13" t="str">
        <x:v>update configuration</x:v>
      </x:c>
      <x:c r="G245" s="13" t="str">
        <x:v>business_analysis.admin.configure</x:v>
      </x:c>
      <x:c r="H245" s="13" t="str">
        <x:v>LIVE_ROUTER_REGISTERED</x:v>
      </x:c>
      <x:c r="I245" s="13" t="str">
        <x:v>frontend/src/features/business-analysis/BusinessAnalysisAdminView.tsx; frontend/src/features/business-analysis/api.ts</x:v>
      </x:c>
      <x:c r="J245" s="13" t="str">
        <x:v>NOT_EXECUTED_BY_INVENTORY. SOURCE_LITERAL_OR_TRANSITIVE_HELPER_UNION</x:v>
      </x:c>
    </x:row>
    <x:row r="246" ht="42" customHeight="1">
      <x:c r="A246" s="14" t="str">
        <x:v>API-42</x:v>
      </x:c>
      <x:c r="B246" s="6" t="str">
        <x:v>POST</x:v>
      </x:c>
      <x:c r="C246" s="6" t="str">
        <x:v>/api/v1/business-analyses/admin/configurations/{configuration_id}/archive</x:v>
      </x:c>
      <x:c r="D246" s="6" t="str">
        <x:v>ADMIN MODE</x:v>
      </x:c>
      <x:c r="E246" s="6" t="str">
        <x:v>business_analysis</x:v>
      </x:c>
      <x:c r="F246" s="6" t="str">
        <x:v>archive configuration</x:v>
      </x:c>
      <x:c r="G246" s="6" t="str">
        <x:v>business_analysis.admin.publish</x:v>
      </x:c>
      <x:c r="H246" s="6" t="str">
        <x:v>LIVE_ROUTER_REGISTERED</x:v>
      </x:c>
      <x:c r="I246" s="6" t="str">
        <x:v>NO_DIRECT_LITERAL_MATCH_NOT_PROOF_UNUSED</x:v>
      </x:c>
      <x:c r="J246" s="6" t="str">
        <x:v>NOT_EXECUTED_BY_INVENTORY. SOURCE_LITERAL_OR_TRANSITIVE_HELPER_UNION</x:v>
      </x:c>
    </x:row>
    <x:row r="247" ht="53" customHeight="1">
      <x:c r="A247" s="15" t="str">
        <x:v>API-43</x:v>
      </x:c>
      <x:c r="B247" s="13" t="str">
        <x:v>POST</x:v>
      </x:c>
      <x:c r="C247" s="13" t="str">
        <x:v>/api/v1/business-analyses/admin/configurations/{configuration_id}/clone</x:v>
      </x:c>
      <x:c r="D247" s="13" t="str">
        <x:v>ADMIN MODE</x:v>
      </x:c>
      <x:c r="E247" s="13" t="str">
        <x:v>business_analysis</x:v>
      </x:c>
      <x:c r="F247" s="13" t="str">
        <x:v>clone configuration</x:v>
      </x:c>
      <x:c r="G247" s="13" t="str">
        <x:v>business_analysis.admin.configure</x:v>
      </x:c>
      <x:c r="H247" s="13" t="str">
        <x:v>LIVE_ROUTER_REGISTERED</x:v>
      </x:c>
      <x:c r="I247" s="13" t="str">
        <x:v>frontend/src/features/business-analysis/BusinessAnalysisAdminView.tsx; frontend/src/features/business-analysis/api.ts</x:v>
      </x:c>
      <x:c r="J247" s="13" t="str">
        <x:v>NOT_EXECUTED_BY_INVENTORY. SOURCE_LITERAL_OR_TRANSITIVE_HELPER_UNION</x:v>
      </x:c>
    </x:row>
    <x:row r="248" ht="42" customHeight="1">
      <x:c r="A248" s="14" t="str">
        <x:v>API-44</x:v>
      </x:c>
      <x:c r="B248" s="6" t="str">
        <x:v>POST</x:v>
      </x:c>
      <x:c r="C248" s="6" t="str">
        <x:v>/api/v1/business-analyses/admin/configurations/{configuration_id}/publish</x:v>
      </x:c>
      <x:c r="D248" s="6" t="str">
        <x:v>ADMIN MODE</x:v>
      </x:c>
      <x:c r="E248" s="6" t="str">
        <x:v>business_analysis</x:v>
      </x:c>
      <x:c r="F248" s="6" t="str">
        <x:v>publish configuration</x:v>
      </x:c>
      <x:c r="G248" s="6" t="str">
        <x:v>business_analysis.admin.publish</x:v>
      </x:c>
      <x:c r="H248" s="6" t="str">
        <x:v>LIVE_ROUTER_REGISTERED</x:v>
      </x:c>
      <x:c r="I248" s="6" t="str">
        <x:v>frontend/src/features/business-analysis/api.ts</x:v>
      </x:c>
      <x:c r="J248" s="6" t="str">
        <x:v>NOT_EXECUTED_BY_INVENTORY. SOURCE_LITERAL_OR_TRANSITIVE_HELPER_UNION</x:v>
      </x:c>
    </x:row>
    <x:row r="249" ht="42" customHeight="1">
      <x:c r="A249" s="15" t="str">
        <x:v>API-45</x:v>
      </x:c>
      <x:c r="B249" s="13" t="str">
        <x:v>GET</x:v>
      </x:c>
      <x:c r="C249" s="13" t="str">
        <x:v>/api/v1/business-analyses/options</x:v>
      </x:c>
      <x:c r="D249" s="13" t="str">
        <x:v>READ-ONLY SHARED CONTEXT</x:v>
      </x:c>
      <x:c r="E249" s="13" t="str">
        <x:v>business_analysis</x:v>
      </x:c>
      <x:c r="F249" s="13" t="str">
        <x:v>options</x:v>
      </x:c>
      <x:c r="G249" s="13" t="str">
        <x:v>business_analysis.create</x:v>
      </x:c>
      <x:c r="H249" s="13" t="str">
        <x:v>LIVE_ROUTER_REGISTERED</x:v>
      </x:c>
      <x:c r="I249" s="13" t="str">
        <x:v>frontend/src/features/business-analysis/api.ts</x:v>
      </x:c>
      <x:c r="J249" s="13" t="str">
        <x:v>NOT_EXECUTED_BY_INVENTORY. SOURCE_LITERAL_OR_TRANSITIVE_HELPER_UNION</x:v>
      </x:c>
    </x:row>
    <x:row r="250" ht="42" customHeight="1">
      <x:c r="A250" s="14" t="str">
        <x:v>API-46</x:v>
      </x:c>
      <x:c r="B250" s="6" t="str">
        <x:v>GET</x:v>
      </x:c>
      <x:c r="C250" s="6" t="str">
        <x:v>/api/v1/business-analyses/{analysis_id}</x:v>
      </x:c>
      <x:c r="D250" s="6" t="str">
        <x:v>READ-ONLY SHARED CONTEXT</x:v>
      </x:c>
      <x:c r="E250" s="6" t="str">
        <x:v>business_analysis</x:v>
      </x:c>
      <x:c r="F250" s="6" t="str">
        <x:v>get analysis</x:v>
      </x:c>
      <x:c r="G250" s="6" t="str">
        <x:v>business_analysis.read</x:v>
      </x:c>
      <x:c r="H250" s="6" t="str">
        <x:v>LIVE_ROUTER_REGISTERED</x:v>
      </x:c>
      <x:c r="I250" s="6" t="str">
        <x:v>frontend/src/features/business-analysis/api.ts</x:v>
      </x:c>
      <x:c r="J250" s="6" t="str">
        <x:v>NOT_EXECUTED_BY_INVENTORY. SOURCE_LITERAL_OR_TRANSITIVE_HELPER_UNION</x:v>
      </x:c>
    </x:row>
    <x:row r="251" ht="42" customHeight="1">
      <x:c r="A251" s="15" t="str">
        <x:v>API-47</x:v>
      </x:c>
      <x:c r="B251" s="13" t="str">
        <x:v>PUT</x:v>
      </x:c>
      <x:c r="C251" s="13" t="str">
        <x:v>/api/v1/business-analyses/{analysis_id}</x:v>
      </x:c>
      <x:c r="D251" s="13" t="str">
        <x:v>USER MODE</x:v>
      </x:c>
      <x:c r="E251" s="13" t="str">
        <x:v>business_analysis</x:v>
      </x:c>
      <x:c r="F251" s="13" t="str">
        <x:v>update analysis</x:v>
      </x:c>
      <x:c r="G251" s="13" t="str">
        <x:v>business_analysis.edit</x:v>
      </x:c>
      <x:c r="H251" s="13" t="str">
        <x:v>LIVE_ROUTER_REGISTERED</x:v>
      </x:c>
      <x:c r="I251" s="13" t="str">
        <x:v>frontend/src/features/business-analysis/api.ts</x:v>
      </x:c>
      <x:c r="J251" s="13" t="str">
        <x:v>NOT_EXECUTED_BY_INVENTORY. SOURCE_LITERAL_OR_TRANSITIVE_HELPER_UNION</x:v>
      </x:c>
    </x:row>
    <x:row r="252" ht="42" customHeight="1">
      <x:c r="A252" s="14" t="str">
        <x:v>API-48</x:v>
      </x:c>
      <x:c r="B252" s="6" t="str">
        <x:v>GET</x:v>
      </x:c>
      <x:c r="C252" s="6" t="str">
        <x:v>/api/v1/business-analyses/{analysis_id}/history</x:v>
      </x:c>
      <x:c r="D252" s="6" t="str">
        <x:v>READ-ONLY SHARED CONTEXT</x:v>
      </x:c>
      <x:c r="E252" s="6" t="str">
        <x:v>business_analysis</x:v>
      </x:c>
      <x:c r="F252" s="6" t="str">
        <x:v>history</x:v>
      </x:c>
      <x:c r="G252" s="6" t="str">
        <x:v>business_analysis.read</x:v>
      </x:c>
      <x:c r="H252" s="6" t="str">
        <x:v>LIVE_ROUTER_REGISTERED</x:v>
      </x:c>
      <x:c r="I252" s="6" t="str">
        <x:v>frontend/src/features/business-analysis/api.ts</x:v>
      </x:c>
      <x:c r="J252" s="6" t="str">
        <x:v>NOT_EXECUTED_BY_INVENTORY. SOURCE_LITERAL_OR_TRANSITIVE_HELPER_UNION</x:v>
      </x:c>
    </x:row>
    <x:row r="253" ht="42" customHeight="1">
      <x:c r="A253" s="15" t="str">
        <x:v>API-49</x:v>
      </x:c>
      <x:c r="B253" s="13" t="str">
        <x:v>POST</x:v>
      </x:c>
      <x:c r="C253" s="13" t="str">
        <x:v>/api/v1/business-analyses/{analysis_id}/new-revision</x:v>
      </x:c>
      <x:c r="D253" s="13" t="str">
        <x:v>USER MODE</x:v>
      </x:c>
      <x:c r="E253" s="13" t="str">
        <x:v>business_analysis</x:v>
      </x:c>
      <x:c r="F253" s="13" t="str">
        <x:v>clone revision</x:v>
      </x:c>
      <x:c r="G253" s="13" t="str">
        <x:v>business_analysis.create</x:v>
      </x:c>
      <x:c r="H253" s="13" t="str">
        <x:v>LIVE_ROUTER_REGISTERED</x:v>
      </x:c>
      <x:c r="I253" s="13" t="str">
        <x:v>frontend/src/features/business-analysis/api.ts</x:v>
      </x:c>
      <x:c r="J253" s="13" t="str">
        <x:v>NOT_EXECUTED_BY_INVENTORY. SOURCE_LITERAL_OR_TRANSITIVE_HELPER_UNION</x:v>
      </x:c>
    </x:row>
    <x:row r="254" ht="42" customHeight="1">
      <x:c r="A254" s="14" t="str">
        <x:v>API-50</x:v>
      </x:c>
      <x:c r="B254" s="6" t="str">
        <x:v>GET</x:v>
      </x:c>
      <x:c r="C254" s="6" t="str">
        <x:v>/api/v1/business-analyses/{analysis_id}/readiness</x:v>
      </x:c>
      <x:c r="D254" s="6" t="str">
        <x:v>READ-ONLY SHARED CONTEXT</x:v>
      </x:c>
      <x:c r="E254" s="6" t="str">
        <x:v>business_analysis</x:v>
      </x:c>
      <x:c r="F254" s="6" t="str">
        <x:v>readiness</x:v>
      </x:c>
      <x:c r="G254" s="6" t="str">
        <x:v>business_analysis.read</x:v>
      </x:c>
      <x:c r="H254" s="6" t="str">
        <x:v>LIVE_ROUTER_REGISTERED</x:v>
      </x:c>
      <x:c r="I254" s="6" t="str">
        <x:v>frontend/src/features/business-analysis/api.ts</x:v>
      </x:c>
      <x:c r="J254" s="6" t="str">
        <x:v>NOT_EXECUTED_BY_INVENTORY. SOURCE_LITERAL_OR_TRANSITIVE_HELPER_UNION</x:v>
      </x:c>
    </x:row>
    <x:row r="255" ht="42" customHeight="1">
      <x:c r="A255" s="15" t="str">
        <x:v>API-51</x:v>
      </x:c>
      <x:c r="B255" s="13" t="str">
        <x:v>POST</x:v>
      </x:c>
      <x:c r="C255" s="13" t="str">
        <x:v>/api/v1/business-analyses/{analysis_id}/return</x:v>
      </x:c>
      <x:c r="D255" s="13" t="str">
        <x:v>USER MODE</x:v>
      </x:c>
      <x:c r="E255" s="13" t="str">
        <x:v>business_analysis</x:v>
      </x:c>
      <x:c r="F255" s="13" t="str">
        <x:v>return analysis</x:v>
      </x:c>
      <x:c r="G255" s="13" t="str">
        <x:v>business_analysis.review</x:v>
      </x:c>
      <x:c r="H255" s="13" t="str">
        <x:v>LIVE_ROUTER_REGISTERED</x:v>
      </x:c>
      <x:c r="I255" s="13" t="str">
        <x:v>NO_DIRECT_LITERAL_MATCH_NOT_PROOF_UNUSED</x:v>
      </x:c>
      <x:c r="J255" s="13" t="str">
        <x:v>NOT_EXECUTED_BY_INVENTORY. SOURCE_LITERAL_OR_TRANSITIVE_HELPER_UNION</x:v>
      </x:c>
    </x:row>
    <x:row r="256" ht="42" customHeight="1">
      <x:c r="A256" s="14" t="str">
        <x:v>API-52</x:v>
      </x:c>
      <x:c r="B256" s="6" t="str">
        <x:v>POST</x:v>
      </x:c>
      <x:c r="C256" s="6" t="str">
        <x:v>/api/v1/business-analyses/{analysis_id}/void</x:v>
      </x:c>
      <x:c r="D256" s="6" t="str">
        <x:v>USER MODE</x:v>
      </x:c>
      <x:c r="E256" s="6" t="str">
        <x:v>business_analysis</x:v>
      </x:c>
      <x:c r="F256" s="6" t="str">
        <x:v>void analysis</x:v>
      </x:c>
      <x:c r="G256" s="6" t="str">
        <x:v>business_analysis.edit</x:v>
      </x:c>
      <x:c r="H256" s="6" t="str">
        <x:v>LIVE_ROUTER_REGISTERED</x:v>
      </x:c>
      <x:c r="I256" s="6" t="str">
        <x:v>NO_DIRECT_LITERAL_MATCH_NOT_PROOF_UNUSED</x:v>
      </x:c>
      <x:c r="J256" s="6" t="str">
        <x:v>NOT_EXECUTED_BY_INVENTORY. SOURCE_LITERAL_OR_TRANSITIVE_HELPER_UNION</x:v>
      </x:c>
    </x:row>
    <x:row r="257" ht="42" customHeight="1">
      <x:c r="A257" s="15" t="str">
        <x:v>API-53</x:v>
      </x:c>
      <x:c r="B257" s="13" t="str">
        <x:v>GET</x:v>
      </x:c>
      <x:c r="C257" s="13" t="str">
        <x:v>/api/v1/ideas/{idea_id}/business-analyses</x:v>
      </x:c>
      <x:c r="D257" s="13" t="str">
        <x:v>READ-ONLY SHARED CONTEXT</x:v>
      </x:c>
      <x:c r="E257" s="13" t="str">
        <x:v>business_analysis</x:v>
      </x:c>
      <x:c r="F257" s="13" t="str">
        <x:v>idea business analyses</x:v>
      </x:c>
      <x:c r="G257" s="13" t="str">
        <x:v>business_analysis.read</x:v>
      </x:c>
      <x:c r="H257" s="13" t="str">
        <x:v>LIVE_ROUTER_REGISTERED</x:v>
      </x:c>
      <x:c r="I257" s="13" t="str">
        <x:v>NO_DIRECT_LITERAL_MATCH_NOT_PROOF_UNUSED</x:v>
      </x:c>
      <x:c r="J257" s="13" t="str">
        <x:v>NOT_EXECUTED_BY_INVENTORY. SOURCE_LITERAL_OR_TRANSITIVE_HELPER_UNION</x:v>
      </x:c>
    </x:row>
    <x:row r="258" ht="42" customHeight="1">
      <x:c r="A258" s="14" t="str">
        <x:v>API-54</x:v>
      </x:c>
      <x:c r="B258" s="6" t="str">
        <x:v>GET</x:v>
      </x:c>
      <x:c r="C258" s="6" t="str">
        <x:v>/api/v1/business-case-revisions/{revision_id}</x:v>
      </x:c>
      <x:c r="D258" s="6" t="str">
        <x:v>READ-ONLY SHARED CONTEXT</x:v>
      </x:c>
      <x:c r="E258" s="6" t="str">
        <x:v>business_case</x:v>
      </x:c>
      <x:c r="F258" s="6" t="str">
        <x:v>get revision</x:v>
      </x:c>
      <x:c r="G258" s="6" t="str">
        <x:v>business_case.read</x:v>
      </x:c>
      <x:c r="H258" s="6" t="str">
        <x:v>LIVE_ROUTER_REGISTERED</x:v>
      </x:c>
      <x:c r="I258" s="6" t="str">
        <x:v>frontend/src/features/business-case/api.ts</x:v>
      </x:c>
      <x:c r="J258" s="6" t="str">
        <x:v>NOT_EXECUTED_BY_INVENTORY. SOURCE_LITERAL_OR_TRANSITIVE_HELPER_UNION</x:v>
      </x:c>
    </x:row>
    <x:row r="259" ht="42" customHeight="1">
      <x:c r="A259" s="15" t="str">
        <x:v>API-55</x:v>
      </x:c>
      <x:c r="B259" s="13" t="str">
        <x:v>PUT</x:v>
      </x:c>
      <x:c r="C259" s="13" t="str">
        <x:v>/api/v1/business-case-revisions/{revision_id}</x:v>
      </x:c>
      <x:c r="D259" s="13" t="str">
        <x:v>USER MODE</x:v>
      </x:c>
      <x:c r="E259" s="13" t="str">
        <x:v>business_case</x:v>
      </x:c>
      <x:c r="F259" s="13" t="str">
        <x:v>update revision</x:v>
      </x:c>
      <x:c r="G259" s="13" t="str">
        <x:v>business_case.edit</x:v>
      </x:c>
      <x:c r="H259" s="13" t="str">
        <x:v>LIVE_ROUTER_REGISTERED</x:v>
      </x:c>
      <x:c r="I259" s="13" t="str">
        <x:v>frontend/src/features/business-case/api.ts</x:v>
      </x:c>
      <x:c r="J259" s="13" t="str">
        <x:v>NOT_EXECUTED_BY_INVENTORY. SOURCE_LITERAL_OR_TRANSITIVE_HELPER_UNION</x:v>
      </x:c>
    </x:row>
    <x:row r="260" ht="42" customHeight="1">
      <x:c r="A260" s="14" t="str">
        <x:v>API-56</x:v>
      </x:c>
      <x:c r="B260" s="6" t="str">
        <x:v>POST</x:v>
      </x:c>
      <x:c r="C260" s="6" t="str">
        <x:v>/api/v1/business-case-revisions/{revision_id}/complete</x:v>
      </x:c>
      <x:c r="D260" s="6" t="str">
        <x:v>USER MODE</x:v>
      </x:c>
      <x:c r="E260" s="6" t="str">
        <x:v>business_case</x:v>
      </x:c>
      <x:c r="F260" s="6" t="str">
        <x:v>complete revision</x:v>
      </x:c>
      <x:c r="G260" s="6" t="str">
        <x:v>business_case.complete</x:v>
      </x:c>
      <x:c r="H260" s="6" t="str">
        <x:v>LIVE_ROUTER_REGISTERED</x:v>
      </x:c>
      <x:c r="I260" s="6" t="str">
        <x:v>frontend/src/features/business-case/api.ts</x:v>
      </x:c>
      <x:c r="J260" s="6" t="str">
        <x:v>NOT_EXECUTED_BY_INVENTORY. SOURCE_LITERAL_OR_TRANSITIVE_HELPER_UNION</x:v>
      </x:c>
    </x:row>
    <x:row r="261" ht="42" customHeight="1">
      <x:c r="A261" s="15" t="str">
        <x:v>API-57</x:v>
      </x:c>
      <x:c r="B261" s="13" t="str">
        <x:v>POST</x:v>
      </x:c>
      <x:c r="C261" s="13" t="str">
        <x:v>/api/v1/business-case-revisions/{revision_id}/submit-review</x:v>
      </x:c>
      <x:c r="D261" s="13" t="str">
        <x:v>USER MODE</x:v>
      </x:c>
      <x:c r="E261" s="13" t="str">
        <x:v>business_case</x:v>
      </x:c>
      <x:c r="F261" s="13" t="str">
        <x:v>submit review</x:v>
      </x:c>
      <x:c r="G261" s="13" t="str">
        <x:v>business_case.submit_review</x:v>
      </x:c>
      <x:c r="H261" s="13" t="str">
        <x:v>LIVE_ROUTER_REGISTERED</x:v>
      </x:c>
      <x:c r="I261" s="13" t="str">
        <x:v>frontend/src/features/business-case/api.ts</x:v>
      </x:c>
      <x:c r="J261" s="13" t="str">
        <x:v>NOT_EXECUTED_BY_INVENTORY. SOURCE_LITERAL_OR_TRANSITIVE_HELPER_UNION</x:v>
      </x:c>
    </x:row>
    <x:row r="262" ht="42" customHeight="1">
      <x:c r="A262" s="14" t="str">
        <x:v>API-58</x:v>
      </x:c>
      <x:c r="B262" s="6" t="str">
        <x:v>GET</x:v>
      </x:c>
      <x:c r="C262" s="6" t="str">
        <x:v>/api/v1/business-cases</x:v>
      </x:c>
      <x:c r="D262" s="6" t="str">
        <x:v>READ-ONLY SHARED CONTEXT</x:v>
      </x:c>
      <x:c r="E262" s="6" t="str">
        <x:v>business_case</x:v>
      </x:c>
      <x:c r="F262" s="6" t="str">
        <x:v>list business cases</x:v>
      </x:c>
      <x:c r="G262" s="6" t="str">
        <x:v>business_case.read</x:v>
      </x:c>
      <x:c r="H262" s="6" t="str">
        <x:v>LIVE_ROUTER_REGISTERED</x:v>
      </x:c>
      <x:c r="I262" s="6" t="str">
        <x:v>frontend/src/features/business-case/api.ts</x:v>
      </x:c>
      <x:c r="J262" s="6" t="str">
        <x:v>NOT_EXECUTED_BY_INVENTORY. SOURCE_LITERAL_OR_TRANSITIVE_HELPER_UNION</x:v>
      </x:c>
    </x:row>
    <x:row r="263" ht="42" customHeight="1">
      <x:c r="A263" s="15" t="str">
        <x:v>API-59</x:v>
      </x:c>
      <x:c r="B263" s="13" t="str">
        <x:v>POST</x:v>
      </x:c>
      <x:c r="C263" s="13" t="str">
        <x:v>/api/v1/business-cases</x:v>
      </x:c>
      <x:c r="D263" s="13" t="str">
        <x:v>USER MODE</x:v>
      </x:c>
      <x:c r="E263" s="13" t="str">
        <x:v>business_case</x:v>
      </x:c>
      <x:c r="F263" s="13" t="str">
        <x:v>create business case</x:v>
      </x:c>
      <x:c r="G263" s="13" t="str">
        <x:v>business_case.create</x:v>
      </x:c>
      <x:c r="H263" s="13" t="str">
        <x:v>LIVE_ROUTER_REGISTERED</x:v>
      </x:c>
      <x:c r="I263" s="13" t="str">
        <x:v>frontend/src/features/business-case/api.ts</x:v>
      </x:c>
      <x:c r="J263" s="13" t="str">
        <x:v>NOT_EXECUTED_BY_INVENTORY. SOURCE_LITERAL_OR_TRANSITIVE_HELPER_UNION</x:v>
      </x:c>
    </x:row>
    <x:row r="264" ht="42" customHeight="1">
      <x:c r="A264" s="14" t="str">
        <x:v>API-60</x:v>
      </x:c>
      <x:c r="B264" s="6" t="str">
        <x:v>GET</x:v>
      </x:c>
      <x:c r="C264" s="6" t="str">
        <x:v>/api/v1/business-cases/admin/configurations</x:v>
      </x:c>
      <x:c r="D264" s="6" t="str">
        <x:v>ADMIN MODE</x:v>
      </x:c>
      <x:c r="E264" s="6" t="str">
        <x:v>business_case</x:v>
      </x:c>
      <x:c r="F264" s="6" t="str">
        <x:v>configurations</x:v>
      </x:c>
      <x:c r="G264" s="6" t="str">
        <x:v>business_case.admin.configure</x:v>
      </x:c>
      <x:c r="H264" s="6" t="str">
        <x:v>LIVE_ROUTER_REGISTERED</x:v>
      </x:c>
      <x:c r="I264" s="6" t="str">
        <x:v>frontend/src/features/business-case/api.ts</x:v>
      </x:c>
      <x:c r="J264" s="6" t="str">
        <x:v>NOT_EXECUTED_BY_INVENTORY. SOURCE_LITERAL_OR_TRANSITIVE_HELPER_UNION</x:v>
      </x:c>
    </x:row>
    <x:row r="265" ht="42" customHeight="1">
      <x:c r="A265" s="15" t="str">
        <x:v>API-61</x:v>
      </x:c>
      <x:c r="B265" s="13" t="str">
        <x:v>POST</x:v>
      </x:c>
      <x:c r="C265" s="13" t="str">
        <x:v>/api/v1/business-cases/admin/configurations/preview</x:v>
      </x:c>
      <x:c r="D265" s="13" t="str">
        <x:v>ADMIN MODE</x:v>
      </x:c>
      <x:c r="E265" s="13" t="str">
        <x:v>business_case</x:v>
      </x:c>
      <x:c r="F265" s="13" t="str">
        <x:v>configuration preview</x:v>
      </x:c>
      <x:c r="G265" s="13" t="str">
        <x:v>business_case.admin.configure</x:v>
      </x:c>
      <x:c r="H265" s="13" t="str">
        <x:v>LIVE_ROUTER_REGISTERED</x:v>
      </x:c>
      <x:c r="I265" s="13" t="str">
        <x:v>frontend/src/features/business-case/api.ts</x:v>
      </x:c>
      <x:c r="J265" s="13" t="str">
        <x:v>NOT_EXECUTED_BY_INVENTORY. SOURCE_LITERAL_OR_TRANSITIVE_HELPER_UNION</x:v>
      </x:c>
    </x:row>
    <x:row r="266" ht="42" customHeight="1">
      <x:c r="A266" s="14" t="str">
        <x:v>API-62</x:v>
      </x:c>
      <x:c r="B266" s="6" t="str">
        <x:v>PUT</x:v>
      </x:c>
      <x:c r="C266" s="6" t="str">
        <x:v>/api/v1/business-cases/admin/configurations/{configuration_id}</x:v>
      </x:c>
      <x:c r="D266" s="6" t="str">
        <x:v>ADMIN MODE</x:v>
      </x:c>
      <x:c r="E266" s="6" t="str">
        <x:v>business_case</x:v>
      </x:c>
      <x:c r="F266" s="6" t="str">
        <x:v>update configuration</x:v>
      </x:c>
      <x:c r="G266" s="6" t="str">
        <x:v>business_case.admin.configure</x:v>
      </x:c>
      <x:c r="H266" s="6" t="str">
        <x:v>LIVE_ROUTER_REGISTERED</x:v>
      </x:c>
      <x:c r="I266" s="6" t="str">
        <x:v>frontend/src/features/business-case/api.ts</x:v>
      </x:c>
      <x:c r="J266" s="6" t="str">
        <x:v>NOT_EXECUTED_BY_INVENTORY. SOURCE_LITERAL_OR_TRANSITIVE_HELPER_UNION</x:v>
      </x:c>
    </x:row>
    <x:row r="267" ht="42" customHeight="1">
      <x:c r="A267" s="15" t="str">
        <x:v>API-63</x:v>
      </x:c>
      <x:c r="B267" s="13" t="str">
        <x:v>POST</x:v>
      </x:c>
      <x:c r="C267" s="13" t="str">
        <x:v>/api/v1/business-cases/admin/configurations/{configuration_id}/clone</x:v>
      </x:c>
      <x:c r="D267" s="13" t="str">
        <x:v>ADMIN MODE</x:v>
      </x:c>
      <x:c r="E267" s="13" t="str">
        <x:v>business_case</x:v>
      </x:c>
      <x:c r="F267" s="13" t="str">
        <x:v>clone configuration</x:v>
      </x:c>
      <x:c r="G267" s="13" t="str">
        <x:v>business_case.admin.configure</x:v>
      </x:c>
      <x:c r="H267" s="13" t="str">
        <x:v>LIVE_ROUTER_REGISTERED</x:v>
      </x:c>
      <x:c r="I267" s="13" t="str">
        <x:v>frontend/src/features/business-case/api.ts</x:v>
      </x:c>
      <x:c r="J267" s="13" t="str">
        <x:v>NOT_EXECUTED_BY_INVENTORY. SOURCE_LITERAL_OR_TRANSITIVE_HELPER_UNION</x:v>
      </x:c>
    </x:row>
    <x:row r="268" ht="42" customHeight="1">
      <x:c r="A268" s="14" t="str">
        <x:v>API-64</x:v>
      </x:c>
      <x:c r="B268" s="6" t="str">
        <x:v>POST</x:v>
      </x:c>
      <x:c r="C268" s="6" t="str">
        <x:v>/api/v1/business-cases/admin/configurations/{configuration_id}/publish</x:v>
      </x:c>
      <x:c r="D268" s="6" t="str">
        <x:v>ADMIN MODE</x:v>
      </x:c>
      <x:c r="E268" s="6" t="str">
        <x:v>business_case</x:v>
      </x:c>
      <x:c r="F268" s="6" t="str">
        <x:v>publish configuration</x:v>
      </x:c>
      <x:c r="G268" s="6" t="str">
        <x:v>business_case.admin.publish</x:v>
      </x:c>
      <x:c r="H268" s="6" t="str">
        <x:v>LIVE_ROUTER_REGISTERED</x:v>
      </x:c>
      <x:c r="I268" s="6" t="str">
        <x:v>frontend/src/features/business-case/api.ts</x:v>
      </x:c>
      <x:c r="J268" s="6" t="str">
        <x:v>NOT_EXECUTED_BY_INVENTORY. SOURCE_LITERAL_OR_TRANSITIVE_HELPER_UNION</x:v>
      </x:c>
    </x:row>
    <x:row r="269" ht="42" customHeight="1">
      <x:c r="A269" s="15" t="str">
        <x:v>API-65</x:v>
      </x:c>
      <x:c r="B269" s="13" t="str">
        <x:v>GET</x:v>
      </x:c>
      <x:c r="C269" s="13" t="str">
        <x:v>/api/v1/business-cases/{business_case_id}</x:v>
      </x:c>
      <x:c r="D269" s="13" t="str">
        <x:v>READ-ONLY SHARED CONTEXT</x:v>
      </x:c>
      <x:c r="E269" s="13" t="str">
        <x:v>business_case</x:v>
      </x:c>
      <x:c r="F269" s="13" t="str">
        <x:v>get business case</x:v>
      </x:c>
      <x:c r="G269" s="13" t="str">
        <x:v>business_case.read</x:v>
      </x:c>
      <x:c r="H269" s="13" t="str">
        <x:v>LIVE_ROUTER_REGISTERED</x:v>
      </x:c>
      <x:c r="I269" s="13" t="str">
        <x:v>NO_DIRECT_LITERAL_MATCH_NOT_PROOF_UNUSED</x:v>
      </x:c>
      <x:c r="J269" s="13" t="str">
        <x:v>NOT_EXECUTED_BY_INVENTORY. SOURCE_LITERAL_OR_TRANSITIVE_HELPER_UNION</x:v>
      </x:c>
    </x:row>
    <x:row r="270" ht="42" customHeight="1">
      <x:c r="A270" s="14" t="str">
        <x:v>API-66</x:v>
      </x:c>
      <x:c r="B270" s="6" t="str">
        <x:v>GET</x:v>
      </x:c>
      <x:c r="C270" s="6" t="str">
        <x:v>/api/v1/business-cases/{business_case_id}/decision-snapshots</x:v>
      </x:c>
      <x:c r="D270" s="6" t="str">
        <x:v>READ-ONLY SHARED CONTEXT</x:v>
      </x:c>
      <x:c r="E270" s="6" t="str">
        <x:v>business_case</x:v>
      </x:c>
      <x:c r="F270" s="6" t="str">
        <x:v>list snapshots</x:v>
      </x:c>
      <x:c r="G270" s="6" t="str">
        <x:v>business_case.read</x:v>
      </x:c>
      <x:c r="H270" s="6" t="str">
        <x:v>LIVE_ROUTER_REGISTERED</x:v>
      </x:c>
      <x:c r="I270" s="6" t="str">
        <x:v>frontend/src/features/business-case/api.ts</x:v>
      </x:c>
      <x:c r="J270" s="6" t="str">
        <x:v>NOT_EXECUTED_BY_INVENTORY. SOURCE_LITERAL_OR_TRANSITIVE_HELPER_UNION</x:v>
      </x:c>
    </x:row>
    <x:row r="271" ht="42" customHeight="1">
      <x:c r="A271" s="15" t="str">
        <x:v>API-67</x:v>
      </x:c>
      <x:c r="B271" s="13" t="str">
        <x:v>POST</x:v>
      </x:c>
      <x:c r="C271" s="13" t="str">
        <x:v>/api/v1/business-cases/{business_case_id}/decision-snapshots</x:v>
      </x:c>
      <x:c r="D271" s="13" t="str">
        <x:v>USER MODE</x:v>
      </x:c>
      <x:c r="E271" s="13" t="str">
        <x:v>business_case</x:v>
      </x:c>
      <x:c r="F271" s="13" t="str">
        <x:v>create snapshot</x:v>
      </x:c>
      <x:c r="G271" s="13" t="str">
        <x:v>business_case.snapshot</x:v>
      </x:c>
      <x:c r="H271" s="13" t="str">
        <x:v>LIVE_ROUTER_REGISTERED</x:v>
      </x:c>
      <x:c r="I271" s="13" t="str">
        <x:v>frontend/src/features/business-case/api.ts</x:v>
      </x:c>
      <x:c r="J271" s="13" t="str">
        <x:v>NOT_EXECUTED_BY_INVENTORY. SOURCE_LITERAL_OR_TRANSITIVE_HELPER_UNION</x:v>
      </x:c>
    </x:row>
    <x:row r="272" ht="42" customHeight="1">
      <x:c r="A272" s="14" t="str">
        <x:v>API-68</x:v>
      </x:c>
      <x:c r="B272" s="6" t="str">
        <x:v>GET</x:v>
      </x:c>
      <x:c r="C272" s="6" t="str">
        <x:v>/api/v1/business-cases/{business_case_id}/material-change</x:v>
      </x:c>
      <x:c r="D272" s="6" t="str">
        <x:v>READ-ONLY SHARED CONTEXT</x:v>
      </x:c>
      <x:c r="E272" s="6" t="str">
        <x:v>business_case</x:v>
      </x:c>
      <x:c r="F272" s="6" t="str">
        <x:v>material change</x:v>
      </x:c>
      <x:c r="G272" s="6" t="str">
        <x:v>business_case.read</x:v>
      </x:c>
      <x:c r="H272" s="6" t="str">
        <x:v>LIVE_ROUTER_REGISTERED</x:v>
      </x:c>
      <x:c r="I272" s="6" t="str">
        <x:v>NO_DIRECT_LITERAL_MATCH_NOT_PROOF_UNUSED</x:v>
      </x:c>
      <x:c r="J272" s="6" t="str">
        <x:v>NOT_EXECUTED_BY_INVENTORY. SOURCE_LITERAL_OR_TRANSITIVE_HELPER_UNION</x:v>
      </x:c>
    </x:row>
    <x:row r="273" ht="42" customHeight="1">
      <x:c r="A273" s="15" t="str">
        <x:v>API-69</x:v>
      </x:c>
      <x:c r="B273" s="13" t="str">
        <x:v>POST</x:v>
      </x:c>
      <x:c r="C273" s="13" t="str">
        <x:v>/api/v1/business-cases/{business_case_id}/material-change/review</x:v>
      </x:c>
      <x:c r="D273" s="13" t="str">
        <x:v>USER MODE</x:v>
      </x:c>
      <x:c r="E273" s="13" t="str">
        <x:v>business_case</x:v>
      </x:c>
      <x:c r="F273" s="13" t="str">
        <x:v>material change review</x:v>
      </x:c>
      <x:c r="G273" s="13" t="str">
        <x:v>business_case.material_change.review</x:v>
      </x:c>
      <x:c r="H273" s="13" t="str">
        <x:v>LIVE_ROUTER_REGISTERED</x:v>
      </x:c>
      <x:c r="I273" s="13" t="str">
        <x:v>NO_DIRECT_LITERAL_MATCH_NOT_PROOF_UNUSED</x:v>
      </x:c>
      <x:c r="J273" s="13" t="str">
        <x:v>NOT_EXECUTED_BY_INVENTORY. SOURCE_LITERAL_OR_TRANSITIVE_HELPER_UNION</x:v>
      </x:c>
    </x:row>
    <x:row r="274" ht="42" customHeight="1">
      <x:c r="A274" s="14" t="str">
        <x:v>API-70</x:v>
      </x:c>
      <x:c r="B274" s="6" t="str">
        <x:v>GET</x:v>
      </x:c>
      <x:c r="C274" s="6" t="str">
        <x:v>/api/v1/business-cases/{business_case_id}/readiness</x:v>
      </x:c>
      <x:c r="D274" s="6" t="str">
        <x:v>READ-ONLY SHARED CONTEXT</x:v>
      </x:c>
      <x:c r="E274" s="6" t="str">
        <x:v>business_case</x:v>
      </x:c>
      <x:c r="F274" s="6" t="str">
        <x:v>readiness</x:v>
      </x:c>
      <x:c r="G274" s="6" t="str">
        <x:v>business_case.read</x:v>
      </x:c>
      <x:c r="H274" s="6" t="str">
        <x:v>LIVE_ROUTER_REGISTERED</x:v>
      </x:c>
      <x:c r="I274" s="6" t="str">
        <x:v>frontend/src/features/business-case/api.ts</x:v>
      </x:c>
      <x:c r="J274" s="6" t="str">
        <x:v>NOT_EXECUTED_BY_INVENTORY. SOURCE_LITERAL_OR_TRANSITIVE_HELPER_UNION</x:v>
      </x:c>
    </x:row>
    <x:row r="275" ht="42" customHeight="1">
      <x:c r="A275" s="15" t="str">
        <x:v>API-71</x:v>
      </x:c>
      <x:c r="B275" s="13" t="str">
        <x:v>POST</x:v>
      </x:c>
      <x:c r="C275" s="13" t="str">
        <x:v>/api/v1/business-cases/{business_case_id}/refresh</x:v>
      </x:c>
      <x:c r="D275" s="13" t="str">
        <x:v>USER MODE</x:v>
      </x:c>
      <x:c r="E275" s="13" t="str">
        <x:v>business_case</x:v>
      </x:c>
      <x:c r="F275" s="13" t="str">
        <x:v>refresh</x:v>
      </x:c>
      <x:c r="G275" s="13" t="str">
        <x:v>business_case.refresh</x:v>
      </x:c>
      <x:c r="H275" s="13" t="str">
        <x:v>LIVE_ROUTER_REGISTERED</x:v>
      </x:c>
      <x:c r="I275" s="13" t="str">
        <x:v>frontend/src/features/business-case/api.ts</x:v>
      </x:c>
      <x:c r="J275" s="13" t="str">
        <x:v>NOT_EXECUTED_BY_INVENTORY. SOURCE_LITERAL_OR_TRANSITIVE_HELPER_UNION</x:v>
      </x:c>
    </x:row>
    <x:row r="276" ht="42" customHeight="1">
      <x:c r="A276" s="14" t="str">
        <x:v>API-72</x:v>
      </x:c>
      <x:c r="B276" s="6" t="str">
        <x:v>POST</x:v>
      </x:c>
      <x:c r="C276" s="6" t="str">
        <x:v>/api/v1/business-cases/{business_case_id}/refresh/preview</x:v>
      </x:c>
      <x:c r="D276" s="6" t="str">
        <x:v>USER MODE</x:v>
      </x:c>
      <x:c r="E276" s="6" t="str">
        <x:v>business_case</x:v>
      </x:c>
      <x:c r="F276" s="6" t="str">
        <x:v>refresh preview</x:v>
      </x:c>
      <x:c r="G276" s="6" t="str">
        <x:v>business_case.refresh</x:v>
      </x:c>
      <x:c r="H276" s="6" t="str">
        <x:v>LIVE_ROUTER_REGISTERED</x:v>
      </x:c>
      <x:c r="I276" s="6" t="str">
        <x:v>frontend/src/features/business-case/api.ts</x:v>
      </x:c>
      <x:c r="J276" s="6" t="str">
        <x:v>NOT_EXECUTED_BY_INVENTORY. SOURCE_LITERAL_OR_TRANSITIVE_HELPER_UNION</x:v>
      </x:c>
    </x:row>
    <x:row r="277" ht="42" customHeight="1">
      <x:c r="A277" s="15" t="str">
        <x:v>API-73</x:v>
      </x:c>
      <x:c r="B277" s="13" t="str">
        <x:v>GET</x:v>
      </x:c>
      <x:c r="C277" s="13" t="str">
        <x:v>/api/v1/business-cases/{business_case_id}/revisions</x:v>
      </x:c>
      <x:c r="D277" s="13" t="str">
        <x:v>READ-ONLY SHARED CONTEXT</x:v>
      </x:c>
      <x:c r="E277" s="13" t="str">
        <x:v>business_case</x:v>
      </x:c>
      <x:c r="F277" s="13" t="str">
        <x:v>list revisions</x:v>
      </x:c>
      <x:c r="G277" s="13" t="str">
        <x:v>business_case.read</x:v>
      </x:c>
      <x:c r="H277" s="13" t="str">
        <x:v>LIVE_ROUTER_REGISTERED</x:v>
      </x:c>
      <x:c r="I277" s="13" t="str">
        <x:v>frontend/src/features/business-case/api.ts</x:v>
      </x:c>
      <x:c r="J277" s="13" t="str">
        <x:v>NOT_EXECUTED_BY_INVENTORY. SOURCE_LITERAL_OR_TRANSITIVE_HELPER_UNION</x:v>
      </x:c>
    </x:row>
    <x:row r="278" ht="42" customHeight="1">
      <x:c r="A278" s="14" t="str">
        <x:v>API-74</x:v>
      </x:c>
      <x:c r="B278" s="6" t="str">
        <x:v>POST</x:v>
      </x:c>
      <x:c r="C278" s="6" t="str">
        <x:v>/api/v1/business-cases/{business_case_id}/revisions</x:v>
      </x:c>
      <x:c r="D278" s="6" t="str">
        <x:v>USER MODE</x:v>
      </x:c>
      <x:c r="E278" s="6" t="str">
        <x:v>business_case</x:v>
      </x:c>
      <x:c r="F278" s="6" t="str">
        <x:v>create revision</x:v>
      </x:c>
      <x:c r="G278" s="6" t="str">
        <x:v>business_case.create_revision</x:v>
      </x:c>
      <x:c r="H278" s="6" t="str">
        <x:v>LIVE_ROUTER_REGISTERED</x:v>
      </x:c>
      <x:c r="I278" s="6" t="str">
        <x:v>frontend/src/features/business-case/api.ts</x:v>
      </x:c>
      <x:c r="J278" s="6" t="str">
        <x:v>NOT_EXECUTED_BY_INVENTORY. SOURCE_LITERAL_OR_TRANSITIVE_HELPER_UNION</x:v>
      </x:c>
    </x:row>
    <x:row r="279" ht="42" customHeight="1">
      <x:c r="A279" s="15" t="str">
        <x:v>API-75</x:v>
      </x:c>
      <x:c r="B279" s="13" t="str">
        <x:v>GET</x:v>
      </x:c>
      <x:c r="C279" s="13" t="str">
        <x:v>/api/v1/projects/{project_id}/business-case</x:v>
      </x:c>
      <x:c r="D279" s="13" t="str">
        <x:v>READ-ONLY SHARED CONTEXT</x:v>
      </x:c>
      <x:c r="E279" s="13" t="str">
        <x:v>business_case</x:v>
      </x:c>
      <x:c r="F279" s="13" t="str">
        <x:v>get project business case</x:v>
      </x:c>
      <x:c r="G279" s="13" t="str">
        <x:v>business_case.read</x:v>
      </x:c>
      <x:c r="H279" s="13" t="str">
        <x:v>LIVE_ROUTER_REGISTERED</x:v>
      </x:c>
      <x:c r="I279" s="13" t="str">
        <x:v>NO_DIRECT_LITERAL_MATCH_NOT_PROOF_UNUSED</x:v>
      </x:c>
      <x:c r="J279" s="13" t="str">
        <x:v>NOT_EXECUTED_BY_INVENTORY. SOURCE_LITERAL_OR_TRANSITIVE_HELPER_UNION</x:v>
      </x:c>
    </x:row>
    <x:row r="280" ht="42" customHeight="1">
      <x:c r="A280" s="14" t="str">
        <x:v>API-76</x:v>
      </x:c>
      <x:c r="B280" s="6" t="str">
        <x:v>GET</x:v>
      </x:c>
      <x:c r="C280" s="6" t="str">
        <x:v>/api/v1/capital-planning/admin/configurations</x:v>
      </x:c>
      <x:c r="D280" s="6" t="str">
        <x:v>ADMIN MODE</x:v>
      </x:c>
      <x:c r="E280" s="6" t="str">
        <x:v>capital_planning</x:v>
      </x:c>
      <x:c r="F280" s="6" t="str">
        <x:v>configurations</x:v>
      </x:c>
      <x:c r="G280" s="6" t="str">
        <x:v>capital_planning.admin.configure</x:v>
      </x:c>
      <x:c r="H280" s="6" t="str">
        <x:v>LIVE_ROUTER_REGISTERED</x:v>
      </x:c>
      <x:c r="I280" s="6" t="str">
        <x:v>frontend/src/features/capital-planning/api.ts</x:v>
      </x:c>
      <x:c r="J280" s="6" t="str">
        <x:v>NOT_EXECUTED_BY_INVENTORY. SOURCE_LITERAL_OR_TRANSITIVE_HELPER_UNION</x:v>
      </x:c>
    </x:row>
    <x:row r="281" ht="42" customHeight="1">
      <x:c r="A281" s="15" t="str">
        <x:v>API-77</x:v>
      </x:c>
      <x:c r="B281" s="13" t="str">
        <x:v>PUT</x:v>
      </x:c>
      <x:c r="C281" s="13" t="str">
        <x:v>/api/v1/capital-planning/admin/configurations/{configuration_id}</x:v>
      </x:c>
      <x:c r="D281" s="13" t="str">
        <x:v>ADMIN MODE</x:v>
      </x:c>
      <x:c r="E281" s="13" t="str">
        <x:v>capital_planning</x:v>
      </x:c>
      <x:c r="F281" s="13" t="str">
        <x:v>update configuration</x:v>
      </x:c>
      <x:c r="G281" s="13" t="str">
        <x:v>capital_planning.admin.configure</x:v>
      </x:c>
      <x:c r="H281" s="13" t="str">
        <x:v>LIVE_ROUTER_REGISTERED</x:v>
      </x:c>
      <x:c r="I281" s="13" t="str">
        <x:v>frontend/src/features/capital-planning/api.ts</x:v>
      </x:c>
      <x:c r="J281" s="13" t="str">
        <x:v>NOT_EXECUTED_BY_INVENTORY. SOURCE_LITERAL_OR_TRANSITIVE_HELPER_UNION</x:v>
      </x:c>
    </x:row>
    <x:row r="282" ht="42" customHeight="1">
      <x:c r="A282" s="14" t="str">
        <x:v>API-78</x:v>
      </x:c>
      <x:c r="B282" s="6" t="str">
        <x:v>POST</x:v>
      </x:c>
      <x:c r="C282" s="6" t="str">
        <x:v>/api/v1/capital-planning/admin/configurations/{configuration_id}/clone</x:v>
      </x:c>
      <x:c r="D282" s="6" t="str">
        <x:v>ADMIN MODE</x:v>
      </x:c>
      <x:c r="E282" s="6" t="str">
        <x:v>capital_planning</x:v>
      </x:c>
      <x:c r="F282" s="6" t="str">
        <x:v>clone configuration</x:v>
      </x:c>
      <x:c r="G282" s="6" t="str">
        <x:v>capital_planning.admin.configure</x:v>
      </x:c>
      <x:c r="H282" s="6" t="str">
        <x:v>LIVE_ROUTER_REGISTERED</x:v>
      </x:c>
      <x:c r="I282" s="6" t="str">
        <x:v>frontend/src/features/capital-planning/api.ts</x:v>
      </x:c>
      <x:c r="J282" s="6" t="str">
        <x:v>NOT_EXECUTED_BY_INVENTORY. SOURCE_LITERAL_OR_TRANSITIVE_HELPER_UNION</x:v>
      </x:c>
    </x:row>
    <x:row r="283" ht="42" customHeight="1">
      <x:c r="A283" s="15" t="str">
        <x:v>API-79</x:v>
      </x:c>
      <x:c r="B283" s="13" t="str">
        <x:v>POST</x:v>
      </x:c>
      <x:c r="C283" s="13" t="str">
        <x:v>/api/v1/capital-planning/admin/preview</x:v>
      </x:c>
      <x:c r="D283" s="13" t="str">
        <x:v>ADMIN MODE</x:v>
      </x:c>
      <x:c r="E283" s="13" t="str">
        <x:v>capital_planning</x:v>
      </x:c>
      <x:c r="F283" s="13" t="str">
        <x:v>preview configuration</x:v>
      </x:c>
      <x:c r="G283" s="13" t="str">
        <x:v>capital_planning.admin.configure</x:v>
      </x:c>
      <x:c r="H283" s="13" t="str">
        <x:v>LIVE_ROUTER_REGISTERED</x:v>
      </x:c>
      <x:c r="I283" s="13" t="str">
        <x:v>frontend/src/features/capital-planning/api.ts</x:v>
      </x:c>
      <x:c r="J283" s="13" t="str">
        <x:v>NOT_EXECUTED_BY_INVENTORY. SOURCE_LITERAL_OR_TRANSITIVE_HELPER_UNION</x:v>
      </x:c>
    </x:row>
    <x:row r="284" ht="42" customHeight="1">
      <x:c r="A284" s="14" t="str">
        <x:v>API-80</x:v>
      </x:c>
      <x:c r="B284" s="6" t="str">
        <x:v>GET</x:v>
      </x:c>
      <x:c r="C284" s="6" t="str">
        <x:v>/api/v1/capital-planning/allocation-options</x:v>
      </x:c>
      <x:c r="D284" s="6" t="str">
        <x:v>READ-ONLY SHARED CONTEXT</x:v>
      </x:c>
      <x:c r="E284" s="6" t="str">
        <x:v>capital_planning</x:v>
      </x:c>
      <x:c r="F284" s="6" t="str">
        <x:v>allocation options</x:v>
      </x:c>
      <x:c r="G284" s="6" t="str">
        <x:v>capital_planning.allocation.read</x:v>
      </x:c>
      <x:c r="H284" s="6" t="str">
        <x:v>LIVE_ROUTER_REGISTERED</x:v>
      </x:c>
      <x:c r="I284" s="6" t="str">
        <x:v>NO_DIRECT_LITERAL_MATCH_NOT_PROOF_UNUSED</x:v>
      </x:c>
      <x:c r="J284" s="6" t="str">
        <x:v>NOT_EXECUTED_BY_INVENTORY. SOURCE_LITERAL_OR_TRANSITIVE_HELPER_UNION</x:v>
      </x:c>
    </x:row>
    <x:row r="285" ht="42" customHeight="1">
      <x:c r="A285" s="15" t="str">
        <x:v>API-81</x:v>
      </x:c>
      <x:c r="B285" s="13" t="str">
        <x:v>GET</x:v>
      </x:c>
      <x:c r="C285" s="13" t="str">
        <x:v>/api/v1/capital-planning/allocation-plans</x:v>
      </x:c>
      <x:c r="D285" s="13" t="str">
        <x:v>READ-ONLY SHARED CONTEXT</x:v>
      </x:c>
      <x:c r="E285" s="13" t="str">
        <x:v>capital_planning</x:v>
      </x:c>
      <x:c r="F285" s="13" t="str">
        <x:v>allocation plans</x:v>
      </x:c>
      <x:c r="G285" s="13" t="str">
        <x:v>capital_planning.allocation.read</x:v>
      </x:c>
      <x:c r="H285" s="13" t="str">
        <x:v>LIVE_ROUTER_REGISTERED</x:v>
      </x:c>
      <x:c r="I285" s="13" t="str">
        <x:v>frontend/src/features/capital-allocation/api.ts</x:v>
      </x:c>
      <x:c r="J285" s="13" t="str">
        <x:v>NOT_EXECUTED_BY_INVENTORY. SOURCE_LITERAL_OR_TRANSITIVE_HELPER_UNION</x:v>
      </x:c>
    </x:row>
    <x:row r="286" ht="42" customHeight="1">
      <x:c r="A286" s="14" t="str">
        <x:v>API-82</x:v>
      </x:c>
      <x:c r="B286" s="6" t="str">
        <x:v>POST</x:v>
      </x:c>
      <x:c r="C286" s="6" t="str">
        <x:v>/api/v1/capital-planning/allocation-plans</x:v>
      </x:c>
      <x:c r="D286" s="6" t="str">
        <x:v>USER MODE</x:v>
      </x:c>
      <x:c r="E286" s="6" t="str">
        <x:v>capital_planning</x:v>
      </x:c>
      <x:c r="F286" s="6" t="str">
        <x:v>create allocation plan</x:v>
      </x:c>
      <x:c r="G286" s="6" t="str">
        <x:v>capital_planning.allocation.create</x:v>
      </x:c>
      <x:c r="H286" s="6" t="str">
        <x:v>LIVE_ROUTER_REGISTERED</x:v>
      </x:c>
      <x:c r="I286" s="6" t="str">
        <x:v>frontend/src/features/capital-allocation/api.ts</x:v>
      </x:c>
      <x:c r="J286" s="6" t="str">
        <x:v>NOT_EXECUTED_BY_INVENTORY. SOURCE_LITERAL_OR_TRANSITIVE_HELPER_UNION</x:v>
      </x:c>
    </x:row>
    <x:row r="287" ht="42" customHeight="1">
      <x:c r="A287" s="15" t="str">
        <x:v>API-83</x:v>
      </x:c>
      <x:c r="B287" s="13" t="str">
        <x:v>GET</x:v>
      </x:c>
      <x:c r="C287" s="13" t="str">
        <x:v>/api/v1/capital-planning/allocation-plans/{plan_id}</x:v>
      </x:c>
      <x:c r="D287" s="13" t="str">
        <x:v>READ-ONLY SHARED CONTEXT</x:v>
      </x:c>
      <x:c r="E287" s="13" t="str">
        <x:v>capital_planning</x:v>
      </x:c>
      <x:c r="F287" s="13" t="str">
        <x:v>allocation plan</x:v>
      </x:c>
      <x:c r="G287" s="13" t="str">
        <x:v>capital_planning.allocation.read</x:v>
      </x:c>
      <x:c r="H287" s="13" t="str">
        <x:v>LIVE_ROUTER_REGISTERED</x:v>
      </x:c>
      <x:c r="I287" s="13" t="str">
        <x:v>frontend/src/features/capital-allocation/api.ts</x:v>
      </x:c>
      <x:c r="J287" s="13" t="str">
        <x:v>NOT_EXECUTED_BY_INVENTORY. SOURCE_LITERAL_OR_TRANSITIVE_HELPER_UNION</x:v>
      </x:c>
    </x:row>
    <x:row r="288" ht="42" customHeight="1">
      <x:c r="A288" s="14" t="str">
        <x:v>API-84</x:v>
      </x:c>
      <x:c r="B288" s="6" t="str">
        <x:v>PUT</x:v>
      </x:c>
      <x:c r="C288" s="6" t="str">
        <x:v>/api/v1/capital-planning/allocation-plans/{plan_id}</x:v>
      </x:c>
      <x:c r="D288" s="6" t="str">
        <x:v>USER MODE</x:v>
      </x:c>
      <x:c r="E288" s="6" t="str">
        <x:v>capital_planning</x:v>
      </x:c>
      <x:c r="F288" s="6" t="str">
        <x:v>update allocation plan</x:v>
      </x:c>
      <x:c r="G288" s="6" t="str">
        <x:v>capital_planning.allocation.edit</x:v>
      </x:c>
      <x:c r="H288" s="6" t="str">
        <x:v>LIVE_ROUTER_REGISTERED</x:v>
      </x:c>
      <x:c r="I288" s="6" t="str">
        <x:v>frontend/src/features/capital-allocation/api.ts</x:v>
      </x:c>
      <x:c r="J288" s="6" t="str">
        <x:v>NOT_EXECUTED_BY_INVENTORY. SOURCE_LITERAL_OR_TRANSITIVE_HELPER_UNION</x:v>
      </x:c>
    </x:row>
    <x:row r="289" ht="42" customHeight="1">
      <x:c r="A289" s="15" t="str">
        <x:v>API-85</x:v>
      </x:c>
      <x:c r="B289" s="13" t="str">
        <x:v>POST</x:v>
      </x:c>
      <x:c r="C289" s="13" t="str">
        <x:v>/api/v1/capital-planning/allocation-plans/{plan_id}/classifications</x:v>
      </x:c>
      <x:c r="D289" s="13" t="str">
        <x:v>USER MODE</x:v>
      </x:c>
      <x:c r="E289" s="13" t="str">
        <x:v>capital_planning</x:v>
      </x:c>
      <x:c r="F289" s="13" t="str">
        <x:v>classify bucket</x:v>
      </x:c>
      <x:c r="G289" s="13" t="str">
        <x:v>capital_planning.bucket.classify</x:v>
      </x:c>
      <x:c r="H289" s="13" t="str">
        <x:v>LIVE_ROUTER_REGISTERED</x:v>
      </x:c>
      <x:c r="I289" s="13" t="str">
        <x:v>frontend/src/features/capital-allocation/api.ts</x:v>
      </x:c>
      <x:c r="J289" s="13" t="str">
        <x:v>NOT_EXECUTED_BY_INVENTORY. SOURCE_LITERAL_OR_TRANSITIVE_HELPER_UNION</x:v>
      </x:c>
    </x:row>
    <x:row r="290" ht="42" customHeight="1">
      <x:c r="A290" s="14" t="str">
        <x:v>API-86</x:v>
      </x:c>
      <x:c r="B290" s="6" t="str">
        <x:v>PUT</x:v>
      </x:c>
      <x:c r="C290" s="6" t="str">
        <x:v>/api/v1/capital-planning/allocation-plans/{plan_id}/classifications</x:v>
      </x:c>
      <x:c r="D290" s="6" t="str">
        <x:v>USER MODE</x:v>
      </x:c>
      <x:c r="E290" s="6" t="str">
        <x:v>capital_planning</x:v>
      </x:c>
      <x:c r="F290" s="6" t="str">
        <x:v>replace bucket classifications</x:v>
      </x:c>
      <x:c r="G290" s="6" t="str">
        <x:v>capital_planning.bucket.classify</x:v>
      </x:c>
      <x:c r="H290" s="6" t="str">
        <x:v>LIVE_ROUTER_REGISTERED</x:v>
      </x:c>
      <x:c r="I290" s="6" t="str">
        <x:v>frontend/src/features/capital-allocation/api.ts</x:v>
      </x:c>
      <x:c r="J290" s="6" t="str">
        <x:v>NOT_EXECUTED_BY_INVENTORY. SOURCE_LITERAL_OR_TRANSITIVE_HELPER_UNION</x:v>
      </x:c>
    </x:row>
    <x:row r="291" ht="42" customHeight="1">
      <x:c r="A291" s="15" t="str">
        <x:v>API-87</x:v>
      </x:c>
      <x:c r="B291" s="13" t="str">
        <x:v>GET</x:v>
      </x:c>
      <x:c r="C291" s="13" t="str">
        <x:v>/api/v1/capital-planning/allocation-plans/{plan_id}/comparison</x:v>
      </x:c>
      <x:c r="D291" s="13" t="str">
        <x:v>READ-ONLY SHARED CONTEXT</x:v>
      </x:c>
      <x:c r="E291" s="13" t="str">
        <x:v>capital_planning</x:v>
      </x:c>
      <x:c r="F291" s="13" t="str">
        <x:v>allocation comparison</x:v>
      </x:c>
      <x:c r="G291" s="13" t="str">
        <x:v>capital_planning.allocation.read</x:v>
      </x:c>
      <x:c r="H291" s="13" t="str">
        <x:v>LIVE_ROUTER_REGISTERED</x:v>
      </x:c>
      <x:c r="I291" s="13" t="str">
        <x:v>frontend/src/features/capital-allocation/api.ts</x:v>
      </x:c>
      <x:c r="J291" s="13" t="str">
        <x:v>NOT_EXECUTED_BY_INVENTORY. SOURCE_LITERAL_OR_TRANSITIVE_HELPER_UNION</x:v>
      </x:c>
    </x:row>
    <x:row r="292" ht="42" customHeight="1">
      <x:c r="A292" s="14" t="str">
        <x:v>API-88</x:v>
      </x:c>
      <x:c r="B292" s="6" t="str">
        <x:v>GET</x:v>
      </x:c>
      <x:c r="C292" s="6" t="str">
        <x:v>/api/v1/capital-planning/allocation-plans/{plan_id}/history</x:v>
      </x:c>
      <x:c r="D292" s="6" t="str">
        <x:v>READ-ONLY SHARED CONTEXT</x:v>
      </x:c>
      <x:c r="E292" s="6" t="str">
        <x:v>capital_planning</x:v>
      </x:c>
      <x:c r="F292" s="6" t="str">
        <x:v>allocation plan history</x:v>
      </x:c>
      <x:c r="G292" s="6" t="str">
        <x:v>capital_planning.allocation.read</x:v>
      </x:c>
      <x:c r="H292" s="6" t="str">
        <x:v>LIVE_ROUTER_REGISTERED</x:v>
      </x:c>
      <x:c r="I292" s="6" t="str">
        <x:v>frontend/src/features/capital-allocation/api.ts</x:v>
      </x:c>
      <x:c r="J292" s="6" t="str">
        <x:v>NOT_EXECUTED_BY_INVENTORY. SOURCE_LITERAL_OR_TRANSITIVE_HELPER_UNION</x:v>
      </x:c>
    </x:row>
    <x:row r="293" ht="42" customHeight="1">
      <x:c r="A293" s="15" t="str">
        <x:v>API-89</x:v>
      </x:c>
      <x:c r="B293" s="13" t="str">
        <x:v>PUT</x:v>
      </x:c>
      <x:c r="C293" s="13" t="str">
        <x:v>/api/v1/capital-planning/allocation-plans/{plan_id}/lines</x:v>
      </x:c>
      <x:c r="D293" s="13" t="str">
        <x:v>USER MODE</x:v>
      </x:c>
      <x:c r="E293" s="13" t="str">
        <x:v>capital_planning</x:v>
      </x:c>
      <x:c r="F293" s="13" t="str">
        <x:v>replace allocation lines</x:v>
      </x:c>
      <x:c r="G293" s="13" t="str">
        <x:v>capital_planning.allocation.edit</x:v>
      </x:c>
      <x:c r="H293" s="13" t="str">
        <x:v>LIVE_ROUTER_REGISTERED</x:v>
      </x:c>
      <x:c r="I293" s="13" t="str">
        <x:v>frontend/src/features/capital-allocation/api.ts</x:v>
      </x:c>
      <x:c r="J293" s="13" t="str">
        <x:v>NOT_EXECUTED_BY_INVENTORY. SOURCE_LITERAL_OR_TRANSITIVE_HELPER_UNION</x:v>
      </x:c>
    </x:row>
    <x:row r="294" ht="42" customHeight="1">
      <x:c r="A294" s="14" t="str">
        <x:v>API-90</x:v>
      </x:c>
      <x:c r="B294" s="6" t="str">
        <x:v>POST</x:v>
      </x:c>
      <x:c r="C294" s="6" t="str">
        <x:v>/api/v1/capital-planning/allocation-plans/{plan_id}/revisions</x:v>
      </x:c>
      <x:c r="D294" s="6" t="str">
        <x:v>USER MODE</x:v>
      </x:c>
      <x:c r="E294" s="6" t="str">
        <x:v>capital_planning</x:v>
      </x:c>
      <x:c r="F294" s="6" t="str">
        <x:v>create allocation plan revision</x:v>
      </x:c>
      <x:c r="G294" s="6" t="str">
        <x:v>capital_planning.allocation.create</x:v>
      </x:c>
      <x:c r="H294" s="6" t="str">
        <x:v>LIVE_ROUTER_REGISTERED</x:v>
      </x:c>
      <x:c r="I294" s="6" t="str">
        <x:v>frontend/src/features/capital-allocation/api.ts</x:v>
      </x:c>
      <x:c r="J294" s="6" t="str">
        <x:v>NOT_EXECUTED_BY_INVENTORY. SOURCE_LITERAL_OR_TRANSITIVE_HELPER_UNION</x:v>
      </x:c>
    </x:row>
    <x:row r="295" ht="42" customHeight="1">
      <x:c r="A295" s="15" t="str">
        <x:v>API-91</x:v>
      </x:c>
      <x:c r="B295" s="13" t="str">
        <x:v>GET</x:v>
      </x:c>
      <x:c r="C295" s="13" t="str">
        <x:v>/api/v1/capital-planning/cycles</x:v>
      </x:c>
      <x:c r="D295" s="13" t="str">
        <x:v>READ-ONLY SHARED CONTEXT</x:v>
      </x:c>
      <x:c r="E295" s="13" t="str">
        <x:v>capital_planning</x:v>
      </x:c>
      <x:c r="F295" s="13" t="str">
        <x:v>list cycles</x:v>
      </x:c>
      <x:c r="G295" s="13" t="str">
        <x:v>capital_planning.read</x:v>
      </x:c>
      <x:c r="H295" s="13" t="str">
        <x:v>LIVE_ROUTER_REGISTERED</x:v>
      </x:c>
      <x:c r="I295" s="13" t="str">
        <x:v>frontend/src/features/capital-planning/api.ts</x:v>
      </x:c>
      <x:c r="J295" s="13" t="str">
        <x:v>NOT_EXECUTED_BY_INVENTORY. SOURCE_LITERAL_OR_TRANSITIVE_HELPER_UNION</x:v>
      </x:c>
    </x:row>
    <x:row r="296" ht="42" customHeight="1">
      <x:c r="A296" s="14" t="str">
        <x:v>API-92</x:v>
      </x:c>
      <x:c r="B296" s="6" t="str">
        <x:v>POST</x:v>
      </x:c>
      <x:c r="C296" s="6" t="str">
        <x:v>/api/v1/capital-planning/cycles</x:v>
      </x:c>
      <x:c r="D296" s="6" t="str">
        <x:v>USER MODE</x:v>
      </x:c>
      <x:c r="E296" s="6" t="str">
        <x:v>capital_planning</x:v>
      </x:c>
      <x:c r="F296" s="6" t="str">
        <x:v>create cycle</x:v>
      </x:c>
      <x:c r="G296" s="6" t="str">
        <x:v>capital_planning.cycle.create</x:v>
      </x:c>
      <x:c r="H296" s="6" t="str">
        <x:v>LIVE_ROUTER_REGISTERED</x:v>
      </x:c>
      <x:c r="I296" s="6" t="str">
        <x:v>frontend/src/features/capital-planning/api.ts</x:v>
      </x:c>
      <x:c r="J296" s="6" t="str">
        <x:v>NOT_EXECUTED_BY_INVENTORY. SOURCE_LITERAL_OR_TRANSITIVE_HELPER_UNION</x:v>
      </x:c>
    </x:row>
    <x:row r="297" ht="42" customHeight="1">
      <x:c r="A297" s="15" t="str">
        <x:v>API-93</x:v>
      </x:c>
      <x:c r="B297" s="13" t="str">
        <x:v>GET</x:v>
      </x:c>
      <x:c r="C297" s="13" t="str">
        <x:v>/api/v1/capital-planning/cycles/{cycle_id}</x:v>
      </x:c>
      <x:c r="D297" s="13" t="str">
        <x:v>READ-ONLY SHARED CONTEXT</x:v>
      </x:c>
      <x:c r="E297" s="13" t="str">
        <x:v>capital_planning</x:v>
      </x:c>
      <x:c r="F297" s="13" t="str">
        <x:v>get cycle</x:v>
      </x:c>
      <x:c r="G297" s="13" t="str">
        <x:v>capital_planning.read</x:v>
      </x:c>
      <x:c r="H297" s="13" t="str">
        <x:v>LIVE_ROUTER_REGISTERED</x:v>
      </x:c>
      <x:c r="I297" s="13" t="str">
        <x:v>frontend/src/features/capital-planning/api.ts</x:v>
      </x:c>
      <x:c r="J297" s="13" t="str">
        <x:v>NOT_EXECUTED_BY_INVENTORY. SOURCE_LITERAL_OR_TRANSITIVE_HELPER_UNION</x:v>
      </x:c>
    </x:row>
    <x:row r="298" ht="42" customHeight="1">
      <x:c r="A298" s="14" t="str">
        <x:v>API-94</x:v>
      </x:c>
      <x:c r="B298" s="6" t="str">
        <x:v>PUT</x:v>
      </x:c>
      <x:c r="C298" s="6" t="str">
        <x:v>/api/v1/capital-planning/cycles/{cycle_id}</x:v>
      </x:c>
      <x:c r="D298" s="6" t="str">
        <x:v>USER MODE</x:v>
      </x:c>
      <x:c r="E298" s="6" t="str">
        <x:v>capital_planning</x:v>
      </x:c>
      <x:c r="F298" s="6" t="str">
        <x:v>update cycle</x:v>
      </x:c>
      <x:c r="G298" s="6" t="str">
        <x:v>capital_planning.cycle.create</x:v>
      </x:c>
      <x:c r="H298" s="6" t="str">
        <x:v>LIVE_ROUTER_REGISTERED</x:v>
      </x:c>
      <x:c r="I298" s="6" t="str">
        <x:v>frontend/src/features/capital-planning/api.ts</x:v>
      </x:c>
      <x:c r="J298" s="6" t="str">
        <x:v>NOT_EXECUTED_BY_INVENTORY. SOURCE_LITERAL_OR_TRANSITIVE_HELPER_UNION</x:v>
      </x:c>
    </x:row>
    <x:row r="299" ht="42" customHeight="1">
      <x:c r="A299" s="15" t="str">
        <x:v>API-95</x:v>
      </x:c>
      <x:c r="B299" s="13" t="str">
        <x:v>POST</x:v>
      </x:c>
      <x:c r="C299" s="13" t="str">
        <x:v>/api/v1/capital-planning/cycles/{cycle_id}/close</x:v>
      </x:c>
      <x:c r="D299" s="13" t="str">
        <x:v>USER MODE</x:v>
      </x:c>
      <x:c r="E299" s="13" t="str">
        <x:v>capital_planning</x:v>
      </x:c>
      <x:c r="F299" s="13" t="str">
        <x:v>close cycle</x:v>
      </x:c>
      <x:c r="G299" s="13" t="str">
        <x:v>HELPER_OR_SERVICE_AUTHORIZATION_REQUIRES_REVIEW</x:v>
      </x:c>
      <x:c r="H299" s="13" t="str">
        <x:v>LIVE_ROUTER_REGISTERED</x:v>
      </x:c>
      <x:c r="I299" s="13" t="str">
        <x:v>frontend/src/features/capital-planning/api.ts</x:v>
      </x:c>
      <x:c r="J299" s="13" t="str">
        <x:v>NOT_EXECUTED_BY_INVENTORY. SOURCE_LITERAL_OR_TRANSITIVE_HELPER_UNION</x:v>
      </x:c>
    </x:row>
    <x:row r="300" ht="42" customHeight="1">
      <x:c r="A300" s="14" t="str">
        <x:v>API-96</x:v>
      </x:c>
      <x:c r="B300" s="6" t="str">
        <x:v>POST</x:v>
      </x:c>
      <x:c r="C300" s="6" t="str">
        <x:v>/api/v1/capital-planning/cycles/{cycle_id}/open</x:v>
      </x:c>
      <x:c r="D300" s="6" t="str">
        <x:v>USER MODE</x:v>
      </x:c>
      <x:c r="E300" s="6" t="str">
        <x:v>capital_planning</x:v>
      </x:c>
      <x:c r="F300" s="6" t="str">
        <x:v>open cycle</x:v>
      </x:c>
      <x:c r="G300" s="6" t="str">
        <x:v>HELPER_OR_SERVICE_AUTHORIZATION_REQUIRES_REVIEW</x:v>
      </x:c>
      <x:c r="H300" s="6" t="str">
        <x:v>LIVE_ROUTER_REGISTERED</x:v>
      </x:c>
      <x:c r="I300" s="6" t="str">
        <x:v>frontend/src/features/capital-planning/api.ts</x:v>
      </x:c>
      <x:c r="J300" s="6" t="str">
        <x:v>NOT_EXECUTED_BY_INVENTORY. SOURCE_LITERAL_OR_TRANSITIVE_HELPER_UNION</x:v>
      </x:c>
    </x:row>
    <x:row r="301" ht="42" customHeight="1">
      <x:c r="A301" s="15" t="str">
        <x:v>API-97</x:v>
      </x:c>
      <x:c r="B301" s="13" t="str">
        <x:v>POST</x:v>
      </x:c>
      <x:c r="C301" s="13" t="str">
        <x:v>/api/v1/capital-planning/cycles/{cycle_id}/review/start</x:v>
      </x:c>
      <x:c r="D301" s="13" t="str">
        <x:v>USER MODE</x:v>
      </x:c>
      <x:c r="E301" s="13" t="str">
        <x:v>capital_planning</x:v>
      </x:c>
      <x:c r="F301" s="13" t="str">
        <x:v>review cycle</x:v>
      </x:c>
      <x:c r="G301" s="13" t="str">
        <x:v>HELPER_OR_SERVICE_AUTHORIZATION_REQUIRES_REVIEW</x:v>
      </x:c>
      <x:c r="H301" s="13" t="str">
        <x:v>LIVE_ROUTER_REGISTERED</x:v>
      </x:c>
      <x:c r="I301" s="13" t="str">
        <x:v>frontend/src/features/capital-planning/api.ts</x:v>
      </x:c>
      <x:c r="J301" s="13" t="str">
        <x:v>NOT_EXECUTED_BY_INVENTORY. SOURCE_LITERAL_OR_TRANSITIVE_HELPER_UNION</x:v>
      </x:c>
    </x:row>
    <x:row r="302" ht="42" customHeight="1">
      <x:c r="A302" s="14" t="str">
        <x:v>API-98</x:v>
      </x:c>
      <x:c r="B302" s="6" t="str">
        <x:v>GET</x:v>
      </x:c>
      <x:c r="C302" s="6" t="str">
        <x:v>/api/v1/capital-planning/cycles/{cycle_id}/summary</x:v>
      </x:c>
      <x:c r="D302" s="6" t="str">
        <x:v>READ-ONLY SHARED CONTEXT</x:v>
      </x:c>
      <x:c r="E302" s="6" t="str">
        <x:v>capital_planning</x:v>
      </x:c>
      <x:c r="F302" s="6" t="str">
        <x:v>cycle summary</x:v>
      </x:c>
      <x:c r="G302" s="6" t="str">
        <x:v>capital_planning.read</x:v>
      </x:c>
      <x:c r="H302" s="6" t="str">
        <x:v>LIVE_ROUTER_REGISTERED</x:v>
      </x:c>
      <x:c r="I302" s="6" t="str">
        <x:v>frontend/src/features/capital-planning/api.ts</x:v>
      </x:c>
      <x:c r="J302" s="6" t="str">
        <x:v>NOT_EXECUTED_BY_INVENTORY. SOURCE_LITERAL_OR_TRANSITIVE_HELPER_UNION</x:v>
      </x:c>
    </x:row>
    <x:row r="303" ht="42" customHeight="1">
      <x:c r="A303" s="15" t="str">
        <x:v>API-99</x:v>
      </x:c>
      <x:c r="B303" s="13" t="str">
        <x:v>GET</x:v>
      </x:c>
      <x:c r="C303" s="13" t="str">
        <x:v>/api/v1/capital-planning/demands</x:v>
      </x:c>
      <x:c r="D303" s="13" t="str">
        <x:v>READ-ONLY SHARED CONTEXT</x:v>
      </x:c>
      <x:c r="E303" s="13" t="str">
        <x:v>capital_planning</x:v>
      </x:c>
      <x:c r="F303" s="13" t="str">
        <x:v>list demands</x:v>
      </x:c>
      <x:c r="G303" s="13" t="str">
        <x:v>capital_planning.read</x:v>
      </x:c>
      <x:c r="H303" s="13" t="str">
        <x:v>LIVE_ROUTER_REGISTERED</x:v>
      </x:c>
      <x:c r="I303" s="13" t="str">
        <x:v>frontend/src/features/capital-planning/api.ts</x:v>
      </x:c>
      <x:c r="J303" s="13" t="str">
        <x:v>NOT_EXECUTED_BY_INVENTORY. SOURCE_LITERAL_OR_TRANSITIVE_HELPER_UNION</x:v>
      </x:c>
    </x:row>
    <x:row r="304" ht="42" customHeight="1">
      <x:c r="A304" s="14" t="str">
        <x:v>API-100</x:v>
      </x:c>
      <x:c r="B304" s="6" t="str">
        <x:v>POST</x:v>
      </x:c>
      <x:c r="C304" s="6" t="str">
        <x:v>/api/v1/capital-planning/demands</x:v>
      </x:c>
      <x:c r="D304" s="6" t="str">
        <x:v>USER MODE</x:v>
      </x:c>
      <x:c r="E304" s="6" t="str">
        <x:v>capital_planning</x:v>
      </x:c>
      <x:c r="F304" s="6" t="str">
        <x:v>create demand</x:v>
      </x:c>
      <x:c r="G304" s="6" t="str">
        <x:v>capital_planning.demand.create</x:v>
      </x:c>
      <x:c r="H304" s="6" t="str">
        <x:v>LIVE_ROUTER_REGISTERED</x:v>
      </x:c>
      <x:c r="I304" s="6" t="str">
        <x:v>frontend/src/features/capital-planning/api.ts</x:v>
      </x:c>
      <x:c r="J304" s="6" t="str">
        <x:v>NOT_EXECUTED_BY_INVENTORY. SOURCE_LITERAL_OR_TRANSITIVE_HELPER_UNION</x:v>
      </x:c>
    </x:row>
    <x:row r="305" ht="42" customHeight="1">
      <x:c r="A305" s="15" t="str">
        <x:v>API-101</x:v>
      </x:c>
      <x:c r="B305" s="13" t="str">
        <x:v>GET</x:v>
      </x:c>
      <x:c r="C305" s="13" t="str">
        <x:v>/api/v1/capital-planning/demands/summary</x:v>
      </x:c>
      <x:c r="D305" s="13" t="str">
        <x:v>READ-ONLY SHARED CONTEXT</x:v>
      </x:c>
      <x:c r="E305" s="13" t="str">
        <x:v>capital_planning</x:v>
      </x:c>
      <x:c r="F305" s="13" t="str">
        <x:v>demand summary</x:v>
      </x:c>
      <x:c r="G305" s="13" t="str">
        <x:v>capital_planning.read</x:v>
      </x:c>
      <x:c r="H305" s="13" t="str">
        <x:v>LIVE_ROUTER_REGISTERED</x:v>
      </x:c>
      <x:c r="I305" s="13" t="str">
        <x:v>frontend/src/features/capital-planning/api.ts</x:v>
      </x:c>
      <x:c r="J305" s="13" t="str">
        <x:v>NOT_EXECUTED_BY_INVENTORY. SOURCE_LITERAL_OR_TRANSITIVE_HELPER_UNION</x:v>
      </x:c>
    </x:row>
    <x:row r="306" ht="42" customHeight="1">
      <x:c r="A306" s="14" t="str">
        <x:v>API-102</x:v>
      </x:c>
      <x:c r="B306" s="6" t="str">
        <x:v>GET</x:v>
      </x:c>
      <x:c r="C306" s="6" t="str">
        <x:v>/api/v1/capital-planning/demands/{demand_id}</x:v>
      </x:c>
      <x:c r="D306" s="6" t="str">
        <x:v>READ-ONLY SHARED CONTEXT</x:v>
      </x:c>
      <x:c r="E306" s="6" t="str">
        <x:v>capital_planning</x:v>
      </x:c>
      <x:c r="F306" s="6" t="str">
        <x:v>get demand</x:v>
      </x:c>
      <x:c r="G306" s="6" t="str">
        <x:v>capital_planning.read</x:v>
      </x:c>
      <x:c r="H306" s="6" t="str">
        <x:v>LIVE_ROUTER_REGISTERED</x:v>
      </x:c>
      <x:c r="I306" s="6" t="str">
        <x:v>frontend/src/features/capital-planning/api.ts</x:v>
      </x:c>
      <x:c r="J306" s="6" t="str">
        <x:v>NOT_EXECUTED_BY_INVENTORY. SOURCE_LITERAL_OR_TRANSITIVE_HELPER_UNION</x:v>
      </x:c>
    </x:row>
    <x:row r="307" ht="42" customHeight="1">
      <x:c r="A307" s="15" t="str">
        <x:v>API-103</x:v>
      </x:c>
      <x:c r="B307" s="13" t="str">
        <x:v>PUT</x:v>
      </x:c>
      <x:c r="C307" s="13" t="str">
        <x:v>/api/v1/capital-planning/demands/{demand_id}</x:v>
      </x:c>
      <x:c r="D307" s="13" t="str">
        <x:v>USER MODE</x:v>
      </x:c>
      <x:c r="E307" s="13" t="str">
        <x:v>capital_planning</x:v>
      </x:c>
      <x:c r="F307" s="13" t="str">
        <x:v>update demand</x:v>
      </x:c>
      <x:c r="G307" s="13" t="str">
        <x:v>capital_planning.demand.edit</x:v>
      </x:c>
      <x:c r="H307" s="13" t="str">
        <x:v>LIVE_ROUTER_REGISTERED</x:v>
      </x:c>
      <x:c r="I307" s="13" t="str">
        <x:v>frontend/src/features/capital-planning/api.ts</x:v>
      </x:c>
      <x:c r="J307" s="13" t="str">
        <x:v>NOT_EXECUTED_BY_INVENTORY. SOURCE_LITERAL_OR_TRANSITIVE_HELPER_UNION</x:v>
      </x:c>
    </x:row>
    <x:row r="308" ht="42" customHeight="1">
      <x:c r="A308" s="14" t="str">
        <x:v>API-104</x:v>
      </x:c>
      <x:c r="B308" s="6" t="str">
        <x:v>GET</x:v>
      </x:c>
      <x:c r="C308" s="6" t="str">
        <x:v>/api/v1/capital-planning/demands/{demand_id}/history</x:v>
      </x:c>
      <x:c r="D308" s="6" t="str">
        <x:v>READ-ONLY SHARED CONTEXT</x:v>
      </x:c>
      <x:c r="E308" s="6" t="str">
        <x:v>capital_planning</x:v>
      </x:c>
      <x:c r="F308" s="6" t="str">
        <x:v>demand history</x:v>
      </x:c>
      <x:c r="G308" s="6" t="str">
        <x:v>capital_planning.read</x:v>
      </x:c>
      <x:c r="H308" s="6" t="str">
        <x:v>LIVE_ROUTER_REGISTERED</x:v>
      </x:c>
      <x:c r="I308" s="6" t="str">
        <x:v>frontend/src/features/capital-planning/api.ts</x:v>
      </x:c>
      <x:c r="J308" s="6" t="str">
        <x:v>NOT_EXECUTED_BY_INVENTORY. SOURCE_LITERAL_OR_TRANSITIVE_HELPER_UNION</x:v>
      </x:c>
    </x:row>
    <x:row r="309" ht="42" customHeight="1">
      <x:c r="A309" s="15" t="str">
        <x:v>API-105</x:v>
      </x:c>
      <x:c r="B309" s="13" t="str">
        <x:v>POST</x:v>
      </x:c>
      <x:c r="C309" s="13" t="str">
        <x:v>/api/v1/capital-planning/demands/{demand_id}/originate-idea</x:v>
      </x:c>
      <x:c r="D309" s="13" t="str">
        <x:v>USER MODE</x:v>
      </x:c>
      <x:c r="E309" s="13" t="str">
        <x:v>capital_planning</x:v>
      </x:c>
      <x:c r="F309" s="13" t="str">
        <x:v>originate idea</x:v>
      </x:c>
      <x:c r="G309" s="13" t="str">
        <x:v>capital_planning.idea.originate</x:v>
      </x:c>
      <x:c r="H309" s="13" t="str">
        <x:v>LIVE_ROUTER_REGISTERED</x:v>
      </x:c>
      <x:c r="I309" s="13" t="str">
        <x:v>frontend/src/features/capital-planning/api.ts</x:v>
      </x:c>
      <x:c r="J309" s="13" t="str">
        <x:v>NOT_EXECUTED_BY_INVENTORY. SOURCE_LITERAL_OR_TRANSITIVE_HELPER_UNION</x:v>
      </x:c>
    </x:row>
    <x:row r="310" ht="42" customHeight="1">
      <x:c r="A310" s="14" t="str">
        <x:v>API-106</x:v>
      </x:c>
      <x:c r="B310" s="6" t="str">
        <x:v>GET</x:v>
      </x:c>
      <x:c r="C310" s="6" t="str">
        <x:v>/api/v1/capital-planning/demands/{demand_id}/originated-ideas</x:v>
      </x:c>
      <x:c r="D310" s="6" t="str">
        <x:v>READ-ONLY SHARED CONTEXT</x:v>
      </x:c>
      <x:c r="E310" s="6" t="str">
        <x:v>capital_planning</x:v>
      </x:c>
      <x:c r="F310" s="6" t="str">
        <x:v>originated ideas</x:v>
      </x:c>
      <x:c r="G310" s="6" t="str">
        <x:v>capital_planning.read</x:v>
      </x:c>
      <x:c r="H310" s="6" t="str">
        <x:v>LIVE_ROUTER_REGISTERED</x:v>
      </x:c>
      <x:c r="I310" s="6" t="str">
        <x:v>frontend/src/features/capital-planning/api.ts</x:v>
      </x:c>
      <x:c r="J310" s="6" t="str">
        <x:v>NOT_EXECUTED_BY_INVENTORY. SOURCE_LITERAL_OR_TRANSITIVE_HELPER_UNION</x:v>
      </x:c>
    </x:row>
    <x:row r="311" ht="42" customHeight="1">
      <x:c r="A311" s="15" t="str">
        <x:v>API-107</x:v>
      </x:c>
      <x:c r="B311" s="13" t="str">
        <x:v>GET</x:v>
      </x:c>
      <x:c r="C311" s="13" t="str">
        <x:v>/api/v1/capital-planning/options</x:v>
      </x:c>
      <x:c r="D311" s="13" t="str">
        <x:v>READ-ONLY SHARED CONTEXT</x:v>
      </x:c>
      <x:c r="E311" s="13" t="str">
        <x:v>capital_planning</x:v>
      </x:c>
      <x:c r="F311" s="13" t="str">
        <x:v>options</x:v>
      </x:c>
      <x:c r="G311" s="13" t="str">
        <x:v>capital_planning.read</x:v>
      </x:c>
      <x:c r="H311" s="13" t="str">
        <x:v>LIVE_ROUTER_REGISTERED</x:v>
      </x:c>
      <x:c r="I311" s="13" t="str">
        <x:v>NO_DIRECT_LITERAL_MATCH_NOT_PROOF_UNUSED</x:v>
      </x:c>
      <x:c r="J311" s="13" t="str">
        <x:v>NOT_EXECUTED_BY_INVENTORY. SOURCE_LITERAL_OR_TRANSITIVE_HELPER_UNION</x:v>
      </x:c>
    </x:row>
    <x:row r="312" ht="42" customHeight="1">
      <x:c r="A312" s="14" t="str">
        <x:v>API-108</x:v>
      </x:c>
      <x:c r="B312" s="6" t="str">
        <x:v>GET</x:v>
      </x:c>
      <x:c r="C312" s="6" t="str">
        <x:v>/api/v1/commercial-strategies</x:v>
      </x:c>
      <x:c r="D312" s="6" t="str">
        <x:v>READ-ONLY SHARED CONTEXT</x:v>
      </x:c>
      <x:c r="E312" s="6" t="str">
        <x:v>commercial_strategy</x:v>
      </x:c>
      <x:c r="F312" s="6" t="str">
        <x:v>list strategies</x:v>
      </x:c>
      <x:c r="G312" s="6" t="str">
        <x:v>commercial_strategy.read</x:v>
      </x:c>
      <x:c r="H312" s="6" t="str">
        <x:v>LIVE_ROUTER_REGISTERED</x:v>
      </x:c>
      <x:c r="I312" s="6" t="str">
        <x:v>frontend/src/features/commercial-strategy/api.ts</x:v>
      </x:c>
      <x:c r="J312" s="6" t="str">
        <x:v>NOT_EXECUTED_BY_INVENTORY. SOURCE_LITERAL_OR_TRANSITIVE_HELPER_UNION</x:v>
      </x:c>
    </x:row>
    <x:row r="313" ht="42" customHeight="1">
      <x:c r="A313" s="15" t="str">
        <x:v>API-109</x:v>
      </x:c>
      <x:c r="B313" s="13" t="str">
        <x:v>POST</x:v>
      </x:c>
      <x:c r="C313" s="13" t="str">
        <x:v>/api/v1/commercial-strategies</x:v>
      </x:c>
      <x:c r="D313" s="13" t="str">
        <x:v>USER MODE</x:v>
      </x:c>
      <x:c r="E313" s="13" t="str">
        <x:v>commercial_strategy</x:v>
      </x:c>
      <x:c r="F313" s="13" t="str">
        <x:v>create strategy</x:v>
      </x:c>
      <x:c r="G313" s="13" t="str">
        <x:v>commercial_strategy.create</x:v>
      </x:c>
      <x:c r="H313" s="13" t="str">
        <x:v>LIVE_ROUTER_REGISTERED</x:v>
      </x:c>
      <x:c r="I313" s="13" t="str">
        <x:v>frontend/src/features/commercial-strategy/api.ts</x:v>
      </x:c>
      <x:c r="J313" s="13" t="str">
        <x:v>NOT_EXECUTED_BY_INVENTORY. SOURCE_LITERAL_OR_TRANSITIVE_HELPER_UNION</x:v>
      </x:c>
    </x:row>
    <x:row r="314" ht="42" customHeight="1">
      <x:c r="A314" s="14" t="str">
        <x:v>API-110</x:v>
      </x:c>
      <x:c r="B314" s="6" t="str">
        <x:v>GET</x:v>
      </x:c>
      <x:c r="C314" s="6" t="str">
        <x:v>/api/v1/commercial-strategies/admin/configurations</x:v>
      </x:c>
      <x:c r="D314" s="6" t="str">
        <x:v>ADMIN MODE</x:v>
      </x:c>
      <x:c r="E314" s="6" t="str">
        <x:v>commercial_strategy</x:v>
      </x:c>
      <x:c r="F314" s="6" t="str">
        <x:v>configurations</x:v>
      </x:c>
      <x:c r="G314" s="6" t="str">
        <x:v>commercial_strategy.admin.configure</x:v>
      </x:c>
      <x:c r="H314" s="6" t="str">
        <x:v>LIVE_ROUTER_REGISTERED</x:v>
      </x:c>
      <x:c r="I314" s="6" t="str">
        <x:v>frontend/src/features/commercial-strategy/api.ts</x:v>
      </x:c>
      <x:c r="J314" s="6" t="str">
        <x:v>NOT_EXECUTED_BY_INVENTORY. SOURCE_LITERAL_OR_TRANSITIVE_HELPER_UNION</x:v>
      </x:c>
    </x:row>
    <x:row r="315" ht="42" customHeight="1">
      <x:c r="A315" s="15" t="str">
        <x:v>API-111</x:v>
      </x:c>
      <x:c r="B315" s="13" t="str">
        <x:v>POST</x:v>
      </x:c>
      <x:c r="C315" s="13" t="str">
        <x:v>/api/v1/commercial-strategies/admin/configurations/effective-preview</x:v>
      </x:c>
      <x:c r="D315" s="13" t="str">
        <x:v>ADMIN MODE</x:v>
      </x:c>
      <x:c r="E315" s="13" t="str">
        <x:v>commercial_strategy</x:v>
      </x:c>
      <x:c r="F315" s="13" t="str">
        <x:v>configuration preview</x:v>
      </x:c>
      <x:c r="G315" s="13" t="str">
        <x:v>commercial_strategy.admin.configure</x:v>
      </x:c>
      <x:c r="H315" s="13" t="str">
        <x:v>LIVE_ROUTER_REGISTERED</x:v>
      </x:c>
      <x:c r="I315" s="13" t="str">
        <x:v>frontend/src/features/commercial-strategy/api.ts</x:v>
      </x:c>
      <x:c r="J315" s="13" t="str">
        <x:v>NOT_EXECUTED_BY_INVENTORY. SOURCE_LITERAL_OR_TRANSITIVE_HELPER_UNION</x:v>
      </x:c>
    </x:row>
    <x:row r="316" ht="42" customHeight="1">
      <x:c r="A316" s="14" t="str">
        <x:v>API-112</x:v>
      </x:c>
      <x:c r="B316" s="6" t="str">
        <x:v>PUT</x:v>
      </x:c>
      <x:c r="C316" s="6" t="str">
        <x:v>/api/v1/commercial-strategies/admin/configurations/{configuration_id}</x:v>
      </x:c>
      <x:c r="D316" s="6" t="str">
        <x:v>ADMIN MODE</x:v>
      </x:c>
      <x:c r="E316" s="6" t="str">
        <x:v>commercial_strategy</x:v>
      </x:c>
      <x:c r="F316" s="6" t="str">
        <x:v>update configuration</x:v>
      </x:c>
      <x:c r="G316" s="6" t="str">
        <x:v>commercial_strategy.admin.configure</x:v>
      </x:c>
      <x:c r="H316" s="6" t="str">
        <x:v>LIVE_ROUTER_REGISTERED</x:v>
      </x:c>
      <x:c r="I316" s="6" t="str">
        <x:v>frontend/src/features/commercial-strategy/api.ts</x:v>
      </x:c>
      <x:c r="J316" s="6" t="str">
        <x:v>NOT_EXECUTED_BY_INVENTORY. SOURCE_LITERAL_OR_TRANSITIVE_HELPER_UNION</x:v>
      </x:c>
    </x:row>
    <x:row r="317" ht="42" customHeight="1">
      <x:c r="A317" s="15" t="str">
        <x:v>API-113</x:v>
      </x:c>
      <x:c r="B317" s="13" t="str">
        <x:v>POST</x:v>
      </x:c>
      <x:c r="C317" s="13" t="str">
        <x:v>/api/v1/commercial-strategies/admin/configurations/{configuration_id}/archive</x:v>
      </x:c>
      <x:c r="D317" s="13" t="str">
        <x:v>ADMIN MODE</x:v>
      </x:c>
      <x:c r="E317" s="13" t="str">
        <x:v>commercial_strategy</x:v>
      </x:c>
      <x:c r="F317" s="13" t="str">
        <x:v>archive configuration</x:v>
      </x:c>
      <x:c r="G317" s="13" t="str">
        <x:v>commercial_strategy.admin.publish</x:v>
      </x:c>
      <x:c r="H317" s="13" t="str">
        <x:v>LIVE_ROUTER_REGISTERED</x:v>
      </x:c>
      <x:c r="I317" s="13" t="str">
        <x:v>frontend/src/features/commercial-strategy/api.ts</x:v>
      </x:c>
      <x:c r="J317" s="13" t="str">
        <x:v>NOT_EXECUTED_BY_INVENTORY. SOURCE_LITERAL_OR_TRANSITIVE_HELPER_UNION</x:v>
      </x:c>
    </x:row>
    <x:row r="318" ht="42" customHeight="1">
      <x:c r="A318" s="14" t="str">
        <x:v>API-114</x:v>
      </x:c>
      <x:c r="B318" s="6" t="str">
        <x:v>POST</x:v>
      </x:c>
      <x:c r="C318" s="6" t="str">
        <x:v>/api/v1/commercial-strategies/admin/configurations/{configuration_id}/clone</x:v>
      </x:c>
      <x:c r="D318" s="6" t="str">
        <x:v>ADMIN MODE</x:v>
      </x:c>
      <x:c r="E318" s="6" t="str">
        <x:v>commercial_strategy</x:v>
      </x:c>
      <x:c r="F318" s="6" t="str">
        <x:v>clone configuration</x:v>
      </x:c>
      <x:c r="G318" s="6" t="str">
        <x:v>commercial_strategy.admin.configure</x:v>
      </x:c>
      <x:c r="H318" s="6" t="str">
        <x:v>LIVE_ROUTER_REGISTERED</x:v>
      </x:c>
      <x:c r="I318" s="6" t="str">
        <x:v>frontend/src/features/commercial-strategy/api.ts</x:v>
      </x:c>
      <x:c r="J318" s="6" t="str">
        <x:v>NOT_EXECUTED_BY_INVENTORY. SOURCE_LITERAL_OR_TRANSITIVE_HELPER_UNION</x:v>
      </x:c>
    </x:row>
    <x:row r="319" ht="42" customHeight="1">
      <x:c r="A319" s="15" t="str">
        <x:v>API-115</x:v>
      </x:c>
      <x:c r="B319" s="13" t="str">
        <x:v>POST</x:v>
      </x:c>
      <x:c r="C319" s="13" t="str">
        <x:v>/api/v1/commercial-strategies/admin/configurations/{configuration_id}/publish</x:v>
      </x:c>
      <x:c r="D319" s="13" t="str">
        <x:v>ADMIN MODE</x:v>
      </x:c>
      <x:c r="E319" s="13" t="str">
        <x:v>commercial_strategy</x:v>
      </x:c>
      <x:c r="F319" s="13" t="str">
        <x:v>publish configuration</x:v>
      </x:c>
      <x:c r="G319" s="13" t="str">
        <x:v>commercial_strategy.admin.publish</x:v>
      </x:c>
      <x:c r="H319" s="13" t="str">
        <x:v>LIVE_ROUTER_REGISTERED</x:v>
      </x:c>
      <x:c r="I319" s="13" t="str">
        <x:v>frontend/src/features/commercial-strategy/api.ts</x:v>
      </x:c>
      <x:c r="J319" s="13" t="str">
        <x:v>NOT_EXECUTED_BY_INVENTORY. SOURCE_LITERAL_OR_TRANSITIVE_HELPER_UNION</x:v>
      </x:c>
    </x:row>
    <x:row r="320" ht="42" customHeight="1">
      <x:c r="A320" s="14" t="str">
        <x:v>API-116</x:v>
      </x:c>
      <x:c r="B320" s="6" t="str">
        <x:v>GET</x:v>
      </x:c>
      <x:c r="C320" s="6" t="str">
        <x:v>/api/v1/commercial-strategies/options</x:v>
      </x:c>
      <x:c r="D320" s="6" t="str">
        <x:v>READ-ONLY SHARED CONTEXT</x:v>
      </x:c>
      <x:c r="E320" s="6" t="str">
        <x:v>commercial_strategy</x:v>
      </x:c>
      <x:c r="F320" s="6" t="str">
        <x:v>options</x:v>
      </x:c>
      <x:c r="G320" s="6" t="str">
        <x:v>commercial_strategy.read</x:v>
      </x:c>
      <x:c r="H320" s="6" t="str">
        <x:v>LIVE_ROUTER_REGISTERED</x:v>
      </x:c>
      <x:c r="I320" s="6" t="str">
        <x:v>NO_DIRECT_LITERAL_MATCH_NOT_PROOF_UNUSED</x:v>
      </x:c>
      <x:c r="J320" s="6" t="str">
        <x:v>NOT_EXECUTED_BY_INVENTORY. SOURCE_LITERAL_OR_TRANSITIVE_HELPER_UNION</x:v>
      </x:c>
    </x:row>
    <x:row r="321" ht="42" customHeight="1">
      <x:c r="A321" s="15" t="str">
        <x:v>API-117</x:v>
      </x:c>
      <x:c r="B321" s="13" t="str">
        <x:v>GET</x:v>
      </x:c>
      <x:c r="C321" s="13" t="str">
        <x:v>/api/v1/commercial-strategies/{strategy_id}</x:v>
      </x:c>
      <x:c r="D321" s="13" t="str">
        <x:v>READ-ONLY SHARED CONTEXT</x:v>
      </x:c>
      <x:c r="E321" s="13" t="str">
        <x:v>commercial_strategy</x:v>
      </x:c>
      <x:c r="F321" s="13" t="str">
        <x:v>get strategy</x:v>
      </x:c>
      <x:c r="G321" s="13" t="str">
        <x:v>commercial_strategy.read</x:v>
      </x:c>
      <x:c r="H321" s="13" t="str">
        <x:v>LIVE_ROUTER_REGISTERED</x:v>
      </x:c>
      <x:c r="I321" s="13" t="str">
        <x:v>frontend/src/features/commercial-strategy/api.ts</x:v>
      </x:c>
      <x:c r="J321" s="13" t="str">
        <x:v>NOT_EXECUTED_BY_INVENTORY. SOURCE_LITERAL_OR_TRANSITIVE_HELPER_UNION</x:v>
      </x:c>
    </x:row>
    <x:row r="322" ht="42" customHeight="1">
      <x:c r="A322" s="14" t="str">
        <x:v>API-118</x:v>
      </x:c>
      <x:c r="B322" s="6" t="str">
        <x:v>GET</x:v>
      </x:c>
      <x:c r="C322" s="6" t="str">
        <x:v>/api/v1/commercial-strategies/{strategy_id}/history</x:v>
      </x:c>
      <x:c r="D322" s="6" t="str">
        <x:v>READ-ONLY SHARED CONTEXT</x:v>
      </x:c>
      <x:c r="E322" s="6" t="str">
        <x:v>commercial_strategy</x:v>
      </x:c>
      <x:c r="F322" s="6" t="str">
        <x:v>history</x:v>
      </x:c>
      <x:c r="G322" s="6" t="str">
        <x:v>commercial_strategy.read</x:v>
      </x:c>
      <x:c r="H322" s="6" t="str">
        <x:v>LIVE_ROUTER_REGISTERED</x:v>
      </x:c>
      <x:c r="I322" s="6" t="str">
        <x:v>frontend/src/features/commercial-strategy/api.ts</x:v>
      </x:c>
      <x:c r="J322" s="6" t="str">
        <x:v>NOT_EXECUTED_BY_INVENTORY. SOURCE_LITERAL_OR_TRANSITIVE_HELPER_UNION</x:v>
      </x:c>
    </x:row>
    <x:row r="323" ht="42" customHeight="1">
      <x:c r="A323" s="15" t="str">
        <x:v>API-119</x:v>
      </x:c>
      <x:c r="B323" s="13" t="str">
        <x:v>POST</x:v>
      </x:c>
      <x:c r="C323" s="13" t="str">
        <x:v>/api/v1/commercial-strategies/{strategy_id}/new-revision</x:v>
      </x:c>
      <x:c r="D323" s="13" t="str">
        <x:v>USER MODE</x:v>
      </x:c>
      <x:c r="E323" s="13" t="str">
        <x:v>commercial_strategy</x:v>
      </x:c>
      <x:c r="F323" s="13" t="str">
        <x:v>new revision</x:v>
      </x:c>
      <x:c r="G323" s="13" t="str">
        <x:v>commercial_strategy.create_revision</x:v>
      </x:c>
      <x:c r="H323" s="13" t="str">
        <x:v>LIVE_ROUTER_REGISTERED</x:v>
      </x:c>
      <x:c r="I323" s="13" t="str">
        <x:v>frontend/src/features/commercial-strategy/api.ts</x:v>
      </x:c>
      <x:c r="J323" s="13" t="str">
        <x:v>NOT_EXECUTED_BY_INVENTORY. SOURCE_LITERAL_OR_TRANSITIVE_HELPER_UNION</x:v>
      </x:c>
    </x:row>
    <x:row r="324" ht="42" customHeight="1">
      <x:c r="A324" s="14" t="str">
        <x:v>API-120</x:v>
      </x:c>
      <x:c r="B324" s="6" t="str">
        <x:v>GET</x:v>
      </x:c>
      <x:c r="C324" s="6" t="str">
        <x:v>/api/v1/commercial-strategies/{strategy_id}/readiness</x:v>
      </x:c>
      <x:c r="D324" s="6" t="str">
        <x:v>READ-ONLY SHARED CONTEXT</x:v>
      </x:c>
      <x:c r="E324" s="6" t="str">
        <x:v>commercial_strategy</x:v>
      </x:c>
      <x:c r="F324" s="6" t="str">
        <x:v>readiness</x:v>
      </x:c>
      <x:c r="G324" s="6" t="str">
        <x:v>commercial_strategy.read</x:v>
      </x:c>
      <x:c r="H324" s="6" t="str">
        <x:v>LIVE_ROUTER_REGISTERED</x:v>
      </x:c>
      <x:c r="I324" s="6" t="str">
        <x:v>frontend/src/features/commercial-strategy/api.ts</x:v>
      </x:c>
      <x:c r="J324" s="6" t="str">
        <x:v>NOT_EXECUTED_BY_INVENTORY. SOURCE_LITERAL_OR_TRANSITIVE_HELPER_UNION</x:v>
      </x:c>
    </x:row>
    <x:row r="325" ht="42" customHeight="1">
      <x:c r="A325" s="15" t="str">
        <x:v>API-121</x:v>
      </x:c>
      <x:c r="B325" s="13" t="str">
        <x:v>POST</x:v>
      </x:c>
      <x:c r="C325" s="13" t="str">
        <x:v>/api/v1/commercial-strategies/{strategy_id}/refresh-apply</x:v>
      </x:c>
      <x:c r="D325" s="13" t="str">
        <x:v>USER MODE</x:v>
      </x:c>
      <x:c r="E325" s="13" t="str">
        <x:v>commercial_strategy</x:v>
      </x:c>
      <x:c r="F325" s="13" t="str">
        <x:v>refresh apply</x:v>
      </x:c>
      <x:c r="G325" s="13" t="str">
        <x:v>commercial_strategy.refresh</x:v>
      </x:c>
      <x:c r="H325" s="13" t="str">
        <x:v>LIVE_ROUTER_REGISTERED</x:v>
      </x:c>
      <x:c r="I325" s="13" t="str">
        <x:v>frontend/src/features/commercial-strategy/api.ts</x:v>
      </x:c>
      <x:c r="J325" s="13" t="str">
        <x:v>NOT_EXECUTED_BY_INVENTORY. SOURCE_LITERAL_OR_TRANSITIVE_HELPER_UNION</x:v>
      </x:c>
    </x:row>
    <x:row r="326" ht="42" customHeight="1">
      <x:c r="A326" s="14" t="str">
        <x:v>API-122</x:v>
      </x:c>
      <x:c r="B326" s="6" t="str">
        <x:v>POST</x:v>
      </x:c>
      <x:c r="C326" s="6" t="str">
        <x:v>/api/v1/commercial-strategies/{strategy_id}/refresh-preview</x:v>
      </x:c>
      <x:c r="D326" s="6" t="str">
        <x:v>USER MODE</x:v>
      </x:c>
      <x:c r="E326" s="6" t="str">
        <x:v>commercial_strategy</x:v>
      </x:c>
      <x:c r="F326" s="6" t="str">
        <x:v>refresh preview</x:v>
      </x:c>
      <x:c r="G326" s="6" t="str">
        <x:v>commercial_strategy.refresh</x:v>
      </x:c>
      <x:c r="H326" s="6" t="str">
        <x:v>LIVE_ROUTER_REGISTERED</x:v>
      </x:c>
      <x:c r="I326" s="6" t="str">
        <x:v>frontend/src/features/commercial-strategy/api.ts</x:v>
      </x:c>
      <x:c r="J326" s="6" t="str">
        <x:v>NOT_EXECUTED_BY_INVENTORY. SOURCE_LITERAL_OR_TRANSITIVE_HELPER_UNION</x:v>
      </x:c>
    </x:row>
    <x:row r="327" ht="42" customHeight="1">
      <x:c r="A327" s="15" t="str">
        <x:v>API-123</x:v>
      </x:c>
      <x:c r="B327" s="13" t="str">
        <x:v>PUT</x:v>
      </x:c>
      <x:c r="C327" s="13" t="str">
        <x:v>/api/v1/commercial-strategies/{strategy_id}/versions/{version_id}</x:v>
      </x:c>
      <x:c r="D327" s="13" t="str">
        <x:v>USER MODE</x:v>
      </x:c>
      <x:c r="E327" s="13" t="str">
        <x:v>commercial_strategy</x:v>
      </x:c>
      <x:c r="F327" s="13" t="str">
        <x:v>update version</x:v>
      </x:c>
      <x:c r="G327" s="13" t="str">
        <x:v>commercial_strategy.edit</x:v>
      </x:c>
      <x:c r="H327" s="13" t="str">
        <x:v>LIVE_ROUTER_REGISTERED</x:v>
      </x:c>
      <x:c r="I327" s="13" t="str">
        <x:v>frontend/src/features/commercial-strategy/api.ts</x:v>
      </x:c>
      <x:c r="J327" s="13" t="str">
        <x:v>NOT_EXECUTED_BY_INVENTORY. SOURCE_LITERAL_OR_TRANSITIVE_HELPER_UNION</x:v>
      </x:c>
    </x:row>
    <x:row r="328" ht="42" customHeight="1">
      <x:c r="A328" s="14" t="str">
        <x:v>API-124</x:v>
      </x:c>
      <x:c r="B328" s="6" t="str">
        <x:v>POST</x:v>
      </x:c>
      <x:c r="C328" s="6" t="str">
        <x:v>/api/v1/commercial-strategies/{strategy_id}/versions/{version_id}/return</x:v>
      </x:c>
      <x:c r="D328" s="6" t="str">
        <x:v>USER MODE</x:v>
      </x:c>
      <x:c r="E328" s="6" t="str">
        <x:v>commercial_strategy</x:v>
      </x:c>
      <x:c r="F328" s="6" t="str">
        <x:v>return version</x:v>
      </x:c>
      <x:c r="G328" s="6" t="str">
        <x:v>commercial_strategy.review</x:v>
      </x:c>
      <x:c r="H328" s="6" t="str">
        <x:v>LIVE_ROUTER_REGISTERED</x:v>
      </x:c>
      <x:c r="I328" s="6" t="str">
        <x:v>NO_DIRECT_LITERAL_MATCH_NOT_PROOF_UNUSED</x:v>
      </x:c>
      <x:c r="J328" s="6" t="str">
        <x:v>NOT_EXECUTED_BY_INVENTORY. SOURCE_LITERAL_OR_TRANSITIVE_HELPER_UNION</x:v>
      </x:c>
    </x:row>
    <x:row r="329" ht="42" customHeight="1">
      <x:c r="A329" s="15" t="str">
        <x:v>API-125</x:v>
      </x:c>
      <x:c r="B329" s="13" t="str">
        <x:v>POST</x:v>
      </x:c>
      <x:c r="C329" s="13" t="str">
        <x:v>/api/v1/commercial-strategies/{strategy_id}/versions/{version_id}/void</x:v>
      </x:c>
      <x:c r="D329" s="13" t="str">
        <x:v>USER MODE</x:v>
      </x:c>
      <x:c r="E329" s="13" t="str">
        <x:v>commercial_strategy</x:v>
      </x:c>
      <x:c r="F329" s="13" t="str">
        <x:v>void version</x:v>
      </x:c>
      <x:c r="G329" s="13" t="str">
        <x:v>commercial_strategy.edit</x:v>
      </x:c>
      <x:c r="H329" s="13" t="str">
        <x:v>LIVE_ROUTER_REGISTERED</x:v>
      </x:c>
      <x:c r="I329" s="13" t="str">
        <x:v>NO_DIRECT_LITERAL_MATCH_NOT_PROOF_UNUSED</x:v>
      </x:c>
      <x:c r="J329" s="13" t="str">
        <x:v>NOT_EXECUTED_BY_INVENTORY. SOURCE_LITERAL_OR_TRANSITIVE_HELPER_UNION</x:v>
      </x:c>
    </x:row>
    <x:row r="330" ht="42" customHeight="1">
      <x:c r="A330" s="14" t="str">
        <x:v>API-126</x:v>
      </x:c>
      <x:c r="B330" s="6" t="str">
        <x:v>GET</x:v>
      </x:c>
      <x:c r="C330" s="6" t="str">
        <x:v>/api/v1/projects/{project_id}/commercial-readiness-evidence</x:v>
      </x:c>
      <x:c r="D330" s="6" t="str">
        <x:v>READ-ONLY SHARED CONTEXT</x:v>
      </x:c>
      <x:c r="E330" s="6" t="str">
        <x:v>commercial_strategy</x:v>
      </x:c>
      <x:c r="F330" s="6" t="str">
        <x:v>project commercial evidence</x:v>
      </x:c>
      <x:c r="G330" s="6" t="str">
        <x:v>commercial_strategy.read</x:v>
      </x:c>
      <x:c r="H330" s="6" t="str">
        <x:v>LIVE_ROUTER_REGISTERED</x:v>
      </x:c>
      <x:c r="I330" s="6" t="str">
        <x:v>frontend/src/features/commercial-strategy/api.ts</x:v>
      </x:c>
      <x:c r="J330" s="6" t="str">
        <x:v>NOT_EXECUTED_BY_INVENTORY. SOURCE_LITERAL_OR_TRANSITIVE_HELPER_UNION</x:v>
      </x:c>
    </x:row>
    <x:row r="331" ht="42" customHeight="1">
      <x:c r="A331" s="15" t="str">
        <x:v>API-127</x:v>
      </x:c>
      <x:c r="B331" s="13" t="str">
        <x:v>GET</x:v>
      </x:c>
      <x:c r="C331" s="13" t="str">
        <x:v>/api/v1/projects/{project_id}/commercial-strategy</x:v>
      </x:c>
      <x:c r="D331" s="13" t="str">
        <x:v>READ-ONLY SHARED CONTEXT</x:v>
      </x:c>
      <x:c r="E331" s="13" t="str">
        <x:v>commercial_strategy</x:v>
      </x:c>
      <x:c r="F331" s="13" t="str">
        <x:v>project strategy</x:v>
      </x:c>
      <x:c r="G331" s="13" t="str">
        <x:v>commercial_strategy.read</x:v>
      </x:c>
      <x:c r="H331" s="13" t="str">
        <x:v>LIVE_ROUTER_REGISTERED</x:v>
      </x:c>
      <x:c r="I331" s="13" t="str">
        <x:v>frontend/src/features/commercial-strategy/api.ts</x:v>
      </x:c>
      <x:c r="J331" s="13" t="str">
        <x:v>NOT_EXECUTED_BY_INVENTORY. SOURCE_LITERAL_OR_TRANSITIVE_HELPER_UNION</x:v>
      </x:c>
    </x:row>
    <x:row r="332" ht="42" customHeight="1">
      <x:c r="A332" s="14" t="str">
        <x:v>API-128</x:v>
      </x:c>
      <x:c r="B332" s="6" t="str">
        <x:v>GET</x:v>
      </x:c>
      <x:c r="C332" s="6" t="str">
        <x:v>/api/v1/economic-financial-model-versions/{version_id}</x:v>
      </x:c>
      <x:c r="D332" s="6" t="str">
        <x:v>READ-ONLY SHARED CONTEXT</x:v>
      </x:c>
      <x:c r="E332" s="6" t="str">
        <x:v>economic_financial_model</x:v>
      </x:c>
      <x:c r="F332" s="6" t="str">
        <x:v>version</x:v>
      </x:c>
      <x:c r="G332" s="6" t="str">
        <x:v>economic_financial_model.read</x:v>
      </x:c>
      <x:c r="H332" s="6" t="str">
        <x:v>LIVE_ROUTER_REGISTERED</x:v>
      </x:c>
      <x:c r="I332" s="6" t="str">
        <x:v>NO_DIRECT_LITERAL_MATCH_NOT_PROOF_UNUSED</x:v>
      </x:c>
      <x:c r="J332" s="6" t="str">
        <x:v>NOT_EXECUTED_BY_INVENTORY. SOURCE_LITERAL_OR_TRANSITIVE_HELPER_UNION</x:v>
      </x:c>
    </x:row>
    <x:row r="333" ht="42" customHeight="1">
      <x:c r="A333" s="15" t="str">
        <x:v>API-129</x:v>
      </x:c>
      <x:c r="B333" s="13" t="str">
        <x:v>PUT</x:v>
      </x:c>
      <x:c r="C333" s="13" t="str">
        <x:v>/api/v1/economic-financial-model-versions/{version_id}</x:v>
      </x:c>
      <x:c r="D333" s="13" t="str">
        <x:v>USER MODE</x:v>
      </x:c>
      <x:c r="E333" s="13" t="str">
        <x:v>economic_financial_model</x:v>
      </x:c>
      <x:c r="F333" s="13" t="str">
        <x:v>update version</x:v>
      </x:c>
      <x:c r="G333" s="13" t="str">
        <x:v>economic_financial_model.edit</x:v>
      </x:c>
      <x:c r="H333" s="13" t="str">
        <x:v>LIVE_ROUTER_REGISTERED</x:v>
      </x:c>
      <x:c r="I333" s="13" t="str">
        <x:v>NO_DIRECT_LITERAL_MATCH_NOT_PROOF_UNUSED</x:v>
      </x:c>
      <x:c r="J333" s="13" t="str">
        <x:v>NOT_EXECUTED_BY_INVENTORY. SOURCE_LITERAL_OR_TRANSITIVE_HELPER_UNION</x:v>
      </x:c>
    </x:row>
    <x:row r="334" ht="42" customHeight="1">
      <x:c r="A334" s="14" t="str">
        <x:v>API-130</x:v>
      </x:c>
      <x:c r="B334" s="6" t="str">
        <x:v>GET</x:v>
      </x:c>
      <x:c r="C334" s="6" t="str">
        <x:v>/api/v1/economic-financial-model-versions/{version_id}/assumptions</x:v>
      </x:c>
      <x:c r="D334" s="6" t="str">
        <x:v>READ-ONLY SHARED CONTEXT</x:v>
      </x:c>
      <x:c r="E334" s="6" t="str">
        <x:v>economic_financial_model</x:v>
      </x:c>
      <x:c r="F334" s="6" t="str">
        <x:v>assumptions</x:v>
      </x:c>
      <x:c r="G334" s="6" t="str">
        <x:v>economic_financial_model.read</x:v>
      </x:c>
      <x:c r="H334" s="6" t="str">
        <x:v>LIVE_ROUTER_REGISTERED</x:v>
      </x:c>
      <x:c r="I334" s="6" t="str">
        <x:v>frontend/src/features/economic-financial-model/api.ts</x:v>
      </x:c>
      <x:c r="J334" s="6" t="str">
        <x:v>NOT_EXECUTED_BY_INVENTORY. SOURCE_LITERAL_OR_TRANSITIVE_HELPER_UNION</x:v>
      </x:c>
    </x:row>
    <x:row r="335" ht="42" customHeight="1">
      <x:c r="A335" s="15" t="str">
        <x:v>API-131</x:v>
      </x:c>
      <x:c r="B335" s="13" t="str">
        <x:v>PUT</x:v>
      </x:c>
      <x:c r="C335" s="13" t="str">
        <x:v>/api/v1/economic-financial-model-versions/{version_id}/assumptions</x:v>
      </x:c>
      <x:c r="D335" s="13" t="str">
        <x:v>USER MODE</x:v>
      </x:c>
      <x:c r="E335" s="13" t="str">
        <x:v>economic_financial_model</x:v>
      </x:c>
      <x:c r="F335" s="13" t="str">
        <x:v>upsert assumption</x:v>
      </x:c>
      <x:c r="G335" s="13" t="str">
        <x:v>economic_financial_model.edit</x:v>
      </x:c>
      <x:c r="H335" s="13" t="str">
        <x:v>LIVE_ROUTER_REGISTERED</x:v>
      </x:c>
      <x:c r="I335" s="13" t="str">
        <x:v>frontend/src/features/economic-financial-model/api.ts</x:v>
      </x:c>
      <x:c r="J335" s="13" t="str">
        <x:v>NOT_EXECUTED_BY_INVENTORY. SOURCE_LITERAL_OR_TRANSITIVE_HELPER_UNION</x:v>
      </x:c>
    </x:row>
    <x:row r="336" ht="42" customHeight="1">
      <x:c r="A336" s="14" t="str">
        <x:v>API-132</x:v>
      </x:c>
      <x:c r="B336" s="6" t="str">
        <x:v>POST</x:v>
      </x:c>
      <x:c r="C336" s="6" t="str">
        <x:v>/api/v1/economic-financial-model-versions/{version_id}/calculate</x:v>
      </x:c>
      <x:c r="D336" s="6" t="str">
        <x:v>USER MODE</x:v>
      </x:c>
      <x:c r="E336" s="6" t="str">
        <x:v>economic_financial_model</x:v>
      </x:c>
      <x:c r="F336" s="6" t="str">
        <x:v>calculate</x:v>
      </x:c>
      <x:c r="G336" s="6" t="str">
        <x:v>economic_financial_model.calculate</x:v>
      </x:c>
      <x:c r="H336" s="6" t="str">
        <x:v>LIVE_ROUTER_REGISTERED</x:v>
      </x:c>
      <x:c r="I336" s="6" t="str">
        <x:v>frontend/src/features/economic-financial-model/api.ts</x:v>
      </x:c>
      <x:c r="J336" s="6" t="str">
        <x:v>NOT_EXECUTED_BY_INVENTORY. SOURCE_LITERAL_OR_TRANSITIVE_HELPER_UNION</x:v>
      </x:c>
    </x:row>
    <x:row r="337" ht="42" customHeight="1">
      <x:c r="A337" s="15" t="str">
        <x:v>API-133</x:v>
      </x:c>
      <x:c r="B337" s="13" t="str">
        <x:v>GET</x:v>
      </x:c>
      <x:c r="C337" s="13" t="str">
        <x:v>/api/v1/economic-financial-model-versions/{version_id}/cash-flows</x:v>
      </x:c>
      <x:c r="D337" s="13" t="str">
        <x:v>READ-ONLY SHARED CONTEXT</x:v>
      </x:c>
      <x:c r="E337" s="13" t="str">
        <x:v>economic_financial_model</x:v>
      </x:c>
      <x:c r="F337" s="13" t="str">
        <x:v>cash flows</x:v>
      </x:c>
      <x:c r="G337" s="13" t="str">
        <x:v>economic_financial_model.read</x:v>
      </x:c>
      <x:c r="H337" s="13" t="str">
        <x:v>LIVE_ROUTER_REGISTERED</x:v>
      </x:c>
      <x:c r="I337" s="13" t="str">
        <x:v>frontend/src/features/economic-financial-model/api.ts</x:v>
      </x:c>
      <x:c r="J337" s="13" t="str">
        <x:v>NOT_EXECUTED_BY_INVENTORY. SOURCE_LITERAL_OR_TRANSITIVE_HELPER_UNION</x:v>
      </x:c>
    </x:row>
    <x:row r="338" ht="42" customHeight="1">
      <x:c r="A338" s="14" t="str">
        <x:v>API-134</x:v>
      </x:c>
      <x:c r="B338" s="6" t="str">
        <x:v>POST</x:v>
      </x:c>
      <x:c r="C338" s="6" t="str">
        <x:v>/api/v1/economic-financial-model-versions/{version_id}/complete</x:v>
      </x:c>
      <x:c r="D338" s="6" t="str">
        <x:v>USER MODE</x:v>
      </x:c>
      <x:c r="E338" s="6" t="str">
        <x:v>economic_financial_model</x:v>
      </x:c>
      <x:c r="F338" s="6" t="str">
        <x:v>complete</x:v>
      </x:c>
      <x:c r="G338" s="6" t="str">
        <x:v>economic_financial_model.complete</x:v>
      </x:c>
      <x:c r="H338" s="6" t="str">
        <x:v>LIVE_ROUTER_REGISTERED</x:v>
      </x:c>
      <x:c r="I338" s="6" t="str">
        <x:v>frontend/src/features/economic-financial-model/api.ts</x:v>
      </x:c>
      <x:c r="J338" s="6" t="str">
        <x:v>NOT_EXECUTED_BY_INVENTORY. SOURCE_LITERAL_OR_TRANSITIVE_HELPER_UNION</x:v>
      </x:c>
    </x:row>
    <x:row r="339" ht="42" customHeight="1">
      <x:c r="A339" s="15" t="str">
        <x:v>API-135</x:v>
      </x:c>
      <x:c r="B339" s="13" t="str">
        <x:v>GET</x:v>
      </x:c>
      <x:c r="C339" s="13" t="str">
        <x:v>/api/v1/economic-financial-model-versions/{version_id}/financing-instruments</x:v>
      </x:c>
      <x:c r="D339" s="13" t="str">
        <x:v>READ-ONLY SHARED CONTEXT</x:v>
      </x:c>
      <x:c r="E339" s="13" t="str">
        <x:v>economic_financial_model</x:v>
      </x:c>
      <x:c r="F339" s="13" t="str">
        <x:v>instruments</x:v>
      </x:c>
      <x:c r="G339" s="13" t="str">
        <x:v>economic_financial_model.read</x:v>
      </x:c>
      <x:c r="H339" s="13" t="str">
        <x:v>LIVE_ROUTER_REGISTERED</x:v>
      </x:c>
      <x:c r="I339" s="13" t="str">
        <x:v>frontend/src/features/economic-financial-model/api.ts</x:v>
      </x:c>
      <x:c r="J339" s="13" t="str">
        <x:v>NOT_EXECUTED_BY_INVENTORY. SOURCE_LITERAL_OR_TRANSITIVE_HELPER_UNION</x:v>
      </x:c>
    </x:row>
    <x:row r="340" ht="42" customHeight="1">
      <x:c r="A340" s="14" t="str">
        <x:v>API-136</x:v>
      </x:c>
      <x:c r="B340" s="6" t="str">
        <x:v>POST</x:v>
      </x:c>
      <x:c r="C340" s="6" t="str">
        <x:v>/api/v1/economic-financial-model-versions/{version_id}/financing-instruments</x:v>
      </x:c>
      <x:c r="D340" s="6" t="str">
        <x:v>USER MODE</x:v>
      </x:c>
      <x:c r="E340" s="6" t="str">
        <x:v>economic_financial_model</x:v>
      </x:c>
      <x:c r="F340" s="6" t="str">
        <x:v>create instrument</x:v>
      </x:c>
      <x:c r="G340" s="6" t="str">
        <x:v>economic_financial_model.edit</x:v>
      </x:c>
      <x:c r="H340" s="6" t="str">
        <x:v>LIVE_ROUTER_REGISTERED</x:v>
      </x:c>
      <x:c r="I340" s="6" t="str">
        <x:v>frontend/src/features/economic-financial-model/api.ts</x:v>
      </x:c>
      <x:c r="J340" s="6" t="str">
        <x:v>NOT_EXECUTED_BY_INVENTORY. SOURCE_LITERAL_OR_TRANSITIVE_HELPER_UNION</x:v>
      </x:c>
    </x:row>
    <x:row r="341" ht="42" customHeight="1">
      <x:c r="A341" s="15" t="str">
        <x:v>API-137</x:v>
      </x:c>
      <x:c r="B341" s="13" t="str">
        <x:v>GET</x:v>
      </x:c>
      <x:c r="C341" s="13" t="str">
        <x:v>/api/v1/economic-financial-model-versions/{version_id}/investors</x:v>
      </x:c>
      <x:c r="D341" s="13" t="str">
        <x:v>READ-ONLY SHARED CONTEXT</x:v>
      </x:c>
      <x:c r="E341" s="13" t="str">
        <x:v>economic_financial_model</x:v>
      </x:c>
      <x:c r="F341" s="13" t="str">
        <x:v>investors</x:v>
      </x:c>
      <x:c r="G341" s="13" t="str">
        <x:v>economic_financial_model.read</x:v>
      </x:c>
      <x:c r="H341" s="13" t="str">
        <x:v>LIVE_ROUTER_REGISTERED</x:v>
      </x:c>
      <x:c r="I341" s="13" t="str">
        <x:v>frontend/src/features/economic-financial-model/api.ts</x:v>
      </x:c>
      <x:c r="J341" s="13" t="str">
        <x:v>NOT_EXECUTED_BY_INVENTORY. SOURCE_LITERAL_OR_TRANSITIVE_HELPER_UNION</x:v>
      </x:c>
    </x:row>
    <x:row r="342" ht="42" customHeight="1">
      <x:c r="A342" s="14" t="str">
        <x:v>API-138</x:v>
      </x:c>
      <x:c r="B342" s="6" t="str">
        <x:v>POST</x:v>
      </x:c>
      <x:c r="C342" s="6" t="str">
        <x:v>/api/v1/economic-financial-model-versions/{version_id}/investors</x:v>
      </x:c>
      <x:c r="D342" s="6" t="str">
        <x:v>USER MODE</x:v>
      </x:c>
      <x:c r="E342" s="6" t="str">
        <x:v>economic_financial_model</x:v>
      </x:c>
      <x:c r="F342" s="6" t="str">
        <x:v>create investor</x:v>
      </x:c>
      <x:c r="G342" s="6" t="str">
        <x:v>economic_financial_model.edit</x:v>
      </x:c>
      <x:c r="H342" s="6" t="str">
        <x:v>LIVE_ROUTER_REGISTERED</x:v>
      </x:c>
      <x:c r="I342" s="6" t="str">
        <x:v>frontend/src/features/economic-financial-model/api.ts</x:v>
      </x:c>
      <x:c r="J342" s="6" t="str">
        <x:v>NOT_EXECUTED_BY_INVENTORY. SOURCE_LITERAL_OR_TRANSITIVE_HELPER_UNION</x:v>
      </x:c>
    </x:row>
    <x:row r="343" ht="42" customHeight="1">
      <x:c r="A343" s="15" t="str">
        <x:v>API-139</x:v>
      </x:c>
      <x:c r="B343" s="13" t="str">
        <x:v>GET</x:v>
      </x:c>
      <x:c r="C343" s="13" t="str">
        <x:v>/api/v1/economic-financial-model-versions/{version_id}/metrics</x:v>
      </x:c>
      <x:c r="D343" s="13" t="str">
        <x:v>READ-ONLY SHARED CONTEXT</x:v>
      </x:c>
      <x:c r="E343" s="13" t="str">
        <x:v>economic_financial_model</x:v>
      </x:c>
      <x:c r="F343" s="13" t="str">
        <x:v>metrics</x:v>
      </x:c>
      <x:c r="G343" s="13" t="str">
        <x:v>economic_financial_model.read</x:v>
      </x:c>
      <x:c r="H343" s="13" t="str">
        <x:v>LIVE_ROUTER_REGISTERED</x:v>
      </x:c>
      <x:c r="I343" s="13" t="str">
        <x:v>frontend/src/features/economic-financial-model/api.ts</x:v>
      </x:c>
      <x:c r="J343" s="13" t="str">
        <x:v>NOT_EXECUTED_BY_INVENTORY. SOURCE_LITERAL_OR_TRANSITIVE_HELPER_UNION</x:v>
      </x:c>
    </x:row>
    <x:row r="344" ht="42" customHeight="1">
      <x:c r="A344" s="14" t="str">
        <x:v>API-140</x:v>
      </x:c>
      <x:c r="B344" s="6" t="str">
        <x:v>GET</x:v>
      </x:c>
      <x:c r="C344" s="6" t="str">
        <x:v>/api/v1/economic-financial-model-versions/{version_id}/periods</x:v>
      </x:c>
      <x:c r="D344" s="6" t="str">
        <x:v>READ-ONLY SHARED CONTEXT</x:v>
      </x:c>
      <x:c r="E344" s="6" t="str">
        <x:v>economic_financial_model</x:v>
      </x:c>
      <x:c r="F344" s="6" t="str">
        <x:v>periods</x:v>
      </x:c>
      <x:c r="G344" s="6" t="str">
        <x:v>economic_financial_model.read</x:v>
      </x:c>
      <x:c r="H344" s="6" t="str">
        <x:v>LIVE_ROUTER_REGISTERED</x:v>
      </x:c>
      <x:c r="I344" s="6" t="str">
        <x:v>frontend/src/features/economic-financial-model/api.ts</x:v>
      </x:c>
      <x:c r="J344" s="6" t="str">
        <x:v>NOT_EXECUTED_BY_INVENTORY. SOURCE_LITERAL_OR_TRANSITIVE_HELPER_UNION</x:v>
      </x:c>
    </x:row>
    <x:row r="345" ht="42" customHeight="1">
      <x:c r="A345" s="15" t="str">
        <x:v>API-141</x:v>
      </x:c>
      <x:c r="B345" s="13" t="str">
        <x:v>PUT</x:v>
      </x:c>
      <x:c r="C345" s="13" t="str">
        <x:v>/api/v1/economic-financial-model-versions/{version_id}/periods</x:v>
      </x:c>
      <x:c r="D345" s="13" t="str">
        <x:v>USER MODE</x:v>
      </x:c>
      <x:c r="E345" s="13" t="str">
        <x:v>economic_financial_model</x:v>
      </x:c>
      <x:c r="F345" s="13" t="str">
        <x:v>upsert period</x:v>
      </x:c>
      <x:c r="G345" s="13" t="str">
        <x:v>economic_financial_model.edit</x:v>
      </x:c>
      <x:c r="H345" s="13" t="str">
        <x:v>LIVE_ROUTER_REGISTERED</x:v>
      </x:c>
      <x:c r="I345" s="13" t="str">
        <x:v>frontend/src/features/economic-financial-model/api.ts</x:v>
      </x:c>
      <x:c r="J345" s="13" t="str">
        <x:v>NOT_EXECUTED_BY_INVENTORY. SOURCE_LITERAL_OR_TRANSITIVE_HELPER_UNION</x:v>
      </x:c>
    </x:row>
    <x:row r="346" ht="42" customHeight="1">
      <x:c r="A346" s="14" t="str">
        <x:v>API-142</x:v>
      </x:c>
      <x:c r="B346" s="6" t="str">
        <x:v>GET</x:v>
      </x:c>
      <x:c r="C346" s="6" t="str">
        <x:v>/api/v1/economic-financial-model-versions/{version_id}/scenarios</x:v>
      </x:c>
      <x:c r="D346" s="6" t="str">
        <x:v>READ-ONLY SHARED CONTEXT</x:v>
      </x:c>
      <x:c r="E346" s="6" t="str">
        <x:v>economic_financial_model</x:v>
      </x:c>
      <x:c r="F346" s="6" t="str">
        <x:v>scenarios</x:v>
      </x:c>
      <x:c r="G346" s="6" t="str">
        <x:v>economic_financial_model.read</x:v>
      </x:c>
      <x:c r="H346" s="6" t="str">
        <x:v>LIVE_ROUTER_REGISTERED</x:v>
      </x:c>
      <x:c r="I346" s="6" t="str">
        <x:v>frontend/src/features/economic-financial-model/api.ts</x:v>
      </x:c>
      <x:c r="J346" s="6" t="str">
        <x:v>NOT_EXECUTED_BY_INVENTORY. SOURCE_LITERAL_OR_TRANSITIVE_HELPER_UNION</x:v>
      </x:c>
    </x:row>
    <x:row r="347" ht="42" customHeight="1">
      <x:c r="A347" s="15" t="str">
        <x:v>API-143</x:v>
      </x:c>
      <x:c r="B347" s="13" t="str">
        <x:v>POST</x:v>
      </x:c>
      <x:c r="C347" s="13" t="str">
        <x:v>/api/v1/economic-financial-model-versions/{version_id}/scenarios</x:v>
      </x:c>
      <x:c r="D347" s="13" t="str">
        <x:v>USER MODE</x:v>
      </x:c>
      <x:c r="E347" s="13" t="str">
        <x:v>economic_financial_model</x:v>
      </x:c>
      <x:c r="F347" s="13" t="str">
        <x:v>create scenario</x:v>
      </x:c>
      <x:c r="G347" s="13" t="str">
        <x:v>economic_financial_model.scenario.manage</x:v>
      </x:c>
      <x:c r="H347" s="13" t="str">
        <x:v>LIVE_ROUTER_REGISTERED</x:v>
      </x:c>
      <x:c r="I347" s="13" t="str">
        <x:v>frontend/src/features/economic-financial-model/api.ts</x:v>
      </x:c>
      <x:c r="J347" s="13" t="str">
        <x:v>NOT_EXECUTED_BY_INVENTORY. SOURCE_LITERAL_OR_TRANSITIVE_HELPER_UNION</x:v>
      </x:c>
    </x:row>
    <x:row r="348" ht="42" customHeight="1">
      <x:c r="A348" s="14" t="str">
        <x:v>API-144</x:v>
      </x:c>
      <x:c r="B348" s="6" t="str">
        <x:v>POST</x:v>
      </x:c>
      <x:c r="C348" s="6" t="str">
        <x:v>/api/v1/economic-financial-model-versions/{version_id}/sensitivities/run</x:v>
      </x:c>
      <x:c r="D348" s="6" t="str">
        <x:v>USER MODE</x:v>
      </x:c>
      <x:c r="E348" s="6" t="str">
        <x:v>economic_financial_model</x:v>
      </x:c>
      <x:c r="F348" s="6" t="str">
        <x:v>sensitivity</x:v>
      </x:c>
      <x:c r="G348" s="6" t="str">
        <x:v>economic_financial_model.sensitivity.run</x:v>
      </x:c>
      <x:c r="H348" s="6" t="str">
        <x:v>LIVE_ROUTER_REGISTERED</x:v>
      </x:c>
      <x:c r="I348" s="6" t="str">
        <x:v>NO_DIRECT_LITERAL_MATCH_NOT_PROOF_UNUSED</x:v>
      </x:c>
      <x:c r="J348" s="6" t="str">
        <x:v>NOT_EXECUTED_BY_INVENTORY. SOURCE_LITERAL_OR_TRANSITIVE_HELPER_UNION</x:v>
      </x:c>
    </x:row>
    <x:row r="349" ht="42" customHeight="1">
      <x:c r="A349" s="15" t="str">
        <x:v>API-145</x:v>
      </x:c>
      <x:c r="B349" s="13" t="str">
        <x:v>POST</x:v>
      </x:c>
      <x:c r="C349" s="13" t="str">
        <x:v>/api/v1/economic-financial-model-versions/{version_id}/submit-review</x:v>
      </x:c>
      <x:c r="D349" s="13" t="str">
        <x:v>USER MODE</x:v>
      </x:c>
      <x:c r="E349" s="13" t="str">
        <x:v>economic_financial_model</x:v>
      </x:c>
      <x:c r="F349" s="13" t="str">
        <x:v>submit review</x:v>
      </x:c>
      <x:c r="G349" s="13" t="str">
        <x:v>economic_financial_model.submit_review</x:v>
      </x:c>
      <x:c r="H349" s="13" t="str">
        <x:v>LIVE_ROUTER_REGISTERED</x:v>
      </x:c>
      <x:c r="I349" s="13" t="str">
        <x:v>frontend/src/features/economic-financial-model/api.ts</x:v>
      </x:c>
      <x:c r="J349" s="13" t="str">
        <x:v>NOT_EXECUTED_BY_INVENTORY. SOURCE_LITERAL_OR_TRANSITIVE_HELPER_UNION</x:v>
      </x:c>
    </x:row>
    <x:row r="350" ht="42" customHeight="1">
      <x:c r="A350" s="14" t="str">
        <x:v>API-146</x:v>
      </x:c>
      <x:c r="B350" s="6" t="str">
        <x:v>GET</x:v>
      </x:c>
      <x:c r="C350" s="6" t="str">
        <x:v>/api/v1/economic-financial-models</x:v>
      </x:c>
      <x:c r="D350" s="6" t="str">
        <x:v>READ-ONLY SHARED CONTEXT</x:v>
      </x:c>
      <x:c r="E350" s="6" t="str">
        <x:v>economic_financial_model</x:v>
      </x:c>
      <x:c r="F350" s="6" t="str">
        <x:v>models</x:v>
      </x:c>
      <x:c r="G350" s="6" t="str">
        <x:v>economic_financial_model.read</x:v>
      </x:c>
      <x:c r="H350" s="6" t="str">
        <x:v>LIVE_ROUTER_REGISTERED</x:v>
      </x:c>
      <x:c r="I350" s="6" t="str">
        <x:v>frontend/src/features/economic-financial-model/api.ts</x:v>
      </x:c>
      <x:c r="J350" s="6" t="str">
        <x:v>NOT_EXECUTED_BY_INVENTORY. SOURCE_LITERAL_OR_TRANSITIVE_HELPER_UNION</x:v>
      </x:c>
    </x:row>
    <x:row r="351" ht="42" customHeight="1">
      <x:c r="A351" s="15" t="str">
        <x:v>API-147</x:v>
      </x:c>
      <x:c r="B351" s="13" t="str">
        <x:v>POST</x:v>
      </x:c>
      <x:c r="C351" s="13" t="str">
        <x:v>/api/v1/economic-financial-models</x:v>
      </x:c>
      <x:c r="D351" s="13" t="str">
        <x:v>USER MODE</x:v>
      </x:c>
      <x:c r="E351" s="13" t="str">
        <x:v>economic_financial_model</x:v>
      </x:c>
      <x:c r="F351" s="13" t="str">
        <x:v>create model</x:v>
      </x:c>
      <x:c r="G351" s="13" t="str">
        <x:v>economic_financial_model.create</x:v>
      </x:c>
      <x:c r="H351" s="13" t="str">
        <x:v>LIVE_ROUTER_REGISTERED</x:v>
      </x:c>
      <x:c r="I351" s="13" t="str">
        <x:v>frontend/src/features/economic-financial-model/api.ts</x:v>
      </x:c>
      <x:c r="J351" s="13" t="str">
        <x:v>NOT_EXECUTED_BY_INVENTORY. SOURCE_LITERAL_OR_TRANSITIVE_HELPER_UNION</x:v>
      </x:c>
    </x:row>
    <x:row r="352" ht="42" customHeight="1">
      <x:c r="A352" s="14" t="str">
        <x:v>API-148</x:v>
      </x:c>
      <x:c r="B352" s="6" t="str">
        <x:v>GET</x:v>
      </x:c>
      <x:c r="C352" s="6" t="str">
        <x:v>/api/v1/economic-financial-models/admin/configurations</x:v>
      </x:c>
      <x:c r="D352" s="6" t="str">
        <x:v>ADMIN MODE</x:v>
      </x:c>
      <x:c r="E352" s="6" t="str">
        <x:v>economic_financial_model</x:v>
      </x:c>
      <x:c r="F352" s="6" t="str">
        <x:v>configurations</x:v>
      </x:c>
      <x:c r="G352" s="6" t="str">
        <x:v>economic_financial_model.admin.configure</x:v>
      </x:c>
      <x:c r="H352" s="6" t="str">
        <x:v>LIVE_ROUTER_REGISTERED</x:v>
      </x:c>
      <x:c r="I352" s="6" t="str">
        <x:v>frontend/src/features/economic-financial-model/api.ts</x:v>
      </x:c>
      <x:c r="J352" s="6" t="str">
        <x:v>NOT_EXECUTED_BY_INVENTORY. SOURCE_LITERAL_OR_TRANSITIVE_HELPER_UNION</x:v>
      </x:c>
    </x:row>
    <x:row r="353" ht="42" customHeight="1">
      <x:c r="A353" s="15" t="str">
        <x:v>API-149</x:v>
      </x:c>
      <x:c r="B353" s="13" t="str">
        <x:v>POST</x:v>
      </x:c>
      <x:c r="C353" s="13" t="str">
        <x:v>/api/v1/economic-financial-models/admin/configurations/preview</x:v>
      </x:c>
      <x:c r="D353" s="13" t="str">
        <x:v>ADMIN MODE</x:v>
      </x:c>
      <x:c r="E353" s="13" t="str">
        <x:v>economic_financial_model</x:v>
      </x:c>
      <x:c r="F353" s="13" t="str">
        <x:v>configuration preview</x:v>
      </x:c>
      <x:c r="G353" s="13" t="str">
        <x:v>economic_financial_model.admin.configure</x:v>
      </x:c>
      <x:c r="H353" s="13" t="str">
        <x:v>LIVE_ROUTER_REGISTERED</x:v>
      </x:c>
      <x:c r="I353" s="13" t="str">
        <x:v>frontend/src/features/economic-financial-model/api.ts</x:v>
      </x:c>
      <x:c r="J353" s="13" t="str">
        <x:v>NOT_EXECUTED_BY_INVENTORY. SOURCE_LITERAL_OR_TRANSITIVE_HELPER_UNION</x:v>
      </x:c>
    </x:row>
    <x:row r="354" ht="42" customHeight="1">
      <x:c r="A354" s="14" t="str">
        <x:v>API-150</x:v>
      </x:c>
      <x:c r="B354" s="6" t="str">
        <x:v>PUT</x:v>
      </x:c>
      <x:c r="C354" s="6" t="str">
        <x:v>/api/v1/economic-financial-models/admin/configurations/{configuration_id}</x:v>
      </x:c>
      <x:c r="D354" s="6" t="str">
        <x:v>ADMIN MODE</x:v>
      </x:c>
      <x:c r="E354" s="6" t="str">
        <x:v>economic_financial_model</x:v>
      </x:c>
      <x:c r="F354" s="6" t="str">
        <x:v>update configuration</x:v>
      </x:c>
      <x:c r="G354" s="6" t="str">
        <x:v>economic_financial_model.admin.configure</x:v>
      </x:c>
      <x:c r="H354" s="6" t="str">
        <x:v>LIVE_ROUTER_REGISTERED</x:v>
      </x:c>
      <x:c r="I354" s="6" t="str">
        <x:v>frontend/src/features/economic-financial-model/api.ts</x:v>
      </x:c>
      <x:c r="J354" s="6" t="str">
        <x:v>NOT_EXECUTED_BY_INVENTORY. SOURCE_LITERAL_OR_TRANSITIVE_HELPER_UNION</x:v>
      </x:c>
    </x:row>
    <x:row r="355" ht="42" customHeight="1">
      <x:c r="A355" s="15" t="str">
        <x:v>API-151</x:v>
      </x:c>
      <x:c r="B355" s="13" t="str">
        <x:v>POST</x:v>
      </x:c>
      <x:c r="C355" s="13" t="str">
        <x:v>/api/v1/economic-financial-models/admin/configurations/{configuration_id}/clone</x:v>
      </x:c>
      <x:c r="D355" s="13" t="str">
        <x:v>ADMIN MODE</x:v>
      </x:c>
      <x:c r="E355" s="13" t="str">
        <x:v>economic_financial_model</x:v>
      </x:c>
      <x:c r="F355" s="13" t="str">
        <x:v>clone configuration</x:v>
      </x:c>
      <x:c r="G355" s="13" t="str">
        <x:v>economic_financial_model.admin.configure</x:v>
      </x:c>
      <x:c r="H355" s="13" t="str">
        <x:v>LIVE_ROUTER_REGISTERED</x:v>
      </x:c>
      <x:c r="I355" s="13" t="str">
        <x:v>frontend/src/features/economic-financial-model/api.ts</x:v>
      </x:c>
      <x:c r="J355" s="13" t="str">
        <x:v>NOT_EXECUTED_BY_INVENTORY. SOURCE_LITERAL_OR_TRANSITIVE_HELPER_UNION</x:v>
      </x:c>
    </x:row>
    <x:row r="356" ht="42" customHeight="1">
      <x:c r="A356" s="14" t="str">
        <x:v>API-152</x:v>
      </x:c>
      <x:c r="B356" s="6" t="str">
        <x:v>POST</x:v>
      </x:c>
      <x:c r="C356" s="6" t="str">
        <x:v>/api/v1/economic-financial-models/admin/configurations/{configuration_id}/publish</x:v>
      </x:c>
      <x:c r="D356" s="6" t="str">
        <x:v>ADMIN MODE</x:v>
      </x:c>
      <x:c r="E356" s="6" t="str">
        <x:v>economic_financial_model</x:v>
      </x:c>
      <x:c r="F356" s="6" t="str">
        <x:v>publish configuration</x:v>
      </x:c>
      <x:c r="G356" s="6" t="str">
        <x:v>economic_financial_model.admin.publish</x:v>
      </x:c>
      <x:c r="H356" s="6" t="str">
        <x:v>LIVE_ROUTER_REGISTERED</x:v>
      </x:c>
      <x:c r="I356" s="6" t="str">
        <x:v>frontend/src/features/economic-financial-model/api.ts</x:v>
      </x:c>
      <x:c r="J356" s="6" t="str">
        <x:v>NOT_EXECUTED_BY_INVENTORY. SOURCE_LITERAL_OR_TRANSITIVE_HELPER_UNION</x:v>
      </x:c>
    </x:row>
    <x:row r="357" ht="42" customHeight="1">
      <x:c r="A357" s="15" t="str">
        <x:v>API-153</x:v>
      </x:c>
      <x:c r="B357" s="13" t="str">
        <x:v>GET</x:v>
      </x:c>
      <x:c r="C357" s="13" t="str">
        <x:v>/api/v1/economic-financial-models/{model_id}</x:v>
      </x:c>
      <x:c r="D357" s="13" t="str">
        <x:v>READ-ONLY SHARED CONTEXT</x:v>
      </x:c>
      <x:c r="E357" s="13" t="str">
        <x:v>economic_financial_model</x:v>
      </x:c>
      <x:c r="F357" s="13" t="str">
        <x:v>model</x:v>
      </x:c>
      <x:c r="G357" s="13" t="str">
        <x:v>economic_financial_model.read</x:v>
      </x:c>
      <x:c r="H357" s="13" t="str">
        <x:v>LIVE_ROUTER_REGISTERED</x:v>
      </x:c>
      <x:c r="I357" s="13" t="str">
        <x:v>NO_DIRECT_LITERAL_MATCH_NOT_PROOF_UNUSED</x:v>
      </x:c>
      <x:c r="J357" s="13" t="str">
        <x:v>NOT_EXECUTED_BY_INVENTORY. SOURCE_LITERAL_OR_TRANSITIVE_HELPER_UNION</x:v>
      </x:c>
    </x:row>
    <x:row r="358" ht="42" customHeight="1">
      <x:c r="A358" s="14" t="str">
        <x:v>API-154</x:v>
      </x:c>
      <x:c r="B358" s="6" t="str">
        <x:v>GET</x:v>
      </x:c>
      <x:c r="C358" s="6" t="str">
        <x:v>/api/v1/economic-financial-models/{model_id}/investment-gate-evidence</x:v>
      </x:c>
      <x:c r="D358" s="6" t="str">
        <x:v>READ-ONLY SHARED CONTEXT</x:v>
      </x:c>
      <x:c r="E358" s="6" t="str">
        <x:v>economic_financial_model</x:v>
      </x:c>
      <x:c r="F358" s="6" t="str">
        <x:v>provider evidence</x:v>
      </x:c>
      <x:c r="G358" s="6" t="str">
        <x:v>economic_financial_model.read</x:v>
      </x:c>
      <x:c r="H358" s="6" t="str">
        <x:v>LIVE_ROUTER_REGISTERED</x:v>
      </x:c>
      <x:c r="I358" s="6" t="str">
        <x:v>NO_DIRECT_LITERAL_MATCH_NOT_PROOF_UNUSED</x:v>
      </x:c>
      <x:c r="J358" s="6" t="str">
        <x:v>NOT_EXECUTED_BY_INVENTORY. SOURCE_LITERAL_OR_TRANSITIVE_HELPER_UNION</x:v>
      </x:c>
    </x:row>
    <x:row r="359" ht="42" customHeight="1">
      <x:c r="A359" s="15" t="str">
        <x:v>API-155</x:v>
      </x:c>
      <x:c r="B359" s="13" t="str">
        <x:v>GET</x:v>
      </x:c>
      <x:c r="C359" s="13" t="str">
        <x:v>/api/v1/economic-financial-models/{model_id}/readiness</x:v>
      </x:c>
      <x:c r="D359" s="13" t="str">
        <x:v>READ-ONLY SHARED CONTEXT</x:v>
      </x:c>
      <x:c r="E359" s="13" t="str">
        <x:v>economic_financial_model</x:v>
      </x:c>
      <x:c r="F359" s="13" t="str">
        <x:v>readiness</x:v>
      </x:c>
      <x:c r="G359" s="13" t="str">
        <x:v>economic_financial_model.read</x:v>
      </x:c>
      <x:c r="H359" s="13" t="str">
        <x:v>LIVE_ROUTER_REGISTERED</x:v>
      </x:c>
      <x:c r="I359" s="13" t="str">
        <x:v>frontend/src/features/economic-financial-model/api.ts</x:v>
      </x:c>
      <x:c r="J359" s="13" t="str">
        <x:v>NOT_EXECUTED_BY_INVENTORY. SOURCE_LITERAL_OR_TRANSITIVE_HELPER_UNION</x:v>
      </x:c>
    </x:row>
    <x:row r="360" ht="42" customHeight="1">
      <x:c r="A360" s="14" t="str">
        <x:v>API-156</x:v>
      </x:c>
      <x:c r="B360" s="6" t="str">
        <x:v>POST</x:v>
      </x:c>
      <x:c r="C360" s="6" t="str">
        <x:v>/api/v1/economic-financial-models/{model_id}/refresh</x:v>
      </x:c>
      <x:c r="D360" s="6" t="str">
        <x:v>USER MODE</x:v>
      </x:c>
      <x:c r="E360" s="6" t="str">
        <x:v>economic_financial_model</x:v>
      </x:c>
      <x:c r="F360" s="6" t="str">
        <x:v>refresh</x:v>
      </x:c>
      <x:c r="G360" s="6" t="str">
        <x:v>economic_financial_model.refresh</x:v>
      </x:c>
      <x:c r="H360" s="6" t="str">
        <x:v>LIVE_ROUTER_REGISTERED</x:v>
      </x:c>
      <x:c r="I360" s="6" t="str">
        <x:v>NO_DIRECT_LITERAL_MATCH_NOT_PROOF_UNUSED</x:v>
      </x:c>
      <x:c r="J360" s="6" t="str">
        <x:v>NOT_EXECUTED_BY_INVENTORY. SOURCE_LITERAL_OR_TRANSITIVE_HELPER_UNION</x:v>
      </x:c>
    </x:row>
    <x:row r="361" ht="42" customHeight="1">
      <x:c r="A361" s="15" t="str">
        <x:v>API-157</x:v>
      </x:c>
      <x:c r="B361" s="13" t="str">
        <x:v>POST</x:v>
      </x:c>
      <x:c r="C361" s="13" t="str">
        <x:v>/api/v1/economic-financial-models/{model_id}/refresh/preview</x:v>
      </x:c>
      <x:c r="D361" s="13" t="str">
        <x:v>USER MODE</x:v>
      </x:c>
      <x:c r="E361" s="13" t="str">
        <x:v>economic_financial_model</x:v>
      </x:c>
      <x:c r="F361" s="13" t="str">
        <x:v>refresh preview</x:v>
      </x:c>
      <x:c r="G361" s="13" t="str">
        <x:v>economic_financial_model.refresh</x:v>
      </x:c>
      <x:c r="H361" s="13" t="str">
        <x:v>LIVE_ROUTER_REGISTERED</x:v>
      </x:c>
      <x:c r="I361" s="13" t="str">
        <x:v>NO_DIRECT_LITERAL_MATCH_NOT_PROOF_UNUSED</x:v>
      </x:c>
      <x:c r="J361" s="13" t="str">
        <x:v>NOT_EXECUTED_BY_INVENTORY. SOURCE_LITERAL_OR_TRANSITIVE_HELPER_UNION</x:v>
      </x:c>
    </x:row>
    <x:row r="362" ht="42" customHeight="1">
      <x:c r="A362" s="14" t="str">
        <x:v>API-158</x:v>
      </x:c>
      <x:c r="B362" s="6" t="str">
        <x:v>GET</x:v>
      </x:c>
      <x:c r="C362" s="6" t="str">
        <x:v>/api/v1/economic-financial-models/{model_id}/versions</x:v>
      </x:c>
      <x:c r="D362" s="6" t="str">
        <x:v>READ-ONLY SHARED CONTEXT</x:v>
      </x:c>
      <x:c r="E362" s="6" t="str">
        <x:v>economic_financial_model</x:v>
      </x:c>
      <x:c r="F362" s="6" t="str">
        <x:v>versions</x:v>
      </x:c>
      <x:c r="G362" s="6" t="str">
        <x:v>economic_financial_model.read</x:v>
      </x:c>
      <x:c r="H362" s="6" t="str">
        <x:v>LIVE_ROUTER_REGISTERED</x:v>
      </x:c>
      <x:c r="I362" s="6" t="str">
        <x:v>NO_DIRECT_LITERAL_MATCH_NOT_PROOF_UNUSED</x:v>
      </x:c>
      <x:c r="J362" s="6" t="str">
        <x:v>NOT_EXECUTED_BY_INVENTORY. SOURCE_LITERAL_OR_TRANSITIVE_HELPER_UNION</x:v>
      </x:c>
    </x:row>
    <x:row r="363" ht="42" customHeight="1">
      <x:c r="A363" s="15" t="str">
        <x:v>API-159</x:v>
      </x:c>
      <x:c r="B363" s="13" t="str">
        <x:v>POST</x:v>
      </x:c>
      <x:c r="C363" s="13" t="str">
        <x:v>/api/v1/economic-financial-models/{model_id}/versions</x:v>
      </x:c>
      <x:c r="D363" s="13" t="str">
        <x:v>USER MODE</x:v>
      </x:c>
      <x:c r="E363" s="13" t="str">
        <x:v>economic_financial_model</x:v>
      </x:c>
      <x:c r="F363" s="13" t="str">
        <x:v>create version</x:v>
      </x:c>
      <x:c r="G363" s="13" t="str">
        <x:v>economic_financial_model.create_version</x:v>
      </x:c>
      <x:c r="H363" s="13" t="str">
        <x:v>LIVE_ROUTER_REGISTERED</x:v>
      </x:c>
      <x:c r="I363" s="13" t="str">
        <x:v>NO_DIRECT_LITERAL_MATCH_NOT_PROOF_UNUSED</x:v>
      </x:c>
      <x:c r="J363" s="13" t="str">
        <x:v>NOT_EXECUTED_BY_INVENTORY. SOURCE_LITERAL_OR_TRANSITIVE_HELPER_UNION</x:v>
      </x:c>
    </x:row>
    <x:row r="364" ht="42" customHeight="1">
      <x:c r="A364" s="14" t="str">
        <x:v>API-160</x:v>
      </x:c>
      <x:c r="B364" s="6" t="str">
        <x:v>GET</x:v>
      </x:c>
      <x:c r="C364" s="6" t="str">
        <x:v>/api/v1/projects/{project_id}/economic-financial-model</x:v>
      </x:c>
      <x:c r="D364" s="6" t="str">
        <x:v>READ-ONLY SHARED CONTEXT</x:v>
      </x:c>
      <x:c r="E364" s="6" t="str">
        <x:v>economic_financial_model</x:v>
      </x:c>
      <x:c r="F364" s="6" t="str">
        <x:v>project model</x:v>
      </x:c>
      <x:c r="G364" s="6" t="str">
        <x:v>economic_financial_model.read</x:v>
      </x:c>
      <x:c r="H364" s="6" t="str">
        <x:v>LIVE_ROUTER_REGISTERED</x:v>
      </x:c>
      <x:c r="I364" s="6" t="str">
        <x:v>NO_DIRECT_LITERAL_MATCH_NOT_PROOF_UNUSED</x:v>
      </x:c>
      <x:c r="J364" s="6" t="str">
        <x:v>NOT_EXECUTED_BY_INVENTORY. SOURCE_LITERAL_OR_TRANSITIVE_HELPER_UNION</x:v>
      </x:c>
    </x:row>
    <x:row r="365" ht="42" customHeight="1">
      <x:c r="A365" s="15" t="str">
        <x:v>API-161</x:v>
      </x:c>
      <x:c r="B365" s="13" t="str">
        <x:v>GET</x:v>
      </x:c>
      <x:c r="C365" s="13" t="str">
        <x:v>/api/v1/admin-configuration/enterprise-structure/categories</x:v>
      </x:c>
      <x:c r="D365" s="13" t="str">
        <x:v>ADMIN MODE</x:v>
      </x:c>
      <x:c r="E365" s="13" t="str">
        <x:v>enterprise_structure</x:v>
      </x:c>
      <x:c r="F365" s="13" t="str">
        <x:v>categories</x:v>
      </x:c>
      <x:c r="G365" s="13" t="str">
        <x:v>admin.enterprise_category.read</x:v>
      </x:c>
      <x:c r="H365" s="13" t="str">
        <x:v>LIVE_ROUTER_REGISTERED</x:v>
      </x:c>
      <x:c r="I365" s="13" t="str">
        <x:v>NO_DIRECT_LITERAL_MATCH_NOT_PROOF_UNUSED</x:v>
      </x:c>
      <x:c r="J365" s="13" t="str">
        <x:v>NOT_EXECUTED_BY_INVENTORY. SOURCE_LITERAL_OR_TRANSITIVE_HELPER_UNION</x:v>
      </x:c>
    </x:row>
    <x:row r="366" ht="42" customHeight="1">
      <x:c r="A366" s="14" t="str">
        <x:v>API-162</x:v>
      </x:c>
      <x:c r="B366" s="6" t="str">
        <x:v>POST</x:v>
      </x:c>
      <x:c r="C366" s="6" t="str">
        <x:v>/api/v1/admin-configuration/enterprise-structure/categories/{category_code}/clone</x:v>
      </x:c>
      <x:c r="D366" s="6" t="str">
        <x:v>ADMIN MODE</x:v>
      </x:c>
      <x:c r="E366" s="6" t="str">
        <x:v>enterprise_structure</x:v>
      </x:c>
      <x:c r="F366" s="6" t="str">
        <x:v>clone category</x:v>
      </x:c>
      <x:c r="G366" s="6" t="str">
        <x:v>admin.enterprise_category.manage</x:v>
      </x:c>
      <x:c r="H366" s="6" t="str">
        <x:v>LIVE_ROUTER_REGISTERED</x:v>
      </x:c>
      <x:c r="I366" s="6" t="str">
        <x:v>frontend/src/features/enterprise-structure/api/index.ts</x:v>
      </x:c>
      <x:c r="J366" s="6" t="str">
        <x:v>NOT_EXECUTED_BY_INVENTORY. SOURCE_LITERAL_OR_TRANSITIVE_HELPER_UNION</x:v>
      </x:c>
    </x:row>
    <x:row r="367" ht="42" customHeight="1">
      <x:c r="A367" s="15" t="str">
        <x:v>API-163</x:v>
      </x:c>
      <x:c r="B367" s="13" t="str">
        <x:v>PUT</x:v>
      </x:c>
      <x:c r="C367" s="13" t="str">
        <x:v>/api/v1/admin-configuration/enterprise-structure/categories/{configuration_id}</x:v>
      </x:c>
      <x:c r="D367" s="13" t="str">
        <x:v>ADMIN MODE</x:v>
      </x:c>
      <x:c r="E367" s="13" t="str">
        <x:v>enterprise_structure</x:v>
      </x:c>
      <x:c r="F367" s="13" t="str">
        <x:v>update category</x:v>
      </x:c>
      <x:c r="G367" s="13" t="str">
        <x:v>admin.enterprise_category.manage</x:v>
      </x:c>
      <x:c r="H367" s="13" t="str">
        <x:v>LIVE_ROUTER_REGISTERED</x:v>
      </x:c>
      <x:c r="I367" s="13" t="str">
        <x:v>frontend/src/features/enterprise-structure/api/index.ts</x:v>
      </x:c>
      <x:c r="J367" s="13" t="str">
        <x:v>NOT_EXECUTED_BY_INVENTORY. SOURCE_LITERAL_OR_TRANSITIVE_HELPER_UNION</x:v>
      </x:c>
    </x:row>
    <x:row r="368" ht="42" customHeight="1">
      <x:c r="A368" s="14" t="str">
        <x:v>API-164</x:v>
      </x:c>
      <x:c r="B368" s="6" t="str">
        <x:v>DELETE</x:v>
      </x:c>
      <x:c r="C368" s="6" t="str">
        <x:v>/api/v1/admin-configuration/enterprise-structure/classifications/{classification_id}</x:v>
      </x:c>
      <x:c r="D368" s="6" t="str">
        <x:v>ADMIN MODE</x:v>
      </x:c>
      <x:c r="E368" s="6" t="str">
        <x:v>enterprise_structure</x:v>
      </x:c>
      <x:c r="F368" s="6" t="str">
        <x:v>remove classification</x:v>
      </x:c>
      <x:c r="G368" s="6" t="str">
        <x:v>admin.enterprise_category.manage</x:v>
      </x:c>
      <x:c r="H368" s="6" t="str">
        <x:v>LIVE_ROUTER_REGISTERED</x:v>
      </x:c>
      <x:c r="I368" s="6" t="str">
        <x:v>frontend/src/features/enterprise-structure/api/index.ts</x:v>
      </x:c>
      <x:c r="J368" s="6" t="str">
        <x:v>NOT_EXECUTED_BY_INVENTORY. SOURCE_LITERAL_OR_TRANSITIVE_HELPER_UNION</x:v>
      </x:c>
    </x:row>
    <x:row r="369" ht="42" customHeight="1">
      <x:c r="A369" s="15" t="str">
        <x:v>API-165</x:v>
      </x:c>
      <x:c r="B369" s="13" t="str">
        <x:v>POST</x:v>
      </x:c>
      <x:c r="C369" s="13" t="str">
        <x:v>/api/v1/admin-configuration/enterprise-structure/clone</x:v>
      </x:c>
      <x:c r="D369" s="13" t="str">
        <x:v>ADMIN MODE</x:v>
      </x:c>
      <x:c r="E369" s="13" t="str">
        <x:v>enterprise_structure</x:v>
      </x:c>
      <x:c r="F369" s="13" t="str">
        <x:v>clone release</x:v>
      </x:c>
      <x:c r="G369" s="13" t="str">
        <x:v>admin.enterprise_structure.manage</x:v>
      </x:c>
      <x:c r="H369" s="13" t="str">
        <x:v>LIVE_ROUTER_REGISTERED</x:v>
      </x:c>
      <x:c r="I369" s="13" t="str">
        <x:v>frontend/src/features/enterprise-structure/api/index.ts</x:v>
      </x:c>
      <x:c r="J369" s="13" t="str">
        <x:v>NOT_EXECUTED_BY_INVENTORY. SOURCE_LITERAL_OR_TRANSITIVE_HELPER_UNION</x:v>
      </x:c>
    </x:row>
    <x:row r="370" ht="42" customHeight="1">
      <x:c r="A370" s="14" t="str">
        <x:v>API-166</x:v>
      </x:c>
      <x:c r="B370" s="6" t="str">
        <x:v>GET</x:v>
      </x:c>
      <x:c r="C370" s="6" t="str">
        <x:v>/api/v1/admin-configuration/enterprise-structure/composition-rules</x:v>
      </x:c>
      <x:c r="D370" s="6" t="str">
        <x:v>ADMIN MODE</x:v>
      </x:c>
      <x:c r="E370" s="6" t="str">
        <x:v>enterprise_structure</x:v>
      </x:c>
      <x:c r="F370" s="6" t="str">
        <x:v>composition rules</x:v>
      </x:c>
      <x:c r="G370" s="6" t="str">
        <x:v>admin.composition_rule.read</x:v>
      </x:c>
      <x:c r="H370" s="6" t="str">
        <x:v>LIVE_ROUTER_REGISTERED</x:v>
      </x:c>
      <x:c r="I370" s="6" t="str">
        <x:v>NO_DIRECT_LITERAL_MATCH_NOT_PROOF_UNUSED</x:v>
      </x:c>
      <x:c r="J370" s="6" t="str">
        <x:v>NOT_EXECUTED_BY_INVENTORY. SOURCE_LITERAL_OR_TRANSITIVE_HELPER_UNION</x:v>
      </x:c>
    </x:row>
    <x:row r="371" ht="42" customHeight="1">
      <x:c r="A371" s="15" t="str">
        <x:v>API-167</x:v>
      </x:c>
      <x:c r="B371" s="13" t="str">
        <x:v>PUT</x:v>
      </x:c>
      <x:c r="C371" s="13" t="str">
        <x:v>/api/v1/admin-configuration/enterprise-structure/composition-rules/{parent_type_code}</x:v>
      </x:c>
      <x:c r="D371" s="13" t="str">
        <x:v>ADMIN MODE</x:v>
      </x:c>
      <x:c r="E371" s="13" t="str">
        <x:v>enterprise_structure</x:v>
      </x:c>
      <x:c r="F371" s="13" t="str">
        <x:v>update composition rule</x:v>
      </x:c>
      <x:c r="G371" s="13" t="str">
        <x:v>admin.composition_rule.manage</x:v>
      </x:c>
      <x:c r="H371" s="13" t="str">
        <x:v>LIVE_ROUTER_REGISTERED</x:v>
      </x:c>
      <x:c r="I371" s="13" t="str">
        <x:v>frontend/src/features/enterprise-structure/api/index.ts</x:v>
      </x:c>
      <x:c r="J371" s="13" t="str">
        <x:v>NOT_EXECUTED_BY_INVENTORY. SOURCE_LITERAL_OR_TRANSITIVE_HELPER_UNION</x:v>
      </x:c>
    </x:row>
    <x:row r="372" ht="42" customHeight="1">
      <x:c r="A372" s="14" t="str">
        <x:v>API-168</x:v>
      </x:c>
      <x:c r="B372" s="6" t="str">
        <x:v>GET</x:v>
      </x:c>
      <x:c r="C372" s="6" t="str">
        <x:v>/api/v1/admin-configuration/enterprise-structure/configuration</x:v>
      </x:c>
      <x:c r="D372" s="6" t="str">
        <x:v>ADMIN MODE</x:v>
      </x:c>
      <x:c r="E372" s="6" t="str">
        <x:v>enterprise_structure</x:v>
      </x:c>
      <x:c r="F372" s="6" t="str">
        <x:v>configuration</x:v>
      </x:c>
      <x:c r="G372" s="6" t="str">
        <x:v>admin.enterprise_structure.read</x:v>
      </x:c>
      <x:c r="H372" s="6" t="str">
        <x:v>LIVE_ROUTER_REGISTERED</x:v>
      </x:c>
      <x:c r="I372" s="6" t="str">
        <x:v>frontend/src/features/enterprise-structure/api/index.ts</x:v>
      </x:c>
      <x:c r="J372" s="6" t="str">
        <x:v>NOT_EXECUTED_BY_INVENTORY. SOURCE_LITERAL_OR_TRANSITIVE_HELPER_UNION</x:v>
      </x:c>
    </x:row>
    <x:row r="373" ht="42" customHeight="1">
      <x:c r="A373" s="15" t="str">
        <x:v>API-169</x:v>
      </x:c>
      <x:c r="B373" s="13" t="str">
        <x:v>POST</x:v>
      </x:c>
      <x:c r="C373" s="13" t="str">
        <x:v>/api/v1/admin-configuration/enterprise-structure/enterprise-core-releases/{published_id}/clone</x:v>
      </x:c>
      <x:c r="D373" s="13" t="str">
        <x:v>ADMIN MODE</x:v>
      </x:c>
      <x:c r="E373" s="13" t="str">
        <x:v>enterprise_structure</x:v>
      </x:c>
      <x:c r="F373" s="13" t="str">
        <x:v>create core revision</x:v>
      </x:c>
      <x:c r="G373" s="13" t="str">
        <x:v>HELPER_OR_SERVICE_AUTHORIZATION_REQUIRES_REVIEW</x:v>
      </x:c>
      <x:c r="H373" s="13" t="str">
        <x:v>LIVE_ROUTER_REGISTERED</x:v>
      </x:c>
      <x:c r="I373" s="13" t="str">
        <x:v>frontend/src/features/enterprise-structure/api/index.ts</x:v>
      </x:c>
      <x:c r="J373" s="13" t="str">
        <x:v>NOT_EXECUTED_BY_INVENTORY. SOURCE_LITERAL_OR_TRANSITIVE_HELPER_UNION</x:v>
      </x:c>
    </x:row>
    <x:row r="374" ht="42" customHeight="1">
      <x:c r="A374" s="14" t="str">
        <x:v>API-170</x:v>
      </x:c>
      <x:c r="B374" s="6" t="str">
        <x:v>GET</x:v>
      </x:c>
      <x:c r="C374" s="6" t="str">
        <x:v>/api/v1/admin-configuration/enterprise-structure/enterprise-core-releases/{release_id}</x:v>
      </x:c>
      <x:c r="D374" s="6" t="str">
        <x:v>ADMIN MODE</x:v>
      </x:c>
      <x:c r="E374" s="6" t="str">
        <x:v>enterprise_structure</x:v>
      </x:c>
      <x:c r="F374" s="6" t="str">
        <x:v>core revision</x:v>
      </x:c>
      <x:c r="G374" s="6" t="str">
        <x:v>HELPER_OR_SERVICE_AUTHORIZATION_REQUIRES_REVIEW</x:v>
      </x:c>
      <x:c r="H374" s="6" t="str">
        <x:v>LIVE_ROUTER_REGISTERED</x:v>
      </x:c>
      <x:c r="I374" s="6" t="str">
        <x:v>frontend/src/features/enterprise-structure/api/index.ts</x:v>
      </x:c>
      <x:c r="J374" s="6" t="str">
        <x:v>NOT_EXECUTED_BY_INVENTORY. SOURCE_LITERAL_OR_TRANSITIVE_HELPER_UNION</x:v>
      </x:c>
    </x:row>
    <x:row r="375" ht="42" customHeight="1">
      <x:c r="A375" s="15" t="str">
        <x:v>API-171</x:v>
      </x:c>
      <x:c r="B375" s="13" t="str">
        <x:v>PATCH</x:v>
      </x:c>
      <x:c r="C375" s="13" t="str">
        <x:v>/api/v1/admin-configuration/enterprise-structure/enterprise-core-releases/{release_id}</x:v>
      </x:c>
      <x:c r="D375" s="13" t="str">
        <x:v>ADMIN MODE</x:v>
      </x:c>
      <x:c r="E375" s="13" t="str">
        <x:v>enterprise_structure</x:v>
      </x:c>
      <x:c r="F375" s="13" t="str">
        <x:v>update core revision</x:v>
      </x:c>
      <x:c r="G375" s="13" t="str">
        <x:v>HELPER_OR_SERVICE_AUTHORIZATION_REQUIRES_REVIEW</x:v>
      </x:c>
      <x:c r="H375" s="13" t="str">
        <x:v>LIVE_ROUTER_REGISTERED</x:v>
      </x:c>
      <x:c r="I375" s="13" t="str">
        <x:v>frontend/src/features/enterprise-structure/api/index.ts</x:v>
      </x:c>
      <x:c r="J375" s="13" t="str">
        <x:v>NOT_EXECUTED_BY_INVENTORY. SOURCE_LITERAL_OR_TRANSITIVE_HELPER_UNION</x:v>
      </x:c>
    </x:row>
    <x:row r="376" ht="42" customHeight="1">
      <x:c r="A376" s="14" t="str">
        <x:v>API-172</x:v>
      </x:c>
      <x:c r="B376" s="6" t="str">
        <x:v>POST</x:v>
      </x:c>
      <x:c r="C376" s="6" t="str">
        <x:v>/api/v1/admin-configuration/enterprise-structure/enterprise-core-releases/{release_id}/approve</x:v>
      </x:c>
      <x:c r="D376" s="6" t="str">
        <x:v>ADMIN MODE</x:v>
      </x:c>
      <x:c r="E376" s="6" t="str">
        <x:v>enterprise_structure</x:v>
      </x:c>
      <x:c r="F376" s="6" t="str">
        <x:v>approve core revision</x:v>
      </x:c>
      <x:c r="G376" s="6" t="str">
        <x:v>HELPER_OR_SERVICE_AUTHORIZATION_REQUIRES_REVIEW</x:v>
      </x:c>
      <x:c r="H376" s="6" t="str">
        <x:v>LIVE_ROUTER_REGISTERED</x:v>
      </x:c>
      <x:c r="I376" s="6" t="str">
        <x:v>frontend/src/features/enterprise-structure/api/index.ts</x:v>
      </x:c>
      <x:c r="J376" s="6" t="str">
        <x:v>NOT_EXECUTED_BY_INVENTORY. SOURCE_LITERAL_OR_TRANSITIVE_HELPER_UNION</x:v>
      </x:c>
    </x:row>
    <x:row r="377" ht="42" customHeight="1">
      <x:c r="A377" s="15" t="str">
        <x:v>API-173</x:v>
      </x:c>
      <x:c r="B377" s="13" t="str">
        <x:v>GET</x:v>
      </x:c>
      <x:c r="C377" s="13" t="str">
        <x:v>/api/v1/admin-configuration/enterprise-structure/enterprise-core-releases/{release_id}/diff</x:v>
      </x:c>
      <x:c r="D377" s="13" t="str">
        <x:v>ADMIN MODE</x:v>
      </x:c>
      <x:c r="E377" s="13" t="str">
        <x:v>enterprise_structure</x:v>
      </x:c>
      <x:c r="F377" s="13" t="str">
        <x:v>compare core revision</x:v>
      </x:c>
      <x:c r="G377" s="13" t="str">
        <x:v>HELPER_OR_SERVICE_AUTHORIZATION_REQUIRES_REVIEW</x:v>
      </x:c>
      <x:c r="H377" s="13" t="str">
        <x:v>LIVE_ROUTER_REGISTERED</x:v>
      </x:c>
      <x:c r="I377" s="13" t="str">
        <x:v>frontend/src/features/enterprise-structure/api/index.ts</x:v>
      </x:c>
      <x:c r="J377" s="13" t="str">
        <x:v>NOT_EXECUTED_BY_INVENTORY. SOURCE_LITERAL_OR_TRANSITIVE_HELPER_UNION</x:v>
      </x:c>
    </x:row>
    <x:row r="378" ht="42" customHeight="1">
      <x:c r="A378" s="14" t="str">
        <x:v>API-174</x:v>
      </x:c>
      <x:c r="B378" s="6" t="str">
        <x:v>POST</x:v>
      </x:c>
      <x:c r="C378" s="6" t="str">
        <x:v>/api/v1/admin-configuration/enterprise-structure/enterprise-core-releases/{release_id}/publish</x:v>
      </x:c>
      <x:c r="D378" s="6" t="str">
        <x:v>ADMIN MODE</x:v>
      </x:c>
      <x:c r="E378" s="6" t="str">
        <x:v>enterprise_structure</x:v>
      </x:c>
      <x:c r="F378" s="6" t="str">
        <x:v>publish core revision</x:v>
      </x:c>
      <x:c r="G378" s="6" t="str">
        <x:v>HELPER_OR_SERVICE_AUTHORIZATION_REQUIRES_REVIEW</x:v>
      </x:c>
      <x:c r="H378" s="6" t="str">
        <x:v>LIVE_ROUTER_REGISTERED</x:v>
      </x:c>
      <x:c r="I378" s="6" t="str">
        <x:v>frontend/src/features/enterprise-structure/api/index.ts</x:v>
      </x:c>
      <x:c r="J378" s="6" t="str">
        <x:v>NOT_EXECUTED_BY_INVENTORY. SOURCE_LITERAL_OR_TRANSITIVE_HELPER_UNION</x:v>
      </x:c>
    </x:row>
    <x:row r="379" ht="42" customHeight="1">
      <x:c r="A379" s="15" t="str">
        <x:v>API-175</x:v>
      </x:c>
      <x:c r="B379" s="13" t="str">
        <x:v>POST</x:v>
      </x:c>
      <x:c r="C379" s="13" t="str">
        <x:v>/api/v1/admin-configuration/enterprise-structure/enterprise-core-releases/{release_id}/record-code-preview</x:v>
      </x:c>
      <x:c r="D379" s="13" t="str">
        <x:v>ADMIN MODE</x:v>
      </x:c>
      <x:c r="E379" s="13" t="str">
        <x:v>enterprise_structure</x:v>
      </x:c>
      <x:c r="F379" s="13" t="str">
        <x:v>preview revision record code</x:v>
      </x:c>
      <x:c r="G379" s="13" t="str">
        <x:v>HELPER_OR_SERVICE_AUTHORIZATION_REQUIRES_REVIEW</x:v>
      </x:c>
      <x:c r="H379" s="13" t="str">
        <x:v>LIVE_ROUTER_REGISTERED</x:v>
      </x:c>
      <x:c r="I379" s="13" t="str">
        <x:v>frontend/src/features/enterprise-structure/api/index.ts</x:v>
      </x:c>
      <x:c r="J379" s="13" t="str">
        <x:v>NOT_EXECUTED_BY_INVENTORY. SOURCE_LITERAL_OR_TRANSITIVE_HELPER_UNION</x:v>
      </x:c>
    </x:row>
    <x:row r="380" ht="42" customHeight="1">
      <x:c r="A380" s="14" t="str">
        <x:v>API-176</x:v>
      </x:c>
      <x:c r="B380" s="6" t="str">
        <x:v>POST</x:v>
      </x:c>
      <x:c r="C380" s="6" t="str">
        <x:v>/api/v1/admin-configuration/enterprise-structure/enterprise-core-releases/{release_id}/rollback</x:v>
      </x:c>
      <x:c r="D380" s="6" t="str">
        <x:v>ADMIN MODE</x:v>
      </x:c>
      <x:c r="E380" s="6" t="str">
        <x:v>enterprise_structure</x:v>
      </x:c>
      <x:c r="F380" s="6" t="str">
        <x:v>rollback core revision</x:v>
      </x:c>
      <x:c r="G380" s="6" t="str">
        <x:v>HELPER_OR_SERVICE_AUTHORIZATION_REQUIRES_REVIEW</x:v>
      </x:c>
      <x:c r="H380" s="6" t="str">
        <x:v>LIVE_ROUTER_REGISTERED</x:v>
      </x:c>
      <x:c r="I380" s="6" t="str">
        <x:v>NO_DIRECT_LITERAL_MATCH_NOT_PROOF_UNUSED</x:v>
      </x:c>
      <x:c r="J380" s="6" t="str">
        <x:v>NOT_EXECUTED_BY_INVENTORY. SOURCE_LITERAL_OR_TRANSITIVE_HELPER_UNION</x:v>
      </x:c>
    </x:row>
    <x:row r="381" ht="42" customHeight="1">
      <x:c r="A381" s="15" t="str">
        <x:v>API-177</x:v>
      </x:c>
      <x:c r="B381" s="13" t="str">
        <x:v>POST</x:v>
      </x:c>
      <x:c r="C381" s="13" t="str">
        <x:v>/api/v1/admin-configuration/enterprise-structure/enterprise-core-releases/{release_id}/validate</x:v>
      </x:c>
      <x:c r="D381" s="13" t="str">
        <x:v>ADMIN MODE</x:v>
      </x:c>
      <x:c r="E381" s="13" t="str">
        <x:v>enterprise_structure</x:v>
      </x:c>
      <x:c r="F381" s="13" t="str">
        <x:v>validate core revision</x:v>
      </x:c>
      <x:c r="G381" s="13" t="str">
        <x:v>HELPER_OR_SERVICE_AUTHORIZATION_REQUIRES_REVIEW</x:v>
      </x:c>
      <x:c r="H381" s="13" t="str">
        <x:v>LIVE_ROUTER_REGISTERED</x:v>
      </x:c>
      <x:c r="I381" s="13" t="str">
        <x:v>frontend/src/features/enterprise-structure/api/index.ts</x:v>
      </x:c>
      <x:c r="J381" s="13" t="str">
        <x:v>NOT_EXECUTED_BY_INVENTORY. SOURCE_LITERAL_OR_TRANSITIVE_HELPER_UNION</x:v>
      </x:c>
    </x:row>
    <x:row r="382" ht="42" customHeight="1">
      <x:c r="A382" s="14" t="str">
        <x:v>API-178</x:v>
      </x:c>
      <x:c r="B382" s="6" t="str">
        <x:v>POST</x:v>
      </x:c>
      <x:c r="C382" s="6" t="str">
        <x:v>/api/v1/admin-configuration/enterprise-structure/enterprise-core-releases/{release_id}/workspaces</x:v>
      </x:c>
      <x:c r="D382" s="6" t="str">
        <x:v>ADMIN MODE</x:v>
      </x:c>
      <x:c r="E382" s="6" t="str">
        <x:v>enterprise_structure</x:v>
      </x:c>
      <x:c r="F382" s="6" t="str">
        <x:v>add revision workspace</x:v>
      </x:c>
      <x:c r="G382" s="6" t="str">
        <x:v>HELPER_OR_SERVICE_AUTHORIZATION_REQUIRES_REVIEW</x:v>
      </x:c>
      <x:c r="H382" s="6" t="str">
        <x:v>LIVE_ROUTER_REGISTERED</x:v>
      </x:c>
      <x:c r="I382" s="6" t="str">
        <x:v>frontend/src/features/enterprise-structure/api/index.ts</x:v>
      </x:c>
      <x:c r="J382" s="6" t="str">
        <x:v>NOT_EXECUTED_BY_INVENTORY. SOURCE_LITERAL_OR_TRANSITIVE_HELPER_UNION</x:v>
      </x:c>
    </x:row>
    <x:row r="383" ht="42" customHeight="1">
      <x:c r="A383" s="15" t="str">
        <x:v>API-179</x:v>
      </x:c>
      <x:c r="B383" s="13" t="str">
        <x:v>PATCH</x:v>
      </x:c>
      <x:c r="C383" s="13" t="str">
        <x:v>/api/v1/admin-configuration/enterprise-structure/enterprise-core-releases/{release_id}/workspaces/{workspace_key}</x:v>
      </x:c>
      <x:c r="D383" s="13" t="str">
        <x:v>ADMIN MODE</x:v>
      </x:c>
      <x:c r="E383" s="13" t="str">
        <x:v>enterprise_structure</x:v>
      </x:c>
      <x:c r="F383" s="13" t="str">
        <x:v>edit revision workspace</x:v>
      </x:c>
      <x:c r="G383" s="13" t="str">
        <x:v>HELPER_OR_SERVICE_AUTHORIZATION_REQUIRES_REVIEW</x:v>
      </x:c>
      <x:c r="H383" s="13" t="str">
        <x:v>LIVE_ROUTER_REGISTERED</x:v>
      </x:c>
      <x:c r="I383" s="13" t="str">
        <x:v>frontend/src/features/enterprise-structure/api/index.ts</x:v>
      </x:c>
      <x:c r="J383" s="13" t="str">
        <x:v>NOT_EXECUTED_BY_INVENTORY. SOURCE_LITERAL_OR_TRANSITIVE_HELPER_UNION</x:v>
      </x:c>
    </x:row>
    <x:row r="384" ht="53" customHeight="1">
      <x:c r="A384" s="14" t="str">
        <x:v>API-180</x:v>
      </x:c>
      <x:c r="B384" s="6" t="str">
        <x:v>POST</x:v>
      </x:c>
      <x:c r="C384" s="6" t="str">
        <x:v>/api/v1/admin-configuration/enterprise-structure/enterprise-core-releases/{release_id}/workspaces/{workspace_key}/archive</x:v>
      </x:c>
      <x:c r="D384" s="6" t="str">
        <x:v>ADMIN MODE</x:v>
      </x:c>
      <x:c r="E384" s="6" t="str">
        <x:v>enterprise_structure</x:v>
      </x:c>
      <x:c r="F384" s="6" t="str">
        <x:v>archive revision workspace</x:v>
      </x:c>
      <x:c r="G384" s="6" t="str">
        <x:v>HELPER_OR_SERVICE_AUTHORIZATION_REQUIRES_REVIEW</x:v>
      </x:c>
      <x:c r="H384" s="6" t="str">
        <x:v>LIVE_ROUTER_REGISTERED</x:v>
      </x:c>
      <x:c r="I384" s="6" t="str">
        <x:v>frontend/src/features/enterprise-structure/api/index.ts</x:v>
      </x:c>
      <x:c r="J384" s="6" t="str">
        <x:v>NOT_EXECUTED_BY_INVENTORY. SOURCE_LITERAL_OR_TRANSITIVE_HELPER_UNION</x:v>
      </x:c>
    </x:row>
    <x:row r="385" ht="53" customHeight="1">
      <x:c r="A385" s="15" t="str">
        <x:v>API-181</x:v>
      </x:c>
      <x:c r="B385" s="13" t="str">
        <x:v>PUT</x:v>
      </x:c>
      <x:c r="C385" s="13" t="str">
        <x:v>/api/v1/admin-configuration/enterprise-structure/enterprise-core-releases/{release_id}/workspaces/{workspace_key}/classifications</x:v>
      </x:c>
      <x:c r="D385" s="13" t="str">
        <x:v>ADMIN MODE</x:v>
      </x:c>
      <x:c r="E385" s="13" t="str">
        <x:v>enterprise_structure</x:v>
      </x:c>
      <x:c r="F385" s="13" t="str">
        <x:v>classify revision workspace</x:v>
      </x:c>
      <x:c r="G385" s="13" t="str">
        <x:v>HELPER_OR_SERVICE_AUTHORIZATION_REQUIRES_REVIEW</x:v>
      </x:c>
      <x:c r="H385" s="13" t="str">
        <x:v>LIVE_ROUTER_REGISTERED</x:v>
      </x:c>
      <x:c r="I385" s="13" t="str">
        <x:v>frontend/src/features/enterprise-structure/api/index.ts</x:v>
      </x:c>
      <x:c r="J385" s="13" t="str">
        <x:v>NOT_EXECUTED_BY_INVENTORY. SOURCE_LITERAL_OR_TRANSITIVE_HELPER_UNION</x:v>
      </x:c>
    </x:row>
    <x:row r="386" ht="53" customHeight="1">
      <x:c r="A386" s="14" t="str">
        <x:v>API-182</x:v>
      </x:c>
      <x:c r="B386" s="6" t="str">
        <x:v>POST</x:v>
      </x:c>
      <x:c r="C386" s="6" t="str">
        <x:v>/api/v1/admin-configuration/enterprise-structure/enterprise-core-releases/{release_id}/workspaces/{workspace_key}/move</x:v>
      </x:c>
      <x:c r="D386" s="6" t="str">
        <x:v>ADMIN MODE</x:v>
      </x:c>
      <x:c r="E386" s="6" t="str">
        <x:v>enterprise_structure</x:v>
      </x:c>
      <x:c r="F386" s="6" t="str">
        <x:v>move revision workspace</x:v>
      </x:c>
      <x:c r="G386" s="6" t="str">
        <x:v>HELPER_OR_SERVICE_AUTHORIZATION_REQUIRES_REVIEW</x:v>
      </x:c>
      <x:c r="H386" s="6" t="str">
        <x:v>LIVE_ROUTER_REGISTERED</x:v>
      </x:c>
      <x:c r="I386" s="6" t="str">
        <x:v>frontend/src/features/enterprise-structure/api/index.ts</x:v>
      </x:c>
      <x:c r="J386" s="6" t="str">
        <x:v>NOT_EXECUTED_BY_INVENTORY. SOURCE_LITERAL_OR_TRANSITIVE_HELPER_UNION</x:v>
      </x:c>
    </x:row>
    <x:row r="387" ht="42" customHeight="1">
      <x:c r="A387" s="15" t="str">
        <x:v>API-183</x:v>
      </x:c>
      <x:c r="B387" s="13" t="str">
        <x:v>POST</x:v>
      </x:c>
      <x:c r="C387" s="13" t="str">
        <x:v>/api/v1/admin-configuration/enterprise-structure/links</x:v>
      </x:c>
      <x:c r="D387" s="13" t="str">
        <x:v>ADMIN MODE</x:v>
      </x:c>
      <x:c r="E387" s="13" t="str">
        <x:v>enterprise_structure</x:v>
      </x:c>
      <x:c r="F387" s="13" t="str">
        <x:v>add link</x:v>
      </x:c>
      <x:c r="G387" s="13" t="str">
        <x:v>admin.enterprise_structure.manage</x:v>
      </x:c>
      <x:c r="H387" s="13" t="str">
        <x:v>LIVE_ROUTER_REGISTERED</x:v>
      </x:c>
      <x:c r="I387" s="13" t="str">
        <x:v>frontend/src/features/enterprise-structure/api/index.ts</x:v>
      </x:c>
      <x:c r="J387" s="13" t="str">
        <x:v>NOT_EXECUTED_BY_INVENTORY. SOURCE_LITERAL_OR_TRANSITIVE_HELPER_UNION</x:v>
      </x:c>
    </x:row>
    <x:row r="388" ht="42" customHeight="1">
      <x:c r="A388" s="14" t="str">
        <x:v>API-184</x:v>
      </x:c>
      <x:c r="B388" s="6" t="str">
        <x:v>DELETE</x:v>
      </x:c>
      <x:c r="C388" s="6" t="str">
        <x:v>/api/v1/admin-configuration/enterprise-structure/links/{link_id}</x:v>
      </x:c>
      <x:c r="D388" s="6" t="str">
        <x:v>ADMIN MODE</x:v>
      </x:c>
      <x:c r="E388" s="6" t="str">
        <x:v>enterprise_structure</x:v>
      </x:c>
      <x:c r="F388" s="6" t="str">
        <x:v>remove link</x:v>
      </x:c>
      <x:c r="G388" s="6" t="str">
        <x:v>admin.enterprise_structure.manage</x:v>
      </x:c>
      <x:c r="H388" s="6" t="str">
        <x:v>LIVE_ROUTER_REGISTERED</x:v>
      </x:c>
      <x:c r="I388" s="6" t="str">
        <x:v>frontend/src/features/enterprise-structure/api/index.ts</x:v>
      </x:c>
      <x:c r="J388" s="6" t="str">
        <x:v>NOT_EXECUTED_BY_INVENTORY. SOURCE_LITERAL_OR_TRANSITIVE_HELPER_UNION</x:v>
      </x:c>
    </x:row>
    <x:row r="389" ht="42" customHeight="1">
      <x:c r="A389" s="15" t="str">
        <x:v>API-185</x:v>
      </x:c>
      <x:c r="B389" s="13" t="str">
        <x:v>POST</x:v>
      </x:c>
      <x:c r="C389" s="13" t="str">
        <x:v>/api/v1/admin-configuration/enterprise-structure/nodes</x:v>
      </x:c>
      <x:c r="D389" s="13" t="str">
        <x:v>ADMIN MODE</x:v>
      </x:c>
      <x:c r="E389" s="13" t="str">
        <x:v>enterprise_structure</x:v>
      </x:c>
      <x:c r="F389" s="13" t="str">
        <x:v>create node</x:v>
      </x:c>
      <x:c r="G389" s="13" t="str">
        <x:v>admin.enterprise_structure.manage</x:v>
      </x:c>
      <x:c r="H389" s="13" t="str">
        <x:v>LIVE_ROUTER_REGISTERED</x:v>
      </x:c>
      <x:c r="I389" s="13" t="str">
        <x:v>frontend/src/features/enterprise-structure/api/index.ts</x:v>
      </x:c>
      <x:c r="J389" s="13" t="str">
        <x:v>NOT_EXECUTED_BY_INVENTORY. SOURCE_LITERAL_OR_TRANSITIVE_HELPER_UNION</x:v>
      </x:c>
    </x:row>
    <x:row r="390" ht="42" customHeight="1">
      <x:c r="A390" s="14" t="str">
        <x:v>API-186</x:v>
      </x:c>
      <x:c r="B390" s="6" t="str">
        <x:v>DELETE</x:v>
      </x:c>
      <x:c r="C390" s="6" t="str">
        <x:v>/api/v1/admin-configuration/enterprise-structure/nodes/{workspace_id}</x:v>
      </x:c>
      <x:c r="D390" s="6" t="str">
        <x:v>ADMIN MODE</x:v>
      </x:c>
      <x:c r="E390" s="6" t="str">
        <x:v>enterprise_structure</x:v>
      </x:c>
      <x:c r="F390" s="6" t="str">
        <x:v>archive node</x:v>
      </x:c>
      <x:c r="G390" s="6" t="str">
        <x:v>admin.enterprise_structure.manage</x:v>
      </x:c>
      <x:c r="H390" s="6" t="str">
        <x:v>LIVE_ROUTER_REGISTERED</x:v>
      </x:c>
      <x:c r="I390" s="6" t="str">
        <x:v>frontend/src/features/enterprise-structure/api/index.ts</x:v>
      </x:c>
      <x:c r="J390" s="6" t="str">
        <x:v>NOT_EXECUTED_BY_INVENTORY. SOURCE_LITERAL_OR_TRANSITIVE_HELPER_UNION</x:v>
      </x:c>
    </x:row>
    <x:row r="391" ht="42" customHeight="1">
      <x:c r="A391" s="15" t="str">
        <x:v>API-187</x:v>
      </x:c>
      <x:c r="B391" s="13" t="str">
        <x:v>PATCH</x:v>
      </x:c>
      <x:c r="C391" s="13" t="str">
        <x:v>/api/v1/admin-configuration/enterprise-structure/nodes/{workspace_id}</x:v>
      </x:c>
      <x:c r="D391" s="13" t="str">
        <x:v>ADMIN MODE</x:v>
      </x:c>
      <x:c r="E391" s="13" t="str">
        <x:v>enterprise_structure</x:v>
      </x:c>
      <x:c r="F391" s="13" t="str">
        <x:v>update node</x:v>
      </x:c>
      <x:c r="G391" s="13" t="str">
        <x:v>admin.enterprise_structure.manage</x:v>
      </x:c>
      <x:c r="H391" s="13" t="str">
        <x:v>LIVE_ROUTER_REGISTERED</x:v>
      </x:c>
      <x:c r="I391" s="13" t="str">
        <x:v>frontend/src/features/enterprise-structure/api/index.ts</x:v>
      </x:c>
      <x:c r="J391" s="13" t="str">
        <x:v>NOT_EXECUTED_BY_INVENTORY. SOURCE_LITERAL_OR_TRANSITIVE_HELPER_UNION</x:v>
      </x:c>
    </x:row>
    <x:row r="392" ht="42" customHeight="1">
      <x:c r="A392" s="14" t="str">
        <x:v>API-188</x:v>
      </x:c>
      <x:c r="B392" s="6" t="str">
        <x:v>POST</x:v>
      </x:c>
      <x:c r="C392" s="6" t="str">
        <x:v>/api/v1/admin-configuration/enterprise-structure/nodes/{workspace_id}/classifications</x:v>
      </x:c>
      <x:c r="D392" s="6" t="str">
        <x:v>ADMIN MODE</x:v>
      </x:c>
      <x:c r="E392" s="6" t="str">
        <x:v>enterprise_structure</x:v>
      </x:c>
      <x:c r="F392" s="6" t="str">
        <x:v>add classification</x:v>
      </x:c>
      <x:c r="G392" s="6" t="str">
        <x:v>admin.enterprise_category.manage</x:v>
      </x:c>
      <x:c r="H392" s="6" t="str">
        <x:v>LIVE_ROUTER_REGISTERED</x:v>
      </x:c>
      <x:c r="I392" s="6" t="str">
        <x:v>frontend/src/features/enterprise-structure/api/index.ts</x:v>
      </x:c>
      <x:c r="J392" s="6" t="str">
        <x:v>NOT_EXECUTED_BY_INVENTORY. SOURCE_LITERAL_OR_TRANSITIVE_HELPER_UNION</x:v>
      </x:c>
    </x:row>
    <x:row r="393" ht="42" customHeight="1">
      <x:c r="A393" s="15" t="str">
        <x:v>API-189</x:v>
      </x:c>
      <x:c r="B393" s="13" t="str">
        <x:v>PUT</x:v>
      </x:c>
      <x:c r="C393" s="13" t="str">
        <x:v>/api/v1/admin-configuration/enterprise-structure/physical-composition/{parent_type_code}</x:v>
      </x:c>
      <x:c r="D393" s="13" t="str">
        <x:v>ADMIN MODE</x:v>
      </x:c>
      <x:c r="E393" s="13" t="str">
        <x:v>enterprise_structure</x:v>
      </x:c>
      <x:c r="F393" s="13" t="str">
        <x:v>configure physical composition</x:v>
      </x:c>
      <x:c r="G393" s="13" t="str">
        <x:v>HELPER_OR_SERVICE_AUTHORIZATION_REQUIRES_REVIEW</x:v>
      </x:c>
      <x:c r="H393" s="13" t="str">
        <x:v>LIVE_ROUTER_REGISTERED</x:v>
      </x:c>
      <x:c r="I393" s="13" t="str">
        <x:v>frontend/src/features/enterprise-structure/api/index.ts</x:v>
      </x:c>
      <x:c r="J393" s="13" t="str">
        <x:v>NOT_EXECUTED_BY_INVENTORY. SOURCE_LITERAL_OR_TRANSITIVE_HELPER_UNION</x:v>
      </x:c>
    </x:row>
    <x:row r="394" ht="42" customHeight="1">
      <x:c r="A394" s="14" t="str">
        <x:v>API-190</x:v>
      </x:c>
      <x:c r="B394" s="6" t="str">
        <x:v>PUT</x:v>
      </x:c>
      <x:c r="C394" s="6" t="str">
        <x:v>/api/v1/admin-configuration/enterprise-structure/physical-creation-policies/{workspace_type_code}</x:v>
      </x:c>
      <x:c r="D394" s="6" t="str">
        <x:v>ADMIN MODE</x:v>
      </x:c>
      <x:c r="E394" s="6" t="str">
        <x:v>enterprise_structure</x:v>
      </x:c>
      <x:c r="F394" s="6" t="str">
        <x:v>configure physical creation policy</x:v>
      </x:c>
      <x:c r="G394" s="6" t="str">
        <x:v>HELPER_OR_SERVICE_AUTHORIZATION_REQUIRES_REVIEW</x:v>
      </x:c>
      <x:c r="H394" s="6" t="str">
        <x:v>LIVE_ROUTER_REGISTERED</x:v>
      </x:c>
      <x:c r="I394" s="6" t="str">
        <x:v>frontend/src/features/enterprise-structure/api/index.ts</x:v>
      </x:c>
      <x:c r="J394" s="6" t="str">
        <x:v>NOT_EXECUTED_BY_INVENTORY. SOURCE_LITERAL_OR_TRANSITIVE_HELPER_UNION</x:v>
      </x:c>
    </x:row>
    <x:row r="395" ht="42" customHeight="1">
      <x:c r="A395" s="15" t="str">
        <x:v>API-191</x:v>
      </x:c>
      <x:c r="B395" s="13" t="str">
        <x:v>PUT</x:v>
      </x:c>
      <x:c r="C395" s="13" t="str">
        <x:v>/api/v1/admin-configuration/enterprise-structure/physical-numbering/{workspace_type_code}</x:v>
      </x:c>
      <x:c r="D395" s="13" t="str">
        <x:v>ADMIN MODE</x:v>
      </x:c>
      <x:c r="E395" s="13" t="str">
        <x:v>enterprise_structure</x:v>
      </x:c>
      <x:c r="F395" s="13" t="str">
        <x:v>configure physical numbering</x:v>
      </x:c>
      <x:c r="G395" s="13" t="str">
        <x:v>HELPER_OR_SERVICE_AUTHORIZATION_REQUIRES_REVIEW</x:v>
      </x:c>
      <x:c r="H395" s="13" t="str">
        <x:v>LIVE_ROUTER_REGISTERED</x:v>
      </x:c>
      <x:c r="I395" s="13" t="str">
        <x:v>frontend/src/features/enterprise-structure/api/index.ts</x:v>
      </x:c>
      <x:c r="J395" s="13" t="str">
        <x:v>NOT_EXECUTED_BY_INVENTORY. SOURCE_LITERAL_OR_TRANSITIVE_HELPER_UNION</x:v>
      </x:c>
    </x:row>
    <x:row r="396" ht="42" customHeight="1">
      <x:c r="A396" s="14" t="str">
        <x:v>API-192</x:v>
      </x:c>
      <x:c r="B396" s="6" t="str">
        <x:v>POST</x:v>
      </x:c>
      <x:c r="C396" s="6" t="str">
        <x:v>/api/v1/admin-configuration/enterprise-structure/physical-templates</x:v>
      </x:c>
      <x:c r="D396" s="6" t="str">
        <x:v>ADMIN MODE</x:v>
      </x:c>
      <x:c r="E396" s="6" t="str">
        <x:v>enterprise_structure</x:v>
      </x:c>
      <x:c r="F396" s="6" t="str">
        <x:v>create physical template</x:v>
      </x:c>
      <x:c r="G396" s="6" t="str">
        <x:v>HELPER_OR_SERVICE_AUTHORIZATION_REQUIRES_REVIEW</x:v>
      </x:c>
      <x:c r="H396" s="6" t="str">
        <x:v>LIVE_ROUTER_REGISTERED</x:v>
      </x:c>
      <x:c r="I396" s="6" t="str">
        <x:v>NO_DIRECT_LITERAL_MATCH_NOT_PROOF_UNUSED</x:v>
      </x:c>
      <x:c r="J396" s="6" t="str">
        <x:v>NOT_EXECUTED_BY_INVENTORY. SOURCE_LITERAL_OR_TRANSITIVE_HELPER_UNION</x:v>
      </x:c>
    </x:row>
    <x:row r="397" ht="42" customHeight="1">
      <x:c r="A397" s="15" t="str">
        <x:v>API-193</x:v>
      </x:c>
      <x:c r="B397" s="13" t="str">
        <x:v>PUT</x:v>
      </x:c>
      <x:c r="C397" s="13" t="str">
        <x:v>/api/v1/admin-configuration/enterprise-structure/physical-templates/{configuration_id}</x:v>
      </x:c>
      <x:c r="D397" s="13" t="str">
        <x:v>ADMIN MODE</x:v>
      </x:c>
      <x:c r="E397" s="13" t="str">
        <x:v>enterprise_structure</x:v>
      </x:c>
      <x:c r="F397" s="13" t="str">
        <x:v>update physical template</x:v>
      </x:c>
      <x:c r="G397" s="13" t="str">
        <x:v>HELPER_OR_SERVICE_AUTHORIZATION_REQUIRES_REVIEW</x:v>
      </x:c>
      <x:c r="H397" s="13" t="str">
        <x:v>LIVE_ROUTER_REGISTERED</x:v>
      </x:c>
      <x:c r="I397" s="13" t="str">
        <x:v>NO_DIRECT_LITERAL_MATCH_NOT_PROOF_UNUSED</x:v>
      </x:c>
      <x:c r="J397" s="13" t="str">
        <x:v>NOT_EXECUTED_BY_INVENTORY. SOURCE_LITERAL_OR_TRANSITIVE_HELPER_UNION</x:v>
      </x:c>
    </x:row>
    <x:row r="398" ht="42" customHeight="1">
      <x:c r="A398" s="14" t="str">
        <x:v>API-194</x:v>
      </x:c>
      <x:c r="B398" s="6" t="str">
        <x:v>POST</x:v>
      </x:c>
      <x:c r="C398" s="6" t="str">
        <x:v>/api/v1/admin-configuration/enterprise-structure/physical-templates/{configuration_id}/archive</x:v>
      </x:c>
      <x:c r="D398" s="6" t="str">
        <x:v>ADMIN MODE</x:v>
      </x:c>
      <x:c r="E398" s="6" t="str">
        <x:v>enterprise_structure</x:v>
      </x:c>
      <x:c r="F398" s="6" t="str">
        <x:v>archive physical template</x:v>
      </x:c>
      <x:c r="G398" s="6" t="str">
        <x:v>HELPER_OR_SERVICE_AUTHORIZATION_REQUIRES_REVIEW</x:v>
      </x:c>
      <x:c r="H398" s="6" t="str">
        <x:v>LIVE_ROUTER_REGISTERED</x:v>
      </x:c>
      <x:c r="I398" s="6" t="str">
        <x:v>NO_DIRECT_LITERAL_MATCH_NOT_PROOF_UNUSED</x:v>
      </x:c>
      <x:c r="J398" s="6" t="str">
        <x:v>NOT_EXECUTED_BY_INVENTORY. SOURCE_LITERAL_OR_TRANSITIVE_HELPER_UNION</x:v>
      </x:c>
    </x:row>
    <x:row r="399" ht="42" customHeight="1">
      <x:c r="A399" s="15" t="str">
        <x:v>API-195</x:v>
      </x:c>
      <x:c r="B399" s="13" t="str">
        <x:v>POST</x:v>
      </x:c>
      <x:c r="C399" s="13" t="str">
        <x:v>/api/v1/admin-configuration/enterprise-structure/physical-templates/{configuration_id}/publish</x:v>
      </x:c>
      <x:c r="D399" s="13" t="str">
        <x:v>ADMIN MODE</x:v>
      </x:c>
      <x:c r="E399" s="13" t="str">
        <x:v>enterprise_structure</x:v>
      </x:c>
      <x:c r="F399" s="13" t="str">
        <x:v>publish physical template</x:v>
      </x:c>
      <x:c r="G399" s="13" t="str">
        <x:v>HELPER_OR_SERVICE_AUTHORIZATION_REQUIRES_REVIEW</x:v>
      </x:c>
      <x:c r="H399" s="13" t="str">
        <x:v>LIVE_ROUTER_REGISTERED</x:v>
      </x:c>
      <x:c r="I399" s="13" t="str">
        <x:v>NO_DIRECT_LITERAL_MATCH_NOT_PROOF_UNUSED</x:v>
      </x:c>
      <x:c r="J399" s="13" t="str">
        <x:v>NOT_EXECUTED_BY_INVENTORY. SOURCE_LITERAL_OR_TRANSITIVE_HELPER_UNION</x:v>
      </x:c>
    </x:row>
    <x:row r="400" ht="42" customHeight="1">
      <x:c r="A400" s="14" t="str">
        <x:v>API-196</x:v>
      </x:c>
      <x:c r="B400" s="6" t="str">
        <x:v>POST</x:v>
      </x:c>
      <x:c r="C400" s="6" t="str">
        <x:v>/api/v1/admin-configuration/enterprise-structure/physical-templates/{configuration_id}/validate</x:v>
      </x:c>
      <x:c r="D400" s="6" t="str">
        <x:v>ADMIN MODE</x:v>
      </x:c>
      <x:c r="E400" s="6" t="str">
        <x:v>enterprise_structure</x:v>
      </x:c>
      <x:c r="F400" s="6" t="str">
        <x:v>validate physical template</x:v>
      </x:c>
      <x:c r="G400" s="6" t="str">
        <x:v>HELPER_OR_SERVICE_AUTHORIZATION_REQUIRES_REVIEW</x:v>
      </x:c>
      <x:c r="H400" s="6" t="str">
        <x:v>LIVE_ROUTER_REGISTERED</x:v>
      </x:c>
      <x:c r="I400" s="6" t="str">
        <x:v>NO_DIRECT_LITERAL_MATCH_NOT_PROOF_UNUSED</x:v>
      </x:c>
      <x:c r="J400" s="6" t="str">
        <x:v>NOT_EXECUTED_BY_INVENTORY. SOURCE_LITERAL_OR_TRANSITIVE_HELPER_UNION</x:v>
      </x:c>
    </x:row>
    <x:row r="401" ht="42" customHeight="1">
      <x:c r="A401" s="15" t="str">
        <x:v>API-197</x:v>
      </x:c>
      <x:c r="B401" s="13" t="str">
        <x:v>GET</x:v>
      </x:c>
      <x:c r="C401" s="13" t="str">
        <x:v>/api/v1/admin-configuration/enterprise-structure/physical-workspaces</x:v>
      </x:c>
      <x:c r="D401" s="13" t="str">
        <x:v>ADMIN MODE</x:v>
      </x:c>
      <x:c r="E401" s="13" t="str">
        <x:v>enterprise_structure</x:v>
      </x:c>
      <x:c r="F401" s="13" t="str">
        <x:v>physical workspace configuration</x:v>
      </x:c>
      <x:c r="G401" s="13" t="str">
        <x:v>HELPER_OR_SERVICE_AUTHORIZATION_REQUIRES_REVIEW</x:v>
      </x:c>
      <x:c r="H401" s="13" t="str">
        <x:v>LIVE_ROUTER_REGISTERED</x:v>
      </x:c>
      <x:c r="I401" s="13" t="str">
        <x:v>frontend/src/features/enterprise-structure/api/index.ts</x:v>
      </x:c>
      <x:c r="J401" s="13" t="str">
        <x:v>NOT_EXECUTED_BY_INVENTORY. SOURCE_LITERAL_OR_TRANSITIVE_HELPER_UNION</x:v>
      </x:c>
    </x:row>
    <x:row r="402" ht="42" customHeight="1">
      <x:c r="A402" s="14" t="str">
        <x:v>API-198</x:v>
      </x:c>
      <x:c r="B402" s="6" t="str">
        <x:v>POST</x:v>
      </x:c>
      <x:c r="C402" s="6" t="str">
        <x:v>/api/v1/admin-configuration/enterprise-structure/physical-workspaces/preview</x:v>
      </x:c>
      <x:c r="D402" s="6" t="str">
        <x:v>ADMIN MODE</x:v>
      </x:c>
      <x:c r="E402" s="6" t="str">
        <x:v>enterprise_structure</x:v>
      </x:c>
      <x:c r="F402" s="6" t="str">
        <x:v>preview physical workspace</x:v>
      </x:c>
      <x:c r="G402" s="6" t="str">
        <x:v>HELPER_OR_SERVICE_AUTHORIZATION_REQUIRES_REVIEW</x:v>
      </x:c>
      <x:c r="H402" s="6" t="str">
        <x:v>LIVE_ROUTER_REGISTERED</x:v>
      </x:c>
      <x:c r="I402" s="6" t="str">
        <x:v>frontend/src/features/enterprise-structure/api/index.ts</x:v>
      </x:c>
      <x:c r="J402" s="6" t="str">
        <x:v>NOT_EXECUTED_BY_INVENTORY. SOURCE_LITERAL_OR_TRANSITIVE_HELPER_UNION</x:v>
      </x:c>
    </x:row>
    <x:row r="403" ht="42" customHeight="1">
      <x:c r="A403" s="15" t="str">
        <x:v>API-199</x:v>
      </x:c>
      <x:c r="B403" s="13" t="str">
        <x:v>POST</x:v>
      </x:c>
      <x:c r="C403" s="13" t="str">
        <x:v>/api/v1/admin-configuration/enterprise-structure/physical-workspaces/{workspace_type_code}/configure</x:v>
      </x:c>
      <x:c r="D403" s="13" t="str">
        <x:v>ADMIN MODE</x:v>
      </x:c>
      <x:c r="E403" s="13" t="str">
        <x:v>enterprise_structure</x:v>
      </x:c>
      <x:c r="F403" s="13" t="str">
        <x:v>configure physical workspace type</x:v>
      </x:c>
      <x:c r="G403" s="13" t="str">
        <x:v>HELPER_OR_SERVICE_AUTHORIZATION_REQUIRES_REVIEW</x:v>
      </x:c>
      <x:c r="H403" s="13" t="str">
        <x:v>LIVE_ROUTER_REGISTERED</x:v>
      </x:c>
      <x:c r="I403" s="13" t="str">
        <x:v>NO_DIRECT_LITERAL_MATCH_NOT_PROOF_UNUSED</x:v>
      </x:c>
      <x:c r="J403" s="13" t="str">
        <x:v>NOT_EXECUTED_BY_INVENTORY. SOURCE_LITERAL_OR_TRANSITIVE_HELPER_UNION</x:v>
      </x:c>
    </x:row>
    <x:row r="404" ht="42" customHeight="1">
      <x:c r="A404" s="14" t="str">
        <x:v>API-200</x:v>
      </x:c>
      <x:c r="B404" s="6" t="str">
        <x:v>PUT</x:v>
      </x:c>
      <x:c r="C404" s="6" t="str">
        <x:v>/api/v1/admin-configuration/enterprise-structure/project-creation-policy</x:v>
      </x:c>
      <x:c r="D404" s="6" t="str">
        <x:v>ADMIN MODE</x:v>
      </x:c>
      <x:c r="E404" s="6" t="str">
        <x:v>enterprise_structure</x:v>
      </x:c>
      <x:c r="F404" s="6" t="str">
        <x:v>configure project creation policy</x:v>
      </x:c>
      <x:c r="G404" s="6" t="str">
        <x:v>HELPER_OR_SERVICE_AUTHORIZATION_REQUIRES_REVIEW</x:v>
      </x:c>
      <x:c r="H404" s="6" t="str">
        <x:v>LIVE_ROUTER_REGISTERED</x:v>
      </x:c>
      <x:c r="I404" s="6" t="str">
        <x:v>frontend/src/features/enterprise-structure/api/index.ts</x:v>
      </x:c>
      <x:c r="J404" s="6" t="str">
        <x:v>NOT_EXECUTED_BY_INVENTORY. SOURCE_LITERAL_OR_TRANSITIVE_HELPER_UNION</x:v>
      </x:c>
    </x:row>
    <x:row r="405" ht="42" customHeight="1">
      <x:c r="A405" s="15" t="str">
        <x:v>API-201</x:v>
      </x:c>
      <x:c r="B405" s="13" t="str">
        <x:v>POST</x:v>
      </x:c>
      <x:c r="C405" s="13" t="str">
        <x:v>/api/v1/admin-configuration/enterprise-structure/project-governance-models/preview</x:v>
      </x:c>
      <x:c r="D405" s="13" t="str">
        <x:v>ADMIN MODE</x:v>
      </x:c>
      <x:c r="E405" s="13" t="str">
        <x:v>enterprise_structure</x:v>
      </x:c>
      <x:c r="F405" s="13" t="str">
        <x:v>preview project governance model</x:v>
      </x:c>
      <x:c r="G405" s="13" t="str">
        <x:v>HELPER_OR_SERVICE_AUTHORIZATION_REQUIRES_REVIEW</x:v>
      </x:c>
      <x:c r="H405" s="13" t="str">
        <x:v>LIVE_ROUTER_REGISTERED</x:v>
      </x:c>
      <x:c r="I405" s="13" t="str">
        <x:v>frontend/src/features/enterprise-structure/api/index.ts</x:v>
      </x:c>
      <x:c r="J405" s="13" t="str">
        <x:v>NOT_EXECUTED_BY_INVENTORY. SOURCE_LITERAL_OR_TRANSITIVE_HELPER_UNION</x:v>
      </x:c>
    </x:row>
    <x:row r="406" ht="42" customHeight="1">
      <x:c r="A406" s="14" t="str">
        <x:v>API-202</x:v>
      </x:c>
      <x:c r="B406" s="6" t="str">
        <x:v>PUT</x:v>
      </x:c>
      <x:c r="C406" s="6" t="str">
        <x:v>/api/v1/admin-configuration/enterprise-structure/project-governance-models/{governance_model}</x:v>
      </x:c>
      <x:c r="D406" s="6" t="str">
        <x:v>ADMIN MODE</x:v>
      </x:c>
      <x:c r="E406" s="6" t="str">
        <x:v>enterprise_structure</x:v>
      </x:c>
      <x:c r="F406" s="6" t="str">
        <x:v>configure project governance model</x:v>
      </x:c>
      <x:c r="G406" s="6" t="str">
        <x:v>HELPER_OR_SERVICE_AUTHORIZATION_REQUIRES_REVIEW</x:v>
      </x:c>
      <x:c r="H406" s="6" t="str">
        <x:v>LIVE_ROUTER_REGISTERED</x:v>
      </x:c>
      <x:c r="I406" s="6" t="str">
        <x:v>frontend/src/features/enterprise-structure/api/index.ts</x:v>
      </x:c>
      <x:c r="J406" s="6" t="str">
        <x:v>NOT_EXECUTED_BY_INVENTORY. SOURCE_LITERAL_OR_TRANSITIVE_HELPER_UNION</x:v>
      </x:c>
    </x:row>
    <x:row r="407" ht="42" customHeight="1">
      <x:c r="A407" s="15" t="str">
        <x:v>API-203</x:v>
      </x:c>
      <x:c r="B407" s="13" t="str">
        <x:v>PUT</x:v>
      </x:c>
      <x:c r="C407" s="13" t="str">
        <x:v>/api/v1/admin-configuration/enterprise-structure/project-numbering</x:v>
      </x:c>
      <x:c r="D407" s="13" t="str">
        <x:v>ADMIN MODE</x:v>
      </x:c>
      <x:c r="E407" s="13" t="str">
        <x:v>enterprise_structure</x:v>
      </x:c>
      <x:c r="F407" s="13" t="str">
        <x:v>configure project numbering</x:v>
      </x:c>
      <x:c r="G407" s="13" t="str">
        <x:v>HELPER_OR_SERVICE_AUTHORIZATION_REQUIRES_REVIEW</x:v>
      </x:c>
      <x:c r="H407" s="13" t="str">
        <x:v>LIVE_ROUTER_REGISTERED</x:v>
      </x:c>
      <x:c r="I407" s="13" t="str">
        <x:v>frontend/src/features/enterprise-structure/api/index.ts</x:v>
      </x:c>
      <x:c r="J407" s="13" t="str">
        <x:v>NOT_EXECUTED_BY_INVENTORY. SOURCE_LITERAL_OR_TRANSITIVE_HELPER_UNION</x:v>
      </x:c>
    </x:row>
    <x:row r="408" ht="42" customHeight="1">
      <x:c r="A408" s="14" t="str">
        <x:v>API-204</x:v>
      </x:c>
      <x:c r="B408" s="6" t="str">
        <x:v>POST</x:v>
      </x:c>
      <x:c r="C408" s="6" t="str">
        <x:v>/api/v1/admin-configuration/enterprise-structure/project-templates</x:v>
      </x:c>
      <x:c r="D408" s="6" t="str">
        <x:v>ADMIN MODE</x:v>
      </x:c>
      <x:c r="E408" s="6" t="str">
        <x:v>enterprise_structure</x:v>
      </x:c>
      <x:c r="F408" s="6" t="str">
        <x:v>create project template</x:v>
      </x:c>
      <x:c r="G408" s="6" t="str">
        <x:v>HELPER_OR_SERVICE_AUTHORIZATION_REQUIRES_REVIEW</x:v>
      </x:c>
      <x:c r="H408" s="6" t="str">
        <x:v>LIVE_ROUTER_REGISTERED</x:v>
      </x:c>
      <x:c r="I408" s="6" t="str">
        <x:v>frontend/src/features/enterprise-structure/api/index.ts</x:v>
      </x:c>
      <x:c r="J408" s="6" t="str">
        <x:v>NOT_EXECUTED_BY_INVENTORY. SOURCE_LITERAL_OR_TRANSITIVE_HELPER_UNION</x:v>
      </x:c>
    </x:row>
    <x:row r="409" ht="42" customHeight="1">
      <x:c r="A409" s="15" t="str">
        <x:v>API-205</x:v>
      </x:c>
      <x:c r="B409" s="13" t="str">
        <x:v>PUT</x:v>
      </x:c>
      <x:c r="C409" s="13" t="str">
        <x:v>/api/v1/admin-configuration/enterprise-structure/project-templates/{configuration_id}</x:v>
      </x:c>
      <x:c r="D409" s="13" t="str">
        <x:v>ADMIN MODE</x:v>
      </x:c>
      <x:c r="E409" s="13" t="str">
        <x:v>enterprise_structure</x:v>
      </x:c>
      <x:c r="F409" s="13" t="str">
        <x:v>update project template</x:v>
      </x:c>
      <x:c r="G409" s="13" t="str">
        <x:v>HELPER_OR_SERVICE_AUTHORIZATION_REQUIRES_REVIEW</x:v>
      </x:c>
      <x:c r="H409" s="13" t="str">
        <x:v>LIVE_ROUTER_REGISTERED</x:v>
      </x:c>
      <x:c r="I409" s="13" t="str">
        <x:v>frontend/src/features/enterprise-structure/api/index.ts</x:v>
      </x:c>
      <x:c r="J409" s="13" t="str">
        <x:v>NOT_EXECUTED_BY_INVENTORY. SOURCE_LITERAL_OR_TRANSITIVE_HELPER_UNION</x:v>
      </x:c>
    </x:row>
    <x:row r="410" ht="42" customHeight="1">
      <x:c r="A410" s="14" t="str">
        <x:v>API-206</x:v>
      </x:c>
      <x:c r="B410" s="6" t="str">
        <x:v>POST</x:v>
      </x:c>
      <x:c r="C410" s="6" t="str">
        <x:v>/api/v1/admin-configuration/enterprise-structure/project-templates/{configuration_id}/archive</x:v>
      </x:c>
      <x:c r="D410" s="6" t="str">
        <x:v>ADMIN MODE</x:v>
      </x:c>
      <x:c r="E410" s="6" t="str">
        <x:v>enterprise_structure</x:v>
      </x:c>
      <x:c r="F410" s="6" t="str">
        <x:v>archive project template</x:v>
      </x:c>
      <x:c r="G410" s="6" t="str">
        <x:v>HELPER_OR_SERVICE_AUTHORIZATION_REQUIRES_REVIEW</x:v>
      </x:c>
      <x:c r="H410" s="6" t="str">
        <x:v>LIVE_ROUTER_REGISTERED</x:v>
      </x:c>
      <x:c r="I410" s="6" t="str">
        <x:v>frontend/src/features/enterprise-structure/api/index.ts</x:v>
      </x:c>
      <x:c r="J410" s="6" t="str">
        <x:v>NOT_EXECUTED_BY_INVENTORY. SOURCE_LITERAL_OR_TRANSITIVE_HELPER_UNION</x:v>
      </x:c>
    </x:row>
    <x:row r="411" ht="42" customHeight="1">
      <x:c r="A411" s="15" t="str">
        <x:v>API-207</x:v>
      </x:c>
      <x:c r="B411" s="13" t="str">
        <x:v>POST</x:v>
      </x:c>
      <x:c r="C411" s="13" t="str">
        <x:v>/api/v1/admin-configuration/enterprise-structure/project-templates/{configuration_id}/clone</x:v>
      </x:c>
      <x:c r="D411" s="13" t="str">
        <x:v>ADMIN MODE</x:v>
      </x:c>
      <x:c r="E411" s="13" t="str">
        <x:v>enterprise_structure</x:v>
      </x:c>
      <x:c r="F411" s="13" t="str">
        <x:v>clone project template</x:v>
      </x:c>
      <x:c r="G411" s="13" t="str">
        <x:v>HELPER_OR_SERVICE_AUTHORIZATION_REQUIRES_REVIEW</x:v>
      </x:c>
      <x:c r="H411" s="13" t="str">
        <x:v>LIVE_ROUTER_REGISTERED</x:v>
      </x:c>
      <x:c r="I411" s="13" t="str">
        <x:v>frontend/src/features/enterprise-structure/api/index.ts</x:v>
      </x:c>
      <x:c r="J411" s="13" t="str">
        <x:v>NOT_EXECUTED_BY_INVENTORY. SOURCE_LITERAL_OR_TRANSITIVE_HELPER_UNION</x:v>
      </x:c>
    </x:row>
    <x:row r="412" ht="42" customHeight="1">
      <x:c r="A412" s="14" t="str">
        <x:v>API-208</x:v>
      </x:c>
      <x:c r="B412" s="6" t="str">
        <x:v>POST</x:v>
      </x:c>
      <x:c r="C412" s="6" t="str">
        <x:v>/api/v1/admin-configuration/enterprise-structure/project-templates/{configuration_id}/publish</x:v>
      </x:c>
      <x:c r="D412" s="6" t="str">
        <x:v>ADMIN MODE</x:v>
      </x:c>
      <x:c r="E412" s="6" t="str">
        <x:v>enterprise_structure</x:v>
      </x:c>
      <x:c r="F412" s="6" t="str">
        <x:v>publish project template</x:v>
      </x:c>
      <x:c r="G412" s="6" t="str">
        <x:v>HELPER_OR_SERVICE_AUTHORIZATION_REQUIRES_REVIEW</x:v>
      </x:c>
      <x:c r="H412" s="6" t="str">
        <x:v>LIVE_ROUTER_REGISTERED</x:v>
      </x:c>
      <x:c r="I412" s="6" t="str">
        <x:v>frontend/src/features/enterprise-structure/api/index.ts</x:v>
      </x:c>
      <x:c r="J412" s="6" t="str">
        <x:v>NOT_EXECUTED_BY_INVENTORY. SOURCE_LITERAL_OR_TRANSITIVE_HELPER_UNION</x:v>
      </x:c>
    </x:row>
    <x:row r="413" ht="42" customHeight="1">
      <x:c r="A413" s="15" t="str">
        <x:v>API-209</x:v>
      </x:c>
      <x:c r="B413" s="13" t="str">
        <x:v>POST</x:v>
      </x:c>
      <x:c r="C413" s="13" t="str">
        <x:v>/api/v1/admin-configuration/enterprise-structure/project-templates/{configuration_id}/validate</x:v>
      </x:c>
      <x:c r="D413" s="13" t="str">
        <x:v>ADMIN MODE</x:v>
      </x:c>
      <x:c r="E413" s="13" t="str">
        <x:v>enterprise_structure</x:v>
      </x:c>
      <x:c r="F413" s="13" t="str">
        <x:v>validate project template</x:v>
      </x:c>
      <x:c r="G413" s="13" t="str">
        <x:v>HELPER_OR_SERVICE_AUTHORIZATION_REQUIRES_REVIEW</x:v>
      </x:c>
      <x:c r="H413" s="13" t="str">
        <x:v>LIVE_ROUTER_REGISTERED</x:v>
      </x:c>
      <x:c r="I413" s="13" t="str">
        <x:v>frontend/src/features/enterprise-structure/api/index.ts</x:v>
      </x:c>
      <x:c r="J413" s="13" t="str">
        <x:v>NOT_EXECUTED_BY_INVENTORY. SOURCE_LITERAL_OR_TRANSITIVE_HELPER_UNION</x:v>
      </x:c>
    </x:row>
    <x:row r="414" ht="42" customHeight="1">
      <x:c r="A414" s="14" t="str">
        <x:v>API-210</x:v>
      </x:c>
      <x:c r="B414" s="6" t="str">
        <x:v>GET</x:v>
      </x:c>
      <x:c r="C414" s="6" t="str">
        <x:v>/api/v1/admin-configuration/enterprise-structure/project-workspace</x:v>
      </x:c>
      <x:c r="D414" s="6" t="str">
        <x:v>ADMIN MODE</x:v>
      </x:c>
      <x:c r="E414" s="6" t="str">
        <x:v>enterprise_structure</x:v>
      </x:c>
      <x:c r="F414" s="6" t="str">
        <x:v>project workspace configuration</x:v>
      </x:c>
      <x:c r="G414" s="6" t="str">
        <x:v>HELPER_OR_SERVICE_AUTHORIZATION_REQUIRES_REVIEW</x:v>
      </x:c>
      <x:c r="H414" s="6" t="str">
        <x:v>LIVE_ROUTER_REGISTERED</x:v>
      </x:c>
      <x:c r="I414" s="6" t="str">
        <x:v>frontend/src/features/enterprise-structure/api/index.ts</x:v>
      </x:c>
      <x:c r="J414" s="6" t="str">
        <x:v>NOT_EXECUTED_BY_INVENTORY. SOURCE_LITERAL_OR_TRANSITIVE_HELPER_UNION</x:v>
      </x:c>
    </x:row>
    <x:row r="415" ht="42" customHeight="1">
      <x:c r="A415" s="15" t="str">
        <x:v>API-211</x:v>
      </x:c>
      <x:c r="B415" s="13" t="str">
        <x:v>POST</x:v>
      </x:c>
      <x:c r="C415" s="13" t="str">
        <x:v>/api/v1/admin-configuration/enterprise-structure/project-workspace/preview</x:v>
      </x:c>
      <x:c r="D415" s="13" t="str">
        <x:v>ADMIN MODE</x:v>
      </x:c>
      <x:c r="E415" s="13" t="str">
        <x:v>enterprise_structure</x:v>
      </x:c>
      <x:c r="F415" s="13" t="str">
        <x:v>preview project workspace</x:v>
      </x:c>
      <x:c r="G415" s="13" t="str">
        <x:v>HELPER_OR_SERVICE_AUTHORIZATION_REQUIRES_REVIEW</x:v>
      </x:c>
      <x:c r="H415" s="13" t="str">
        <x:v>LIVE_ROUTER_REGISTERED</x:v>
      </x:c>
      <x:c r="I415" s="13" t="str">
        <x:v>frontend/src/features/enterprise-structure/api/index.ts</x:v>
      </x:c>
      <x:c r="J415" s="13" t="str">
        <x:v>NOT_EXECUTED_BY_INVENTORY. SOURCE_LITERAL_OR_TRANSITIVE_HELPER_UNION</x:v>
      </x:c>
    </x:row>
    <x:row r="416" ht="42" customHeight="1">
      <x:c r="A416" s="14" t="str">
        <x:v>API-212</x:v>
      </x:c>
      <x:c r="B416" s="6" t="str">
        <x:v>POST</x:v>
      </x:c>
      <x:c r="C416" s="6" t="str">
        <x:v>/api/v1/admin-configuration/enterprise-structure/publish</x:v>
      </x:c>
      <x:c r="D416" s="6" t="str">
        <x:v>ADMIN MODE</x:v>
      </x:c>
      <x:c r="E416" s="6" t="str">
        <x:v>enterprise_structure</x:v>
      </x:c>
      <x:c r="F416" s="6" t="str">
        <x:v>publish configuration</x:v>
      </x:c>
      <x:c r="G416" s="6" t="str">
        <x:v>admin.enterprise_structure.publish</x:v>
      </x:c>
      <x:c r="H416" s="6" t="str">
        <x:v>LIVE_ROUTER_REGISTERED</x:v>
      </x:c>
      <x:c r="I416" s="6" t="str">
        <x:v>frontend/src/features/enterprise-structure/api/index.ts</x:v>
      </x:c>
      <x:c r="J416" s="6" t="str">
        <x:v>NOT_EXECUTED_BY_INVENTORY. SOURCE_LITERAL_OR_TRANSITIVE_HELPER_UNION</x:v>
      </x:c>
    </x:row>
    <x:row r="417" ht="42" customHeight="1">
      <x:c r="A417" s="15" t="str">
        <x:v>API-213</x:v>
      </x:c>
      <x:c r="B417" s="13" t="str">
        <x:v>GET</x:v>
      </x:c>
      <x:c r="C417" s="13" t="str">
        <x:v>/api/v1/admin-configuration/enterprise-structure/tree</x:v>
      </x:c>
      <x:c r="D417" s="13" t="str">
        <x:v>ADMIN MODE</x:v>
      </x:c>
      <x:c r="E417" s="13" t="str">
        <x:v>enterprise_structure</x:v>
      </x:c>
      <x:c r="F417" s="13" t="str">
        <x:v>tree</x:v>
      </x:c>
      <x:c r="G417" s="13" t="str">
        <x:v>admin.enterprise_structure.read</x:v>
      </x:c>
      <x:c r="H417" s="13" t="str">
        <x:v>LIVE_ROUTER_REGISTERED</x:v>
      </x:c>
      <x:c r="I417" s="13" t="str">
        <x:v>NO_DIRECT_LITERAL_MATCH_NOT_PROOF_UNUSED</x:v>
      </x:c>
      <x:c r="J417" s="13" t="str">
        <x:v>NOT_EXECUTED_BY_INVENTORY. SOURCE_LITERAL_OR_TRANSITIVE_HELPER_UNION</x:v>
      </x:c>
    </x:row>
    <x:row r="418" ht="42" customHeight="1">
      <x:c r="A418" s="14" t="str">
        <x:v>API-214</x:v>
      </x:c>
      <x:c r="B418" s="6" t="str">
        <x:v>GET</x:v>
      </x:c>
      <x:c r="C418" s="6" t="str">
        <x:v>/api/v1/admin-configuration/enterprise-structure/types</x:v>
      </x:c>
      <x:c r="D418" s="6" t="str">
        <x:v>ADMIN MODE</x:v>
      </x:c>
      <x:c r="E418" s="6" t="str">
        <x:v>enterprise_structure</x:v>
      </x:c>
      <x:c r="F418" s="6" t="str">
        <x:v>workspace types</x:v>
      </x:c>
      <x:c r="G418" s="6" t="str">
        <x:v>admin.workspace_type.read</x:v>
      </x:c>
      <x:c r="H418" s="6" t="str">
        <x:v>LIVE_ROUTER_REGISTERED</x:v>
      </x:c>
      <x:c r="I418" s="6" t="str">
        <x:v>NO_DIRECT_LITERAL_MATCH_NOT_PROOF_UNUSED</x:v>
      </x:c>
      <x:c r="J418" s="6" t="str">
        <x:v>NOT_EXECUTED_BY_INVENTORY. SOURCE_LITERAL_OR_TRANSITIVE_HELPER_UNION</x:v>
      </x:c>
    </x:row>
    <x:row r="419" ht="42" customHeight="1">
      <x:c r="A419" s="15" t="str">
        <x:v>API-215</x:v>
      </x:c>
      <x:c r="B419" s="13" t="str">
        <x:v>POST</x:v>
      </x:c>
      <x:c r="C419" s="13" t="str">
        <x:v>/api/v1/admin-configuration/enterprise-structure/types/{type_code}/clone</x:v>
      </x:c>
      <x:c r="D419" s="13" t="str">
        <x:v>ADMIN MODE</x:v>
      </x:c>
      <x:c r="E419" s="13" t="str">
        <x:v>enterprise_structure</x:v>
      </x:c>
      <x:c r="F419" s="13" t="str">
        <x:v>clone workspace type</x:v>
      </x:c>
      <x:c r="G419" s="13" t="str">
        <x:v>admin.workspace_type.manage</x:v>
      </x:c>
      <x:c r="H419" s="13" t="str">
        <x:v>LIVE_ROUTER_REGISTERED</x:v>
      </x:c>
      <x:c r="I419" s="13" t="str">
        <x:v>NO_DIRECT_LITERAL_MATCH_NOT_PROOF_UNUSED</x:v>
      </x:c>
      <x:c r="J419" s="13" t="str">
        <x:v>NOT_EXECUTED_BY_INVENTORY. SOURCE_LITERAL_OR_TRANSITIVE_HELPER_UNION</x:v>
      </x:c>
    </x:row>
    <x:row r="420" ht="42" customHeight="1">
      <x:c r="A420" s="14" t="str">
        <x:v>API-216</x:v>
      </x:c>
      <x:c r="B420" s="6" t="str">
        <x:v>POST</x:v>
      </x:c>
      <x:c r="C420" s="6" t="str">
        <x:v>/api/v1/admin-configuration/enterprise-structure/validate</x:v>
      </x:c>
      <x:c r="D420" s="6" t="str">
        <x:v>ADMIN MODE</x:v>
      </x:c>
      <x:c r="E420" s="6" t="str">
        <x:v>enterprise_structure</x:v>
      </x:c>
      <x:c r="F420" s="6" t="str">
        <x:v>validate configuration</x:v>
      </x:c>
      <x:c r="G420" s="6" t="str">
        <x:v>admin.enterprise_structure.publish</x:v>
      </x:c>
      <x:c r="H420" s="6" t="str">
        <x:v>LIVE_ROUTER_REGISTERED</x:v>
      </x:c>
      <x:c r="I420" s="6" t="str">
        <x:v>frontend/src/features/enterprise-structure/api/index.ts</x:v>
      </x:c>
      <x:c r="J420" s="6" t="str">
        <x:v>NOT_EXECUTED_BY_INVENTORY. SOURCE_LITERAL_OR_TRANSITIVE_HELPER_UNION</x:v>
      </x:c>
    </x:row>
    <x:row r="421" ht="42" customHeight="1">
      <x:c r="A421" s="15" t="str">
        <x:v>API-217</x:v>
      </x:c>
      <x:c r="B421" s="13" t="str">
        <x:v>GET</x:v>
      </x:c>
      <x:c r="C421" s="13" t="str">
        <x:v>/api/v1/enterprise-structure/nodes</x:v>
      </x:c>
      <x:c r="D421" s="13" t="str">
        <x:v>READ-ONLY SHARED CONTEXT</x:v>
      </x:c>
      <x:c r="E421" s="13" t="str">
        <x:v>enterprise_structure</x:v>
      </x:c>
      <x:c r="F421" s="13" t="str">
        <x:v>nodes</x:v>
      </x:c>
      <x:c r="G421" s="13" t="str">
        <x:v>HELPER_OR_SERVICE_AUTHORIZATION_REQUIRES_REVIEW</x:v>
      </x:c>
      <x:c r="H421" s="13" t="str">
        <x:v>LIVE_ROUTER_REGISTERED</x:v>
      </x:c>
      <x:c r="I421" s="13" t="str">
        <x:v>NO_DIRECT_LITERAL_MATCH_NOT_PROOF_UNUSED</x:v>
      </x:c>
      <x:c r="J421" s="13" t="str">
        <x:v>NOT_EXECUTED_BY_INVENTORY. SOURCE_LITERAL_OR_TRANSITIVE_HELPER_UNION</x:v>
      </x:c>
    </x:row>
    <x:row r="422" ht="42" customHeight="1">
      <x:c r="A422" s="14" t="str">
        <x:v>API-218</x:v>
      </x:c>
      <x:c r="B422" s="6" t="str">
        <x:v>GET</x:v>
      </x:c>
      <x:c r="C422" s="6" t="str">
        <x:v>/api/v1/enterprise-structure/nodes/{workspace_id}</x:v>
      </x:c>
      <x:c r="D422" s="6" t="str">
        <x:v>READ-ONLY SHARED CONTEXT</x:v>
      </x:c>
      <x:c r="E422" s="6" t="str">
        <x:v>enterprise_structure</x:v>
      </x:c>
      <x:c r="F422" s="6" t="str">
        <x:v>node detail</x:v>
      </x:c>
      <x:c r="G422" s="6" t="str">
        <x:v>HELPER_OR_SERVICE_AUTHORIZATION_REQUIRES_REVIEW</x:v>
      </x:c>
      <x:c r="H422" s="6" t="str">
        <x:v>LIVE_ROUTER_REGISTERED</x:v>
      </x:c>
      <x:c r="I422" s="6" t="str">
        <x:v>frontend/src/features/enterprise-structure/api/index.ts</x:v>
      </x:c>
      <x:c r="J422" s="6" t="str">
        <x:v>NOT_EXECUTED_BY_INVENTORY. SOURCE_LITERAL_OR_TRANSITIVE_HELPER_UNION</x:v>
      </x:c>
    </x:row>
    <x:row r="423" ht="42" customHeight="1">
      <x:c r="A423" s="15" t="str">
        <x:v>API-219</x:v>
      </x:c>
      <x:c r="B423" s="13" t="str">
        <x:v>GET</x:v>
      </x:c>
      <x:c r="C423" s="13" t="str">
        <x:v>/api/v1/enterprise-structure/nodes/{workspace_id}/classifications</x:v>
      </x:c>
      <x:c r="D423" s="13" t="str">
        <x:v>READ-ONLY SHARED CONTEXT</x:v>
      </x:c>
      <x:c r="E423" s="13" t="str">
        <x:v>enterprise_structure</x:v>
      </x:c>
      <x:c r="F423" s="13" t="str">
        <x:v>node classifications</x:v>
      </x:c>
      <x:c r="G423" s="13" t="str">
        <x:v>HELPER_OR_SERVICE_AUTHORIZATION_REQUIRES_REVIEW</x:v>
      </x:c>
      <x:c r="H423" s="13" t="str">
        <x:v>LIVE_ROUTER_REGISTERED</x:v>
      </x:c>
      <x:c r="I423" s="13" t="str">
        <x:v>NO_DIRECT_LITERAL_MATCH_NOT_PROOF_UNUSED</x:v>
      </x:c>
      <x:c r="J423" s="13" t="str">
        <x:v>NOT_EXECUTED_BY_INVENTORY. SOURCE_LITERAL_OR_TRANSITIVE_HELPER_UNION</x:v>
      </x:c>
    </x:row>
    <x:row r="424" ht="42" customHeight="1">
      <x:c r="A424" s="14" t="str">
        <x:v>API-220</x:v>
      </x:c>
      <x:c r="B424" s="6" t="str">
        <x:v>GET</x:v>
      </x:c>
      <x:c r="C424" s="6" t="str">
        <x:v>/api/v1/enterprise-structure/nodes/{workspace_id}/links</x:v>
      </x:c>
      <x:c r="D424" s="6" t="str">
        <x:v>READ-ONLY SHARED CONTEXT</x:v>
      </x:c>
      <x:c r="E424" s="6" t="str">
        <x:v>enterprise_structure</x:v>
      </x:c>
      <x:c r="F424" s="6" t="str">
        <x:v>node links</x:v>
      </x:c>
      <x:c r="G424" s="6" t="str">
        <x:v>HELPER_OR_SERVICE_AUTHORIZATION_REQUIRES_REVIEW</x:v>
      </x:c>
      <x:c r="H424" s="6" t="str">
        <x:v>LIVE_ROUTER_REGISTERED</x:v>
      </x:c>
      <x:c r="I424" s="6" t="str">
        <x:v>NO_DIRECT_LITERAL_MATCH_NOT_PROOF_UNUSED</x:v>
      </x:c>
      <x:c r="J424" s="6" t="str">
        <x:v>NOT_EXECUTED_BY_INVENTORY. SOURCE_LITERAL_OR_TRANSITIVE_HELPER_UNION</x:v>
      </x:c>
    </x:row>
    <x:row r="425" ht="42" customHeight="1">
      <x:c r="A425" s="15" t="str">
        <x:v>API-221</x:v>
      </x:c>
      <x:c r="B425" s="13" t="str">
        <x:v>GET</x:v>
      </x:c>
      <x:c r="C425" s="13" t="str">
        <x:v>/api/v1/enterprise-structure/nodes/{workspace_id}/path</x:v>
      </x:c>
      <x:c r="D425" s="13" t="str">
        <x:v>READ-ONLY SHARED CONTEXT</x:v>
      </x:c>
      <x:c r="E425" s="13" t="str">
        <x:v>enterprise_structure</x:v>
      </x:c>
      <x:c r="F425" s="13" t="str">
        <x:v>node path</x:v>
      </x:c>
      <x:c r="G425" s="13" t="str">
        <x:v>HELPER_OR_SERVICE_AUTHORIZATION_REQUIRES_REVIEW</x:v>
      </x:c>
      <x:c r="H425" s="13" t="str">
        <x:v>LIVE_ROUTER_REGISTERED</x:v>
      </x:c>
      <x:c r="I425" s="13" t="str">
        <x:v>NO_DIRECT_LITERAL_MATCH_NOT_PROOF_UNUSED</x:v>
      </x:c>
      <x:c r="J425" s="13" t="str">
        <x:v>NOT_EXECUTED_BY_INVENTORY. SOURCE_LITERAL_OR_TRANSITIVE_HELPER_UNION</x:v>
      </x:c>
    </x:row>
    <x:row r="426" ht="42" customHeight="1">
      <x:c r="A426" s="14" t="str">
        <x:v>API-222</x:v>
      </x:c>
      <x:c r="B426" s="6" t="str">
        <x:v>GET</x:v>
      </x:c>
      <x:c r="C426" s="6" t="str">
        <x:v>/api/v1/enterprise-structure/objectives</x:v>
      </x:c>
      <x:c r="D426" s="6" t="str">
        <x:v>READ-ONLY SHARED CONTEXT</x:v>
      </x:c>
      <x:c r="E426" s="6" t="str">
        <x:v>enterprise_structure</x:v>
      </x:c>
      <x:c r="F426" s="6" t="str">
        <x:v>objectives</x:v>
      </x:c>
      <x:c r="G426" s="6" t="str">
        <x:v>HELPER_OR_SERVICE_AUTHORIZATION_REQUIRES_REVIEW</x:v>
      </x:c>
      <x:c r="H426" s="6" t="str">
        <x:v>LIVE_ROUTER_REGISTERED</x:v>
      </x:c>
      <x:c r="I426" s="6" t="str">
        <x:v>NO_DIRECT_LITERAL_MATCH_NOT_PROOF_UNUSED</x:v>
      </x:c>
      <x:c r="J426" s="6" t="str">
        <x:v>NOT_EXECUTED_BY_INVENTORY. SOURCE_LITERAL_OR_TRANSITIVE_HELPER_UNION</x:v>
      </x:c>
    </x:row>
    <x:row r="427" ht="42" customHeight="1">
      <x:c r="A427" s="15" t="str">
        <x:v>API-223</x:v>
      </x:c>
      <x:c r="B427" s="13" t="str">
        <x:v>GET</x:v>
      </x:c>
      <x:c r="C427" s="13" t="str">
        <x:v>/api/v1/enterprise-structure/overview</x:v>
      </x:c>
      <x:c r="D427" s="13" t="str">
        <x:v>READ-ONLY SHARED CONTEXT</x:v>
      </x:c>
      <x:c r="E427" s="13" t="str">
        <x:v>enterprise_structure</x:v>
      </x:c>
      <x:c r="F427" s="13" t="str">
        <x:v>overview</x:v>
      </x:c>
      <x:c r="G427" s="13" t="str">
        <x:v>HELPER_OR_SERVICE_AUTHORIZATION_REQUIRES_REVIEW</x:v>
      </x:c>
      <x:c r="H427" s="13" t="str">
        <x:v>LIVE_ROUTER_REGISTERED</x:v>
      </x:c>
      <x:c r="I427" s="13" t="str">
        <x:v>NO_DIRECT_LITERAL_MATCH_NOT_PROOF_UNUSED</x:v>
      </x:c>
      <x:c r="J427" s="13" t="str">
        <x:v>NOT_EXECUTED_BY_INVENTORY. SOURCE_LITERAL_OR_TRANSITIVE_HELPER_UNION</x:v>
      </x:c>
    </x:row>
    <x:row r="428" ht="42" customHeight="1">
      <x:c r="A428" s="14" t="str">
        <x:v>API-224</x:v>
      </x:c>
      <x:c r="B428" s="6" t="str">
        <x:v>GET</x:v>
      </x:c>
      <x:c r="C428" s="6" t="str">
        <x:v>/api/v1/enterprise-structure/tree</x:v>
      </x:c>
      <x:c r="D428" s="6" t="str">
        <x:v>READ-ONLY SHARED CONTEXT</x:v>
      </x:c>
      <x:c r="E428" s="6" t="str">
        <x:v>enterprise_structure</x:v>
      </x:c>
      <x:c r="F428" s="6" t="str">
        <x:v>tree</x:v>
      </x:c>
      <x:c r="G428" s="6" t="str">
        <x:v>HELPER_OR_SERVICE_AUTHORIZATION_REQUIRES_REVIEW</x:v>
      </x:c>
      <x:c r="H428" s="6" t="str">
        <x:v>LIVE_ROUTER_REGISTERED</x:v>
      </x:c>
      <x:c r="I428" s="6" t="str">
        <x:v>NO_DIRECT_LITERAL_MATCH_NOT_PROOF_UNUSED</x:v>
      </x:c>
      <x:c r="J428" s="6" t="str">
        <x:v>NOT_EXECUTED_BY_INVENTORY. SOURCE_LITERAL_OR_TRANSITIVE_HELPER_UNION</x:v>
      </x:c>
    </x:row>
    <x:row r="429" ht="42" customHeight="1">
      <x:c r="A429" s="15" t="str">
        <x:v>API-225</x:v>
      </x:c>
      <x:c r="B429" s="13" t="str">
        <x:v>GET</x:v>
      </x:c>
      <x:c r="C429" s="13" t="str">
        <x:v>/api/v1/funding-assignments</x:v>
      </x:c>
      <x:c r="D429" s="13" t="str">
        <x:v>READ-ONLY SHARED CONTEXT</x:v>
      </x:c>
      <x:c r="E429" s="13" t="str">
        <x:v>funds_manager</x:v>
      </x:c>
      <x:c r="F429" s="13" t="str">
        <x:v>assignments</x:v>
      </x:c>
      <x:c r="G429" s="13" t="str">
        <x:v>funds.read</x:v>
      </x:c>
      <x:c r="H429" s="13" t="str">
        <x:v>LIVE_ROUTER_REGISTERED</x:v>
      </x:c>
      <x:c r="I429" s="13" t="str">
        <x:v>frontend/src/features/funds-manager/api.ts</x:v>
      </x:c>
      <x:c r="J429" s="13" t="str">
        <x:v>NOT_EXECUTED_BY_INVENTORY. SOURCE_LITERAL_OR_TRANSITIVE_HELPER_UNION</x:v>
      </x:c>
    </x:row>
    <x:row r="430" ht="42" customHeight="1">
      <x:c r="A430" s="14" t="str">
        <x:v>API-226</x:v>
      </x:c>
      <x:c r="B430" s="6" t="str">
        <x:v>POST</x:v>
      </x:c>
      <x:c r="C430" s="6" t="str">
        <x:v>/api/v1/funding-assignments</x:v>
      </x:c>
      <x:c r="D430" s="6" t="str">
        <x:v>USER MODE</x:v>
      </x:c>
      <x:c r="E430" s="6" t="str">
        <x:v>funds_manager</x:v>
      </x:c>
      <x:c r="F430" s="6" t="str">
        <x:v>create assignment</x:v>
      </x:c>
      <x:c r="G430" s="6" t="str">
        <x:v>funding_assignment.create</x:v>
      </x:c>
      <x:c r="H430" s="6" t="str">
        <x:v>LIVE_ROUTER_REGISTERED</x:v>
      </x:c>
      <x:c r="I430" s="6" t="str">
        <x:v>frontend/src/features/funds-manager/api.ts</x:v>
      </x:c>
      <x:c r="J430" s="6" t="str">
        <x:v>NOT_EXECUTED_BY_INVENTORY. SOURCE_LITERAL_OR_TRANSITIVE_HELPER_UNION</x:v>
      </x:c>
    </x:row>
    <x:row r="431" ht="42" customHeight="1">
      <x:c r="A431" s="15" t="str">
        <x:v>API-227</x:v>
      </x:c>
      <x:c r="B431" s="13" t="str">
        <x:v>GET</x:v>
      </x:c>
      <x:c r="C431" s="13" t="str">
        <x:v>/api/v1/funding-assignments/{assignment_id}</x:v>
      </x:c>
      <x:c r="D431" s="13" t="str">
        <x:v>READ-ONLY SHARED CONTEXT</x:v>
      </x:c>
      <x:c r="E431" s="13" t="str">
        <x:v>funds_manager</x:v>
      </x:c>
      <x:c r="F431" s="13" t="str">
        <x:v>assignment</x:v>
      </x:c>
      <x:c r="G431" s="13" t="str">
        <x:v>funds.read</x:v>
      </x:c>
      <x:c r="H431" s="13" t="str">
        <x:v>LIVE_ROUTER_REGISTERED</x:v>
      </x:c>
      <x:c r="I431" s="13" t="str">
        <x:v>NO_DIRECT_LITERAL_MATCH_NOT_PROOF_UNUSED</x:v>
      </x:c>
      <x:c r="J431" s="13" t="str">
        <x:v>NOT_EXECUTED_BY_INVENTORY. SOURCE_LITERAL_OR_TRANSITIVE_HELPER_UNION</x:v>
      </x:c>
    </x:row>
    <x:row r="432" ht="42" customHeight="1">
      <x:c r="A432" s="14" t="str">
        <x:v>API-228</x:v>
      </x:c>
      <x:c r="B432" s="6" t="str">
        <x:v>PUT</x:v>
      </x:c>
      <x:c r="C432" s="6" t="str">
        <x:v>/api/v1/funding-assignments/{assignment_id}</x:v>
      </x:c>
      <x:c r="D432" s="6" t="str">
        <x:v>USER MODE</x:v>
      </x:c>
      <x:c r="E432" s="6" t="str">
        <x:v>funds_manager</x:v>
      </x:c>
      <x:c r="F432" s="6" t="str">
        <x:v>update assignment</x:v>
      </x:c>
      <x:c r="G432" s="6" t="str">
        <x:v>funding_assignment.edit</x:v>
      </x:c>
      <x:c r="H432" s="6" t="str">
        <x:v>LIVE_ROUTER_REGISTERED</x:v>
      </x:c>
      <x:c r="I432" s="6" t="str">
        <x:v>NO_DIRECT_LITERAL_MATCH_NOT_PROOF_UNUSED</x:v>
      </x:c>
      <x:c r="J432" s="6" t="str">
        <x:v>NOT_EXECUTED_BY_INVENTORY. SOURCE_LITERAL_OR_TRANSITIVE_HELPER_UNION</x:v>
      </x:c>
    </x:row>
    <x:row r="433" ht="42" customHeight="1">
      <x:c r="A433" s="15" t="str">
        <x:v>API-229</x:v>
      </x:c>
      <x:c r="B433" s="13" t="str">
        <x:v>POST</x:v>
      </x:c>
      <x:c r="C433" s="13" t="str">
        <x:v>/api/v1/funding-assignments/{assignment_id}/cancel</x:v>
      </x:c>
      <x:c r="D433" s="13" t="str">
        <x:v>USER MODE</x:v>
      </x:c>
      <x:c r="E433" s="13" t="str">
        <x:v>funds_manager</x:v>
      </x:c>
      <x:c r="F433" s="13" t="str">
        <x:v>cancel assignment</x:v>
      </x:c>
      <x:c r="G433" s="13" t="str">
        <x:v>HELPER_OR_SERVICE_AUTHORIZATION_REQUIRES_REVIEW</x:v>
      </x:c>
      <x:c r="H433" s="13" t="str">
        <x:v>LIVE_ROUTER_REGISTERED</x:v>
      </x:c>
      <x:c r="I433" s="13" t="str">
        <x:v>NO_DIRECT_LITERAL_MATCH_NOT_PROOF_UNUSED</x:v>
      </x:c>
      <x:c r="J433" s="13" t="str">
        <x:v>NOT_EXECUTED_BY_INVENTORY. SOURCE_LITERAL_OR_TRANSITIVE_HELPER_UNION</x:v>
      </x:c>
    </x:row>
    <x:row r="434" ht="42" customHeight="1">
      <x:c r="A434" s="14" t="str">
        <x:v>API-230</x:v>
      </x:c>
      <x:c r="B434" s="6" t="str">
        <x:v>POST</x:v>
      </x:c>
      <x:c r="C434" s="6" t="str">
        <x:v>/api/v1/funding-assignments/{assignment_id}/confirm</x:v>
      </x:c>
      <x:c r="D434" s="6" t="str">
        <x:v>USER MODE</x:v>
      </x:c>
      <x:c r="E434" s="6" t="str">
        <x:v>funds_manager</x:v>
      </x:c>
      <x:c r="F434" s="6" t="str">
        <x:v>confirm assignment</x:v>
      </x:c>
      <x:c r="G434" s="6" t="str">
        <x:v>HELPER_OR_SERVICE_AUTHORIZATION_REQUIRES_REVIEW</x:v>
      </x:c>
      <x:c r="H434" s="6" t="str">
        <x:v>LIVE_ROUTER_REGISTERED</x:v>
      </x:c>
      <x:c r="I434" s="6" t="str">
        <x:v>NO_DIRECT_LITERAL_MATCH_NOT_PROOF_UNUSED</x:v>
      </x:c>
      <x:c r="J434" s="6" t="str">
        <x:v>NOT_EXECUTED_BY_INVENTORY. SOURCE_LITERAL_OR_TRANSITIVE_HELPER_UNION</x:v>
      </x:c>
    </x:row>
    <x:row r="435" ht="42" customHeight="1">
      <x:c r="A435" s="15" t="str">
        <x:v>API-231</x:v>
      </x:c>
      <x:c r="B435" s="13" t="str">
        <x:v>POST</x:v>
      </x:c>
      <x:c r="C435" s="13" t="str">
        <x:v>/api/v1/funding-assignments/{assignment_id}/release</x:v>
      </x:c>
      <x:c r="D435" s="13" t="str">
        <x:v>USER MODE</x:v>
      </x:c>
      <x:c r="E435" s="13" t="str">
        <x:v>funds_manager</x:v>
      </x:c>
      <x:c r="F435" s="13" t="str">
        <x:v>release assignment</x:v>
      </x:c>
      <x:c r="G435" s="13" t="str">
        <x:v>HELPER_OR_SERVICE_AUTHORIZATION_REQUIRES_REVIEW</x:v>
      </x:c>
      <x:c r="H435" s="13" t="str">
        <x:v>LIVE_ROUTER_REGISTERED</x:v>
      </x:c>
      <x:c r="I435" s="13" t="str">
        <x:v>NO_DIRECT_LITERAL_MATCH_NOT_PROOF_UNUSED</x:v>
      </x:c>
      <x:c r="J435" s="13" t="str">
        <x:v>NOT_EXECUTED_BY_INVENTORY. SOURCE_LITERAL_OR_TRANSITIVE_HELPER_UNION</x:v>
      </x:c>
    </x:row>
    <x:row r="436" ht="42" customHeight="1">
      <x:c r="A436" s="14" t="str">
        <x:v>API-232</x:v>
      </x:c>
      <x:c r="B436" s="6" t="str">
        <x:v>POST</x:v>
      </x:c>
      <x:c r="C436" s="6" t="str">
        <x:v>/api/v1/funding-assignments/{assignment_id}/reserve</x:v>
      </x:c>
      <x:c r="D436" s="6" t="str">
        <x:v>USER MODE</x:v>
      </x:c>
      <x:c r="E436" s="6" t="str">
        <x:v>funds_manager</x:v>
      </x:c>
      <x:c r="F436" s="6" t="str">
        <x:v>reserve assignment</x:v>
      </x:c>
      <x:c r="G436" s="6" t="str">
        <x:v>HELPER_OR_SERVICE_AUTHORIZATION_REQUIRES_REVIEW</x:v>
      </x:c>
      <x:c r="H436" s="6" t="str">
        <x:v>LIVE_ROUTER_REGISTERED</x:v>
      </x:c>
      <x:c r="I436" s="6" t="str">
        <x:v>NO_DIRECT_LITERAL_MATCH_NOT_PROOF_UNUSED</x:v>
      </x:c>
      <x:c r="J436" s="6" t="str">
        <x:v>NOT_EXECUTED_BY_INVENTORY. SOURCE_LITERAL_OR_TRANSITIVE_HELPER_UNION</x:v>
      </x:c>
    </x:row>
    <x:row r="437" ht="42" customHeight="1">
      <x:c r="A437" s="15" t="str">
        <x:v>API-233</x:v>
      </x:c>
      <x:c r="B437" s="13" t="str">
        <x:v>GET</x:v>
      </x:c>
      <x:c r="C437" s="13" t="str">
        <x:v>/api/v1/funding-sources</x:v>
      </x:c>
      <x:c r="D437" s="13" t="str">
        <x:v>READ-ONLY SHARED CONTEXT</x:v>
      </x:c>
      <x:c r="E437" s="13" t="str">
        <x:v>funds_manager</x:v>
      </x:c>
      <x:c r="F437" s="13" t="str">
        <x:v>funding sources</x:v>
      </x:c>
      <x:c r="G437" s="13" t="str">
        <x:v>funds.read</x:v>
      </x:c>
      <x:c r="H437" s="13" t="str">
        <x:v>LIVE_ROUTER_REGISTERED</x:v>
      </x:c>
      <x:c r="I437" s="13" t="str">
        <x:v>frontend/src/features/funds-manager/api.ts</x:v>
      </x:c>
      <x:c r="J437" s="13" t="str">
        <x:v>NOT_EXECUTED_BY_INVENTORY. SOURCE_LITERAL_OR_TRANSITIVE_HELPER_UNION</x:v>
      </x:c>
    </x:row>
    <x:row r="438" ht="42" customHeight="1">
      <x:c r="A438" s="14" t="str">
        <x:v>API-234</x:v>
      </x:c>
      <x:c r="B438" s="6" t="str">
        <x:v>POST</x:v>
      </x:c>
      <x:c r="C438" s="6" t="str">
        <x:v>/api/v1/funding-sources</x:v>
      </x:c>
      <x:c r="D438" s="6" t="str">
        <x:v>USER MODE</x:v>
      </x:c>
      <x:c r="E438" s="6" t="str">
        <x:v>funds_manager</x:v>
      </x:c>
      <x:c r="F438" s="6" t="str">
        <x:v>create funding source</x:v>
      </x:c>
      <x:c r="G438" s="6" t="str">
        <x:v>funding_source.create</x:v>
      </x:c>
      <x:c r="H438" s="6" t="str">
        <x:v>LIVE_ROUTER_REGISTERED</x:v>
      </x:c>
      <x:c r="I438" s="6" t="str">
        <x:v>frontend/src/features/funds-manager/api.ts</x:v>
      </x:c>
      <x:c r="J438" s="6" t="str">
        <x:v>NOT_EXECUTED_BY_INVENTORY. SOURCE_LITERAL_OR_TRANSITIVE_HELPER_UNION</x:v>
      </x:c>
    </x:row>
    <x:row r="439" ht="42" customHeight="1">
      <x:c r="A439" s="15" t="str">
        <x:v>API-235</x:v>
      </x:c>
      <x:c r="B439" s="13" t="str">
        <x:v>GET</x:v>
      </x:c>
      <x:c r="C439" s="13" t="str">
        <x:v>/api/v1/funding-sources/{source_id}</x:v>
      </x:c>
      <x:c r="D439" s="13" t="str">
        <x:v>READ-ONLY SHARED CONTEXT</x:v>
      </x:c>
      <x:c r="E439" s="13" t="str">
        <x:v>funds_manager</x:v>
      </x:c>
      <x:c r="F439" s="13" t="str">
        <x:v>funding source</x:v>
      </x:c>
      <x:c r="G439" s="13" t="str">
        <x:v>funds.read</x:v>
      </x:c>
      <x:c r="H439" s="13" t="str">
        <x:v>LIVE_ROUTER_REGISTERED</x:v>
      </x:c>
      <x:c r="I439" s="13" t="str">
        <x:v>NO_DIRECT_LITERAL_MATCH_NOT_PROOF_UNUSED</x:v>
      </x:c>
      <x:c r="J439" s="13" t="str">
        <x:v>NOT_EXECUTED_BY_INVENTORY. SOURCE_LITERAL_OR_TRANSITIVE_HELPER_UNION</x:v>
      </x:c>
    </x:row>
    <x:row r="440" ht="42" customHeight="1">
      <x:c r="A440" s="14" t="str">
        <x:v>API-236</x:v>
      </x:c>
      <x:c r="B440" s="6" t="str">
        <x:v>PUT</x:v>
      </x:c>
      <x:c r="C440" s="6" t="str">
        <x:v>/api/v1/funding-sources/{source_id}</x:v>
      </x:c>
      <x:c r="D440" s="6" t="str">
        <x:v>USER MODE</x:v>
      </x:c>
      <x:c r="E440" s="6" t="str">
        <x:v>funds_manager</x:v>
      </x:c>
      <x:c r="F440" s="6" t="str">
        <x:v>update funding source</x:v>
      </x:c>
      <x:c r="G440" s="6" t="str">
        <x:v>funding_source.edit</x:v>
      </x:c>
      <x:c r="H440" s="6" t="str">
        <x:v>LIVE_ROUTER_REGISTERED</x:v>
      </x:c>
      <x:c r="I440" s="6" t="str">
        <x:v>NO_DIRECT_LITERAL_MATCH_NOT_PROOF_UNUSED</x:v>
      </x:c>
      <x:c r="J440" s="6" t="str">
        <x:v>NOT_EXECUTED_BY_INVENTORY. SOURCE_LITERAL_OR_TRANSITIVE_HELPER_UNION</x:v>
      </x:c>
    </x:row>
    <x:row r="441" ht="42" customHeight="1">
      <x:c r="A441" s="15" t="str">
        <x:v>API-237</x:v>
      </x:c>
      <x:c r="B441" s="13" t="str">
        <x:v>POST</x:v>
      </x:c>
      <x:c r="C441" s="13" t="str">
        <x:v>/api/v1/funding-sources/{source_id}/activate</x:v>
      </x:c>
      <x:c r="D441" s="13" t="str">
        <x:v>USER MODE</x:v>
      </x:c>
      <x:c r="E441" s="13" t="str">
        <x:v>funds_manager</x:v>
      </x:c>
      <x:c r="F441" s="13" t="str">
        <x:v>activate source</x:v>
      </x:c>
      <x:c r="G441" s="13" t="str">
        <x:v>funding_source.manage_status</x:v>
      </x:c>
      <x:c r="H441" s="13" t="str">
        <x:v>LIVE_ROUTER_REGISTERED</x:v>
      </x:c>
      <x:c r="I441" s="13" t="str">
        <x:v>NO_DIRECT_LITERAL_MATCH_NOT_PROOF_UNUSED</x:v>
      </x:c>
      <x:c r="J441" s="13" t="str">
        <x:v>NOT_EXECUTED_BY_INVENTORY. SOURCE_LITERAL_OR_TRANSITIVE_HELPER_UNION</x:v>
      </x:c>
    </x:row>
    <x:row r="442" ht="42" customHeight="1">
      <x:c r="A442" s="14" t="str">
        <x:v>API-238</x:v>
      </x:c>
      <x:c r="B442" s="6" t="str">
        <x:v>POST</x:v>
      </x:c>
      <x:c r="C442" s="6" t="str">
        <x:v>/api/v1/funding-sources/{source_id}/close</x:v>
      </x:c>
      <x:c r="D442" s="6" t="str">
        <x:v>USER MODE</x:v>
      </x:c>
      <x:c r="E442" s="6" t="str">
        <x:v>funds_manager</x:v>
      </x:c>
      <x:c r="F442" s="6" t="str">
        <x:v>close source</x:v>
      </x:c>
      <x:c r="G442" s="6" t="str">
        <x:v>funding_source.manage_status</x:v>
      </x:c>
      <x:c r="H442" s="6" t="str">
        <x:v>LIVE_ROUTER_REGISTERED</x:v>
      </x:c>
      <x:c r="I442" s="6" t="str">
        <x:v>NO_DIRECT_LITERAL_MATCH_NOT_PROOF_UNUSED</x:v>
      </x:c>
      <x:c r="J442" s="6" t="str">
        <x:v>NOT_EXECUTED_BY_INVENTORY. SOURCE_LITERAL_OR_TRANSITIVE_HELPER_UNION</x:v>
      </x:c>
    </x:row>
    <x:row r="443" ht="42" customHeight="1">
      <x:c r="A443" s="15" t="str">
        <x:v>API-239</x:v>
      </x:c>
      <x:c r="B443" s="13" t="str">
        <x:v>POST</x:v>
      </x:c>
      <x:c r="C443" s="13" t="str">
        <x:v>/api/v1/funding-sources/{source_id}/suspend</x:v>
      </x:c>
      <x:c r="D443" s="13" t="str">
        <x:v>USER MODE</x:v>
      </x:c>
      <x:c r="E443" s="13" t="str">
        <x:v>funds_manager</x:v>
      </x:c>
      <x:c r="F443" s="13" t="str">
        <x:v>suspend source</x:v>
      </x:c>
      <x:c r="G443" s="13" t="str">
        <x:v>funding_source.manage_status</x:v>
      </x:c>
      <x:c r="H443" s="13" t="str">
        <x:v>LIVE_ROUTER_REGISTERED</x:v>
      </x:c>
      <x:c r="I443" s="13" t="str">
        <x:v>NO_DIRECT_LITERAL_MATCH_NOT_PROOF_UNUSED</x:v>
      </x:c>
      <x:c r="J443" s="13" t="str">
        <x:v>NOT_EXECUTED_BY_INVENTORY. SOURCE_LITERAL_OR_TRANSITIVE_HELPER_UNION</x:v>
      </x:c>
    </x:row>
    <x:row r="444" ht="42" customHeight="1">
      <x:c r="A444" s="14" t="str">
        <x:v>API-240</x:v>
      </x:c>
      <x:c r="B444" s="6" t="str">
        <x:v>GET</x:v>
      </x:c>
      <x:c r="C444" s="6" t="str">
        <x:v>/api/v1/funds</x:v>
      </x:c>
      <x:c r="D444" s="6" t="str">
        <x:v>READ-ONLY SHARED CONTEXT</x:v>
      </x:c>
      <x:c r="E444" s="6" t="str">
        <x:v>funds_manager</x:v>
      </x:c>
      <x:c r="F444" s="6" t="str">
        <x:v>funds</x:v>
      </x:c>
      <x:c r="G444" s="6" t="str">
        <x:v>funds.read</x:v>
      </x:c>
      <x:c r="H444" s="6" t="str">
        <x:v>LIVE_ROUTER_REGISTERED</x:v>
      </x:c>
      <x:c r="I444" s="6" t="str">
        <x:v>frontend/src/features/funds-manager/api.ts</x:v>
      </x:c>
      <x:c r="J444" s="6" t="str">
        <x:v>NOT_EXECUTED_BY_INVENTORY. SOURCE_LITERAL_OR_TRANSITIVE_HELPER_UNION</x:v>
      </x:c>
    </x:row>
    <x:row r="445" ht="42" customHeight="1">
      <x:c r="A445" s="15" t="str">
        <x:v>API-241</x:v>
      </x:c>
      <x:c r="B445" s="13" t="str">
        <x:v>POST</x:v>
      </x:c>
      <x:c r="C445" s="13" t="str">
        <x:v>/api/v1/funds</x:v>
      </x:c>
      <x:c r="D445" s="13" t="str">
        <x:v>USER MODE</x:v>
      </x:c>
      <x:c r="E445" s="13" t="str">
        <x:v>funds_manager</x:v>
      </x:c>
      <x:c r="F445" s="13" t="str">
        <x:v>create fund</x:v>
      </x:c>
      <x:c r="G445" s="13" t="str">
        <x:v>fund.create</x:v>
      </x:c>
      <x:c r="H445" s="13" t="str">
        <x:v>LIVE_ROUTER_REGISTERED</x:v>
      </x:c>
      <x:c r="I445" s="13" t="str">
        <x:v>frontend/src/features/funds-manager/api.ts</x:v>
      </x:c>
      <x:c r="J445" s="13" t="str">
        <x:v>NOT_EXECUTED_BY_INVENTORY. SOURCE_LITERAL_OR_TRANSITIVE_HELPER_UNION</x:v>
      </x:c>
    </x:row>
    <x:row r="446" ht="42" customHeight="1">
      <x:c r="A446" s="14" t="str">
        <x:v>API-242</x:v>
      </x:c>
      <x:c r="B446" s="6" t="str">
        <x:v>GET</x:v>
      </x:c>
      <x:c r="C446" s="6" t="str">
        <x:v>/api/v1/funds-manager</x:v>
      </x:c>
      <x:c r="D446" s="6" t="str">
        <x:v>READ-ONLY SHARED CONTEXT</x:v>
      </x:c>
      <x:c r="E446" s="6" t="str">
        <x:v>funds_manager</x:v>
      </x:c>
      <x:c r="F446" s="6" t="str">
        <x:v>overview</x:v>
      </x:c>
      <x:c r="G446" s="6" t="str">
        <x:v>funds.read</x:v>
      </x:c>
      <x:c r="H446" s="6" t="str">
        <x:v>LIVE_ROUTER_REGISTERED</x:v>
      </x:c>
      <x:c r="I446" s="6" t="str">
        <x:v>NO_DIRECT_LITERAL_MATCH_NOT_PROOF_UNUSED</x:v>
      </x:c>
      <x:c r="J446" s="6" t="str">
        <x:v>NOT_EXECUTED_BY_INVENTORY. SOURCE_LITERAL_OR_TRANSITIVE_HELPER_UNION</x:v>
      </x:c>
    </x:row>
    <x:row r="447" ht="42" customHeight="1">
      <x:c r="A447" s="15" t="str">
        <x:v>API-243</x:v>
      </x:c>
      <x:c r="B447" s="13" t="str">
        <x:v>GET</x:v>
      </x:c>
      <x:c r="C447" s="13" t="str">
        <x:v>/api/v1/funds/admin/configurations</x:v>
      </x:c>
      <x:c r="D447" s="13" t="str">
        <x:v>ADMIN MODE</x:v>
      </x:c>
      <x:c r="E447" s="13" t="str">
        <x:v>funds_manager</x:v>
      </x:c>
      <x:c r="F447" s="13" t="str">
        <x:v>configurations</x:v>
      </x:c>
      <x:c r="G447" s="13" t="str">
        <x:v>funds.admin.configure</x:v>
      </x:c>
      <x:c r="H447" s="13" t="str">
        <x:v>LIVE_ROUTER_REGISTERED</x:v>
      </x:c>
      <x:c r="I447" s="13" t="str">
        <x:v>frontend/src/features/funds-manager/api.ts</x:v>
      </x:c>
      <x:c r="J447" s="13" t="str">
        <x:v>NOT_EXECUTED_BY_INVENTORY. SOURCE_LITERAL_OR_TRANSITIVE_HELPER_UNION</x:v>
      </x:c>
    </x:row>
    <x:row r="448" ht="42" customHeight="1">
      <x:c r="A448" s="14" t="str">
        <x:v>API-244</x:v>
      </x:c>
      <x:c r="B448" s="6" t="str">
        <x:v>POST</x:v>
      </x:c>
      <x:c r="C448" s="6" t="str">
        <x:v>/api/v1/funds/admin/configurations/clone</x:v>
      </x:c>
      <x:c r="D448" s="6" t="str">
        <x:v>ADMIN MODE</x:v>
      </x:c>
      <x:c r="E448" s="6" t="str">
        <x:v>funds_manager</x:v>
      </x:c>
      <x:c r="F448" s="6" t="str">
        <x:v>clone configuration alias</x:v>
      </x:c>
      <x:c r="G448" s="6" t="str">
        <x:v>funds.admin.configure</x:v>
      </x:c>
      <x:c r="H448" s="6" t="str">
        <x:v>LIVE_ROUTER_REGISTERED</x:v>
      </x:c>
      <x:c r="I448" s="6" t="str">
        <x:v>NO_DIRECT_LITERAL_MATCH_NOT_PROOF_UNUSED</x:v>
      </x:c>
      <x:c r="J448" s="6" t="str">
        <x:v>NOT_EXECUTED_BY_INVENTORY. SOURCE_LITERAL_OR_TRANSITIVE_HELPER_UNION</x:v>
      </x:c>
    </x:row>
    <x:row r="449" ht="42" customHeight="1">
      <x:c r="A449" s="15" t="str">
        <x:v>API-245</x:v>
      </x:c>
      <x:c r="B449" s="13" t="str">
        <x:v>POST</x:v>
      </x:c>
      <x:c r="C449" s="13" t="str">
        <x:v>/api/v1/funds/admin/configurations/preview</x:v>
      </x:c>
      <x:c r="D449" s="13" t="str">
        <x:v>ADMIN MODE</x:v>
      </x:c>
      <x:c r="E449" s="13" t="str">
        <x:v>funds_manager</x:v>
      </x:c>
      <x:c r="F449" s="13" t="str">
        <x:v>configuration preview</x:v>
      </x:c>
      <x:c r="G449" s="13" t="str">
        <x:v>funds.admin.configure</x:v>
      </x:c>
      <x:c r="H449" s="13" t="str">
        <x:v>LIVE_ROUTER_REGISTERED</x:v>
      </x:c>
      <x:c r="I449" s="13" t="str">
        <x:v>frontend/src/features/funds-manager/api.ts</x:v>
      </x:c>
      <x:c r="J449" s="13" t="str">
        <x:v>NOT_EXECUTED_BY_INVENTORY. SOURCE_LITERAL_OR_TRANSITIVE_HELPER_UNION</x:v>
      </x:c>
    </x:row>
    <x:row r="450" ht="42" customHeight="1">
      <x:c r="A450" s="14" t="str">
        <x:v>API-246</x:v>
      </x:c>
      <x:c r="B450" s="6" t="str">
        <x:v>PUT</x:v>
      </x:c>
      <x:c r="C450" s="6" t="str">
        <x:v>/api/v1/funds/admin/configurations/{configuration_id}</x:v>
      </x:c>
      <x:c r="D450" s="6" t="str">
        <x:v>ADMIN MODE</x:v>
      </x:c>
      <x:c r="E450" s="6" t="str">
        <x:v>funds_manager</x:v>
      </x:c>
      <x:c r="F450" s="6" t="str">
        <x:v>update configuration</x:v>
      </x:c>
      <x:c r="G450" s="6" t="str">
        <x:v>funds.admin.configure</x:v>
      </x:c>
      <x:c r="H450" s="6" t="str">
        <x:v>LIVE_ROUTER_REGISTERED</x:v>
      </x:c>
      <x:c r="I450" s="6" t="str">
        <x:v>frontend/src/features/funds-manager/api.ts</x:v>
      </x:c>
      <x:c r="J450" s="6" t="str">
        <x:v>NOT_EXECUTED_BY_INVENTORY. SOURCE_LITERAL_OR_TRANSITIVE_HELPER_UNION</x:v>
      </x:c>
    </x:row>
    <x:row r="451" ht="42" customHeight="1">
      <x:c r="A451" s="15" t="str">
        <x:v>API-247</x:v>
      </x:c>
      <x:c r="B451" s="13" t="str">
        <x:v>POST</x:v>
      </x:c>
      <x:c r="C451" s="13" t="str">
        <x:v>/api/v1/funds/admin/configurations/{configuration_id}/clone</x:v>
      </x:c>
      <x:c r="D451" s="13" t="str">
        <x:v>ADMIN MODE</x:v>
      </x:c>
      <x:c r="E451" s="13" t="str">
        <x:v>funds_manager</x:v>
      </x:c>
      <x:c r="F451" s="13" t="str">
        <x:v>clone configuration</x:v>
      </x:c>
      <x:c r="G451" s="13" t="str">
        <x:v>funds.admin.configure</x:v>
      </x:c>
      <x:c r="H451" s="13" t="str">
        <x:v>LIVE_ROUTER_REGISTERED</x:v>
      </x:c>
      <x:c r="I451" s="13" t="str">
        <x:v>frontend/src/features/funds-manager/api.ts</x:v>
      </x:c>
      <x:c r="J451" s="13" t="str">
        <x:v>NOT_EXECUTED_BY_INVENTORY. SOURCE_LITERAL_OR_TRANSITIVE_HELPER_UNION</x:v>
      </x:c>
    </x:row>
    <x:row r="452" ht="42" customHeight="1">
      <x:c r="A452" s="14" t="str">
        <x:v>API-248</x:v>
      </x:c>
      <x:c r="B452" s="6" t="str">
        <x:v>POST</x:v>
      </x:c>
      <x:c r="C452" s="6" t="str">
        <x:v>/api/v1/funds/admin/configurations/{configuration_id}/publish</x:v>
      </x:c>
      <x:c r="D452" s="6" t="str">
        <x:v>ADMIN MODE</x:v>
      </x:c>
      <x:c r="E452" s="6" t="str">
        <x:v>funds_manager</x:v>
      </x:c>
      <x:c r="F452" s="6" t="str">
        <x:v>publish configuration</x:v>
      </x:c>
      <x:c r="G452" s="6" t="str">
        <x:v>funds.admin.publish</x:v>
      </x:c>
      <x:c r="H452" s="6" t="str">
        <x:v>LIVE_ROUTER_REGISTERED</x:v>
      </x:c>
      <x:c r="I452" s="6" t="str">
        <x:v>frontend/src/features/funds-manager/api.ts</x:v>
      </x:c>
      <x:c r="J452" s="6" t="str">
        <x:v>NOT_EXECUTED_BY_INVENTORY. SOURCE_LITERAL_OR_TRANSITIVE_HELPER_UNION</x:v>
      </x:c>
    </x:row>
    <x:row r="453" ht="42" customHeight="1">
      <x:c r="A453" s="15" t="str">
        <x:v>API-249</x:v>
      </x:c>
      <x:c r="B453" s="13" t="str">
        <x:v>GET</x:v>
      </x:c>
      <x:c r="C453" s="13" t="str">
        <x:v>/api/v1/funds/{fund_id}</x:v>
      </x:c>
      <x:c r="D453" s="13" t="str">
        <x:v>READ-ONLY SHARED CONTEXT</x:v>
      </x:c>
      <x:c r="E453" s="13" t="str">
        <x:v>funds_manager</x:v>
      </x:c>
      <x:c r="F453" s="13" t="str">
        <x:v>fund</x:v>
      </x:c>
      <x:c r="G453" s="13" t="str">
        <x:v>funds.read</x:v>
      </x:c>
      <x:c r="H453" s="13" t="str">
        <x:v>LIVE_ROUTER_REGISTERED</x:v>
      </x:c>
      <x:c r="I453" s="13" t="str">
        <x:v>NO_DIRECT_LITERAL_MATCH_NOT_PROOF_UNUSED</x:v>
      </x:c>
      <x:c r="J453" s="13" t="str">
        <x:v>NOT_EXECUTED_BY_INVENTORY. SOURCE_LITERAL_OR_TRANSITIVE_HELPER_UNION</x:v>
      </x:c>
    </x:row>
    <x:row r="454" ht="42" customHeight="1">
      <x:c r="A454" s="14" t="str">
        <x:v>API-250</x:v>
      </x:c>
      <x:c r="B454" s="6" t="str">
        <x:v>PUT</x:v>
      </x:c>
      <x:c r="C454" s="6" t="str">
        <x:v>/api/v1/funds/{fund_id}</x:v>
      </x:c>
      <x:c r="D454" s="6" t="str">
        <x:v>USER MODE</x:v>
      </x:c>
      <x:c r="E454" s="6" t="str">
        <x:v>funds_manager</x:v>
      </x:c>
      <x:c r="F454" s="6" t="str">
        <x:v>update fund</x:v>
      </x:c>
      <x:c r="G454" s="6" t="str">
        <x:v>fund.edit</x:v>
      </x:c>
      <x:c r="H454" s="6" t="str">
        <x:v>LIVE_ROUTER_REGISTERED</x:v>
      </x:c>
      <x:c r="I454" s="6" t="str">
        <x:v>NO_DIRECT_LITERAL_MATCH_NOT_PROOF_UNUSED</x:v>
      </x:c>
      <x:c r="J454" s="6" t="str">
        <x:v>NOT_EXECUTED_BY_INVENTORY. SOURCE_LITERAL_OR_TRANSITIVE_HELPER_UNION</x:v>
      </x:c>
    </x:row>
    <x:row r="455" ht="42" customHeight="1">
      <x:c r="A455" s="15" t="str">
        <x:v>API-251</x:v>
      </x:c>
      <x:c r="B455" s="13" t="str">
        <x:v>POST</x:v>
      </x:c>
      <x:c r="C455" s="13" t="str">
        <x:v>/api/v1/funds/{fund_id}/activate</x:v>
      </x:c>
      <x:c r="D455" s="13" t="str">
        <x:v>USER MODE</x:v>
      </x:c>
      <x:c r="E455" s="13" t="str">
        <x:v>funds_manager</x:v>
      </x:c>
      <x:c r="F455" s="13" t="str">
        <x:v>activate fund</x:v>
      </x:c>
      <x:c r="G455" s="13" t="str">
        <x:v>HELPER_OR_SERVICE_AUTHORIZATION_REQUIRES_REVIEW</x:v>
      </x:c>
      <x:c r="H455" s="13" t="str">
        <x:v>LIVE_ROUTER_REGISTERED</x:v>
      </x:c>
      <x:c r="I455" s="13" t="str">
        <x:v>NO_DIRECT_LITERAL_MATCH_NOT_PROOF_UNUSED</x:v>
      </x:c>
      <x:c r="J455" s="13" t="str">
        <x:v>NOT_EXECUTED_BY_INVENTORY. SOURCE_LITERAL_OR_TRANSITIVE_HELPER_UNION</x:v>
      </x:c>
    </x:row>
    <x:row r="456" ht="42" customHeight="1">
      <x:c r="A456" s="14" t="str">
        <x:v>API-252</x:v>
      </x:c>
      <x:c r="B456" s="6" t="str">
        <x:v>POST</x:v>
      </x:c>
      <x:c r="C456" s="6" t="str">
        <x:v>/api/v1/funds/{fund_id}/authorize</x:v>
      </x:c>
      <x:c r="D456" s="6" t="str">
        <x:v>USER MODE</x:v>
      </x:c>
      <x:c r="E456" s="6" t="str">
        <x:v>funds_manager</x:v>
      </x:c>
      <x:c r="F456" s="6" t="str">
        <x:v>authorize fund</x:v>
      </x:c>
      <x:c r="G456" s="6" t="str">
        <x:v>HELPER_OR_SERVICE_AUTHORIZATION_REQUIRES_REVIEW</x:v>
      </x:c>
      <x:c r="H456" s="6" t="str">
        <x:v>LIVE_ROUTER_REGISTERED</x:v>
      </x:c>
      <x:c r="I456" s="6" t="str">
        <x:v>NO_DIRECT_LITERAL_MATCH_NOT_PROOF_UNUSED</x:v>
      </x:c>
      <x:c r="J456" s="6" t="str">
        <x:v>NOT_EXECUTED_BY_INVENTORY. SOURCE_LITERAL_OR_TRANSITIVE_HELPER_UNION</x:v>
      </x:c>
    </x:row>
    <x:row r="457" ht="42" customHeight="1">
      <x:c r="A457" s="15" t="str">
        <x:v>API-253</x:v>
      </x:c>
      <x:c r="B457" s="13" t="str">
        <x:v>POST</x:v>
      </x:c>
      <x:c r="C457" s="13" t="str">
        <x:v>/api/v1/funds/{fund_id}/close</x:v>
      </x:c>
      <x:c r="D457" s="13" t="str">
        <x:v>USER MODE</x:v>
      </x:c>
      <x:c r="E457" s="13" t="str">
        <x:v>funds_manager</x:v>
      </x:c>
      <x:c r="F457" s="13" t="str">
        <x:v>close fund</x:v>
      </x:c>
      <x:c r="G457" s="13" t="str">
        <x:v>HELPER_OR_SERVICE_AUTHORIZATION_REQUIRES_REVIEW</x:v>
      </x:c>
      <x:c r="H457" s="13" t="str">
        <x:v>LIVE_ROUTER_REGISTERED</x:v>
      </x:c>
      <x:c r="I457" s="13" t="str">
        <x:v>NO_DIRECT_LITERAL_MATCH_NOT_PROOF_UNUSED</x:v>
      </x:c>
      <x:c r="J457" s="13" t="str">
        <x:v>NOT_EXECUTED_BY_INVENTORY. SOURCE_LITERAL_OR_TRANSITIVE_HELPER_UNION</x:v>
      </x:c>
    </x:row>
    <x:row r="458" ht="42" customHeight="1">
      <x:c r="A458" s="14" t="str">
        <x:v>API-254</x:v>
      </x:c>
      <x:c r="B458" s="6" t="str">
        <x:v>POST</x:v>
      </x:c>
      <x:c r="C458" s="6" t="str">
        <x:v>/api/v1/funds/{fund_id}/suspend</x:v>
      </x:c>
      <x:c r="D458" s="6" t="str">
        <x:v>USER MODE</x:v>
      </x:c>
      <x:c r="E458" s="6" t="str">
        <x:v>funds_manager</x:v>
      </x:c>
      <x:c r="F458" s="6" t="str">
        <x:v>suspend fund</x:v>
      </x:c>
      <x:c r="G458" s="6" t="str">
        <x:v>HELPER_OR_SERVICE_AUTHORIZATION_REQUIRES_REVIEW</x:v>
      </x:c>
      <x:c r="H458" s="6" t="str">
        <x:v>LIVE_ROUTER_REGISTERED</x:v>
      </x:c>
      <x:c r="I458" s="6" t="str">
        <x:v>NO_DIRECT_LITERAL_MATCH_NOT_PROOF_UNUSED</x:v>
      </x:c>
      <x:c r="J458" s="6" t="str">
        <x:v>NOT_EXECUTED_BY_INVENTORY. SOURCE_LITERAL_OR_TRANSITIVE_HELPER_UNION</x:v>
      </x:c>
    </x:row>
    <x:row r="459" ht="42" customHeight="1">
      <x:c r="A459" s="15" t="str">
        <x:v>API-255</x:v>
      </x:c>
      <x:c r="B459" s="13" t="str">
        <x:v>GET</x:v>
      </x:c>
      <x:c r="C459" s="13" t="str">
        <x:v>/api/v1/portfolios/{portfolio_id}/funding</x:v>
      </x:c>
      <x:c r="D459" s="13" t="str">
        <x:v>READ-ONLY SHARED CONTEXT</x:v>
      </x:c>
      <x:c r="E459" s="13" t="str">
        <x:v>funds_manager</x:v>
      </x:c>
      <x:c r="F459" s="13" t="str">
        <x:v>portfolio funding</x:v>
      </x:c>
      <x:c r="G459" s="13" t="str">
        <x:v>funds.read</x:v>
      </x:c>
      <x:c r="H459" s="13" t="str">
        <x:v>LIVE_ROUTER_REGISTERED</x:v>
      </x:c>
      <x:c r="I459" s="13" t="str">
        <x:v>frontend/src/features/funds-manager/api.ts</x:v>
      </x:c>
      <x:c r="J459" s="13" t="str">
        <x:v>NOT_EXECUTED_BY_INVENTORY. SOURCE_LITERAL_OR_TRANSITIVE_HELPER_UNION</x:v>
      </x:c>
    </x:row>
    <x:row r="460" ht="42" customHeight="1">
      <x:c r="A460" s="14" t="str">
        <x:v>API-256</x:v>
      </x:c>
      <x:c r="B460" s="6" t="str">
        <x:v>GET</x:v>
      </x:c>
      <x:c r="C460" s="6" t="str">
        <x:v>/api/v1/portfolios/{portfolio_id}/funding/coverage</x:v>
      </x:c>
      <x:c r="D460" s="6" t="str">
        <x:v>READ-ONLY SHARED CONTEXT</x:v>
      </x:c>
      <x:c r="E460" s="6" t="str">
        <x:v>funds_manager</x:v>
      </x:c>
      <x:c r="F460" s="6" t="str">
        <x:v>portfolio coverage</x:v>
      </x:c>
      <x:c r="G460" s="6" t="str">
        <x:v>funding_readiness.read</x:v>
      </x:c>
      <x:c r="H460" s="6" t="str">
        <x:v>LIVE_ROUTER_REGISTERED</x:v>
      </x:c>
      <x:c r="I460" s="6" t="str">
        <x:v>NO_DIRECT_LITERAL_MATCH_NOT_PROOF_UNUSED</x:v>
      </x:c>
      <x:c r="J460" s="6" t="str">
        <x:v>NOT_EXECUTED_BY_INVENTORY. SOURCE_LITERAL_OR_TRANSITIVE_HELPER_UNION</x:v>
      </x:c>
    </x:row>
    <x:row r="461" ht="42" customHeight="1">
      <x:c r="A461" s="15" t="str">
        <x:v>API-257</x:v>
      </x:c>
      <x:c r="B461" s="13" t="str">
        <x:v>GET</x:v>
      </x:c>
      <x:c r="C461" s="13" t="str">
        <x:v>/api/v1/portfolios/{portfolio_id}/funding/investment-gate-evidence</x:v>
      </x:c>
      <x:c r="D461" s="13" t="str">
        <x:v>READ-ONLY SHARED CONTEXT</x:v>
      </x:c>
      <x:c r="E461" s="13" t="str">
        <x:v>funds_manager</x:v>
      </x:c>
      <x:c r="F461" s="13" t="str">
        <x:v>investment gate evidence</x:v>
      </x:c>
      <x:c r="G461" s="13" t="str">
        <x:v>funding_readiness.read</x:v>
      </x:c>
      <x:c r="H461" s="13" t="str">
        <x:v>LIVE_ROUTER_REGISTERED</x:v>
      </x:c>
      <x:c r="I461" s="13" t="str">
        <x:v>frontend/src/features/funds-manager/api.ts</x:v>
      </x:c>
      <x:c r="J461" s="13" t="str">
        <x:v>NOT_EXECUTED_BY_INVENTORY. SOURCE_LITERAL_OR_TRANSITIVE_HELPER_UNION</x:v>
      </x:c>
    </x:row>
    <x:row r="462" ht="42" customHeight="1">
      <x:c r="A462" s="14" t="str">
        <x:v>API-258</x:v>
      </x:c>
      <x:c r="B462" s="6" t="str">
        <x:v>GET</x:v>
      </x:c>
      <x:c r="C462" s="6" t="str">
        <x:v>/api/v1/portfolios/{portfolio_id}/funding/readiness</x:v>
      </x:c>
      <x:c r="D462" s="6" t="str">
        <x:v>READ-ONLY SHARED CONTEXT</x:v>
      </x:c>
      <x:c r="E462" s="6" t="str">
        <x:v>funds_manager</x:v>
      </x:c>
      <x:c r="F462" s="6" t="str">
        <x:v>portfolio readiness</x:v>
      </x:c>
      <x:c r="G462" s="6" t="str">
        <x:v>funding_readiness.read</x:v>
      </x:c>
      <x:c r="H462" s="6" t="str">
        <x:v>LIVE_ROUTER_REGISTERED</x:v>
      </x:c>
      <x:c r="I462" s="6" t="str">
        <x:v>NO_DIRECT_LITERAL_MATCH_NOT_PROOF_UNUSED</x:v>
      </x:c>
      <x:c r="J462" s="6" t="str">
        <x:v>NOT_EXECUTED_BY_INVENTORY. SOURCE_LITERAL_OR_TRANSITIVE_HELPER_UNION</x:v>
      </x:c>
    </x:row>
    <x:row r="463" ht="42" customHeight="1">
      <x:c r="A463" s="15" t="str">
        <x:v>API-259</x:v>
      </x:c>
      <x:c r="B463" s="13" t="str">
        <x:v>POST</x:v>
      </x:c>
      <x:c r="C463" s="13" t="str">
        <x:v>/api/v1/portfolios/{portfolio_id}/funding/readiness/refresh</x:v>
      </x:c>
      <x:c r="D463" s="13" t="str">
        <x:v>USER MODE</x:v>
      </x:c>
      <x:c r="E463" s="13" t="str">
        <x:v>funds_manager</x:v>
      </x:c>
      <x:c r="F463" s="13" t="str">
        <x:v>readiness refresh</x:v>
      </x:c>
      <x:c r="G463" s="13" t="str">
        <x:v>funding_readiness.refresh</x:v>
      </x:c>
      <x:c r="H463" s="13" t="str">
        <x:v>LIVE_ROUTER_REGISTERED</x:v>
      </x:c>
      <x:c r="I463" s="13" t="str">
        <x:v>frontend/src/features/funds-manager/api.ts</x:v>
      </x:c>
      <x:c r="J463" s="13" t="str">
        <x:v>NOT_EXECUTED_BY_INVENTORY. SOURCE_LITERAL_OR_TRANSITIVE_HELPER_UNION</x:v>
      </x:c>
    </x:row>
    <x:row r="464" ht="42" customHeight="1">
      <x:c r="A464" s="14" t="str">
        <x:v>API-260</x:v>
      </x:c>
      <x:c r="B464" s="6" t="str">
        <x:v>POST</x:v>
      </x:c>
      <x:c r="C464" s="6" t="str">
        <x:v>/api/v1/portfolios/{portfolio_id}/funding/readiness/refresh/preview</x:v>
      </x:c>
      <x:c r="D464" s="6" t="str">
        <x:v>USER MODE</x:v>
      </x:c>
      <x:c r="E464" s="6" t="str">
        <x:v>funds_manager</x:v>
      </x:c>
      <x:c r="F464" s="6" t="str">
        <x:v>readiness preview</x:v>
      </x:c>
      <x:c r="G464" s="6" t="str">
        <x:v>funding_readiness.refresh</x:v>
      </x:c>
      <x:c r="H464" s="6" t="str">
        <x:v>LIVE_ROUTER_REGISTERED</x:v>
      </x:c>
      <x:c r="I464" s="6" t="str">
        <x:v>frontend/src/features/funds-manager/api.ts</x:v>
      </x:c>
      <x:c r="J464" s="6" t="str">
        <x:v>NOT_EXECUTED_BY_INVENTORY. SOURCE_LITERAL_OR_TRANSITIVE_HELPER_UNION</x:v>
      </x:c>
    </x:row>
    <x:row r="465" ht="42" customHeight="1">
      <x:c r="A465" s="15" t="str">
        <x:v>API-261</x:v>
      </x:c>
      <x:c r="B465" s="13" t="str">
        <x:v>GET</x:v>
      </x:c>
      <x:c r="C465" s="13" t="str">
        <x:v>/api/v1/projects/{project_id}/funding</x:v>
      </x:c>
      <x:c r="D465" s="13" t="str">
        <x:v>READ-ONLY SHARED CONTEXT</x:v>
      </x:c>
      <x:c r="E465" s="13" t="str">
        <x:v>funds_manager</x:v>
      </x:c>
      <x:c r="F465" s="13" t="str">
        <x:v>project funding</x:v>
      </x:c>
      <x:c r="G465" s="13" t="str">
        <x:v>funds.read</x:v>
      </x:c>
      <x:c r="H465" s="13" t="str">
        <x:v>LIVE_ROUTER_REGISTERED</x:v>
      </x:c>
      <x:c r="I465" s="13" t="str">
        <x:v>NO_DIRECT_LITERAL_MATCH_NOT_PROOF_UNUSED</x:v>
      </x:c>
      <x:c r="J465" s="13" t="str">
        <x:v>NOT_EXECUTED_BY_INVENTORY. SOURCE_LITERAL_OR_TRANSITIVE_HELPER_UNION</x:v>
      </x:c>
    </x:row>
    <x:row r="466" ht="42" customHeight="1">
      <x:c r="A466" s="14" t="str">
        <x:v>API-262</x:v>
      </x:c>
      <x:c r="B466" s="6" t="str">
        <x:v>GET</x:v>
      </x:c>
      <x:c r="C466" s="6" t="str">
        <x:v>/api/v1/projects/{project_id}/funding/readiness</x:v>
      </x:c>
      <x:c r="D466" s="6" t="str">
        <x:v>READ-ONLY SHARED CONTEXT</x:v>
      </x:c>
      <x:c r="E466" s="6" t="str">
        <x:v>funds_manager</x:v>
      </x:c>
      <x:c r="F466" s="6" t="str">
        <x:v>project readiness</x:v>
      </x:c>
      <x:c r="G466" s="6" t="str">
        <x:v>funding_readiness.read</x:v>
      </x:c>
      <x:c r="H466" s="6" t="str">
        <x:v>LIVE_ROUTER_REGISTERED</x:v>
      </x:c>
      <x:c r="I466" s="6" t="str">
        <x:v>NO_DIRECT_LITERAL_MATCH_NOT_PROOF_UNUSED</x:v>
      </x:c>
      <x:c r="J466" s="6" t="str">
        <x:v>NOT_EXECUTED_BY_INVENTORY. SOURCE_LITERAL_OR_TRANSITIVE_HELPER_UNION</x:v>
      </x:c>
    </x:row>
    <x:row r="467" ht="42" customHeight="1">
      <x:c r="A467" s="15" t="str">
        <x:v>API-263</x:v>
      </x:c>
      <x:c r="B467" s="13" t="str">
        <x:v>GET</x:v>
      </x:c>
      <x:c r="C467" s="13" t="str">
        <x:v>/api/v1/ideas</x:v>
      </x:c>
      <x:c r="D467" s="13" t="str">
        <x:v>READ-ONLY SHARED CONTEXT</x:v>
      </x:c>
      <x:c r="E467" s="13" t="str">
        <x:v>idea_demand</x:v>
      </x:c>
      <x:c r="F467" s="13" t="str">
        <x:v>list ideas</x:v>
      </x:c>
      <x:c r="G467" s="13" t="str">
        <x:v>idea.read</x:v>
      </x:c>
      <x:c r="H467" s="13" t="str">
        <x:v>LIVE_ROUTER_REGISTERED</x:v>
      </x:c>
      <x:c r="I467" s="13" t="str">
        <x:v>frontend/src/features/idea-demand/api.ts</x:v>
      </x:c>
      <x:c r="J467" s="13" t="str">
        <x:v>NOT_EXECUTED_BY_INVENTORY. SOURCE_LITERAL_OR_TRANSITIVE_HELPER_UNION</x:v>
      </x:c>
    </x:row>
    <x:row r="468" ht="42" customHeight="1">
      <x:c r="A468" s="14" t="str">
        <x:v>API-264</x:v>
      </x:c>
      <x:c r="B468" s="6" t="str">
        <x:v>POST</x:v>
      </x:c>
      <x:c r="C468" s="6" t="str">
        <x:v>/api/v1/ideas</x:v>
      </x:c>
      <x:c r="D468" s="6" t="str">
        <x:v>USER MODE</x:v>
      </x:c>
      <x:c r="E468" s="6" t="str">
        <x:v>idea_demand</x:v>
      </x:c>
      <x:c r="F468" s="6" t="str">
        <x:v>create</x:v>
      </x:c>
      <x:c r="G468" s="6" t="str">
        <x:v>idea.create</x:v>
      </x:c>
      <x:c r="H468" s="6" t="str">
        <x:v>LIVE_ROUTER_REGISTERED</x:v>
      </x:c>
      <x:c r="I468" s="6" t="str">
        <x:v>frontend/src/features/idea-demand/api.ts</x:v>
      </x:c>
      <x:c r="J468" s="6" t="str">
        <x:v>NOT_EXECUTED_BY_INVENTORY. SOURCE_LITERAL_OR_TRANSITIVE_HELPER_UNION</x:v>
      </x:c>
    </x:row>
    <x:row r="469" ht="42" customHeight="1">
      <x:c r="A469" s="15" t="str">
        <x:v>API-265</x:v>
      </x:c>
      <x:c r="B469" s="13" t="str">
        <x:v>POST</x:v>
      </x:c>
      <x:c r="C469" s="13" t="str">
        <x:v>/api/v1/ideas/admin/configuration/preview</x:v>
      </x:c>
      <x:c r="D469" s="13" t="str">
        <x:v>ADMIN MODE</x:v>
      </x:c>
      <x:c r="E469" s="13" t="str">
        <x:v>idea_demand</x:v>
      </x:c>
      <x:c r="F469" s="13" t="str">
        <x:v>configuration preview</x:v>
      </x:c>
      <x:c r="G469" s="13" t="str">
        <x:v>idea.admin.configure</x:v>
      </x:c>
      <x:c r="H469" s="13" t="str">
        <x:v>LIVE_ROUTER_REGISTERED</x:v>
      </x:c>
      <x:c r="I469" s="13" t="str">
        <x:v>frontend/src/features/idea-demand/api.ts</x:v>
      </x:c>
      <x:c r="J469" s="13" t="str">
        <x:v>NOT_EXECUTED_BY_INVENTORY. SOURCE_LITERAL_OR_TRANSITIVE_HELPER_UNION</x:v>
      </x:c>
    </x:row>
    <x:row r="470" ht="42" customHeight="1">
      <x:c r="A470" s="14" t="str">
        <x:v>API-266</x:v>
      </x:c>
      <x:c r="B470" s="6" t="str">
        <x:v>GET</x:v>
      </x:c>
      <x:c r="C470" s="6" t="str">
        <x:v>/api/v1/ideas/admin/configurations/list</x:v>
      </x:c>
      <x:c r="D470" s="6" t="str">
        <x:v>ADMIN MODE</x:v>
      </x:c>
      <x:c r="E470" s="6" t="str">
        <x:v>idea_demand</x:v>
      </x:c>
      <x:c r="F470" s="6" t="str">
        <x:v>admin configurations</x:v>
      </x:c>
      <x:c r="G470" s="6" t="str">
        <x:v>idea.admin.configure</x:v>
      </x:c>
      <x:c r="H470" s="6" t="str">
        <x:v>LIVE_ROUTER_REGISTERED</x:v>
      </x:c>
      <x:c r="I470" s="6" t="str">
        <x:v>frontend/src/features/idea-demand/api.ts</x:v>
      </x:c>
      <x:c r="J470" s="6" t="str">
        <x:v>NOT_EXECUTED_BY_INVENTORY. SOURCE_LITERAL_OR_TRANSITIVE_HELPER_UNION</x:v>
      </x:c>
    </x:row>
    <x:row r="471" ht="42" customHeight="1">
      <x:c r="A471" s="15" t="str">
        <x:v>API-267</x:v>
      </x:c>
      <x:c r="B471" s="13" t="str">
        <x:v>PUT</x:v>
      </x:c>
      <x:c r="C471" s="13" t="str">
        <x:v>/api/v1/ideas/admin/configurations/{configuration_id}</x:v>
      </x:c>
      <x:c r="D471" s="13" t="str">
        <x:v>ADMIN MODE</x:v>
      </x:c>
      <x:c r="E471" s="13" t="str">
        <x:v>idea_demand</x:v>
      </x:c>
      <x:c r="F471" s="13" t="str">
        <x:v>update configuration</x:v>
      </x:c>
      <x:c r="G471" s="13" t="str">
        <x:v>idea.admin.configure</x:v>
      </x:c>
      <x:c r="H471" s="13" t="str">
        <x:v>LIVE_ROUTER_REGISTERED</x:v>
      </x:c>
      <x:c r="I471" s="13" t="str">
        <x:v>frontend/src/features/idea-demand/api.ts</x:v>
      </x:c>
      <x:c r="J471" s="13" t="str">
        <x:v>NOT_EXECUTED_BY_INVENTORY. SOURCE_LITERAL_OR_TRANSITIVE_HELPER_UNION</x:v>
      </x:c>
    </x:row>
    <x:row r="472" ht="42" customHeight="1">
      <x:c r="A472" s="14" t="str">
        <x:v>API-268</x:v>
      </x:c>
      <x:c r="B472" s="6" t="str">
        <x:v>POST</x:v>
      </x:c>
      <x:c r="C472" s="6" t="str">
        <x:v>/api/v1/ideas/admin/configurations/{configuration_id}/clone</x:v>
      </x:c>
      <x:c r="D472" s="6" t="str">
        <x:v>ADMIN MODE</x:v>
      </x:c>
      <x:c r="E472" s="6" t="str">
        <x:v>idea_demand</x:v>
      </x:c>
      <x:c r="F472" s="6" t="str">
        <x:v>clone configuration</x:v>
      </x:c>
      <x:c r="G472" s="6" t="str">
        <x:v>idea.admin.configure</x:v>
      </x:c>
      <x:c r="H472" s="6" t="str">
        <x:v>LIVE_ROUTER_REGISTERED</x:v>
      </x:c>
      <x:c r="I472" s="6" t="str">
        <x:v>frontend/src/features/idea-demand/api.ts</x:v>
      </x:c>
      <x:c r="J472" s="6" t="str">
        <x:v>NOT_EXECUTED_BY_INVENTORY. SOURCE_LITERAL_OR_TRANSITIVE_HELPER_UNION</x:v>
      </x:c>
    </x:row>
    <x:row r="473" ht="42" customHeight="1">
      <x:c r="A473" s="15" t="str">
        <x:v>API-269</x:v>
      </x:c>
      <x:c r="B473" s="13" t="str">
        <x:v>POST</x:v>
      </x:c>
      <x:c r="C473" s="13" t="str">
        <x:v>/api/v1/ideas/admin/configurations/{configuration_id}/publish</x:v>
      </x:c>
      <x:c r="D473" s="13" t="str">
        <x:v>ADMIN MODE</x:v>
      </x:c>
      <x:c r="E473" s="13" t="str">
        <x:v>idea_demand</x:v>
      </x:c>
      <x:c r="F473" s="13" t="str">
        <x:v>publish configuration</x:v>
      </x:c>
      <x:c r="G473" s="13" t="str">
        <x:v>idea.admin.publish</x:v>
      </x:c>
      <x:c r="H473" s="13" t="str">
        <x:v>LIVE_ROUTER_REGISTERED</x:v>
      </x:c>
      <x:c r="I473" s="13" t="str">
        <x:v>frontend/src/features/idea-demand/api.ts</x:v>
      </x:c>
      <x:c r="J473" s="13" t="str">
        <x:v>NOT_EXECUTED_BY_INVENTORY. SOURCE_LITERAL_OR_TRANSITIVE_HELPER_UNION</x:v>
      </x:c>
    </x:row>
    <x:row r="474" ht="42" customHeight="1">
      <x:c r="A474" s="14" t="str">
        <x:v>API-270</x:v>
      </x:c>
      <x:c r="B474" s="6" t="str">
        <x:v>GET</x:v>
      </x:c>
      <x:c r="C474" s="6" t="str">
        <x:v>/api/v1/ideas/options</x:v>
      </x:c>
      <x:c r="D474" s="6" t="str">
        <x:v>READ-ONLY SHARED CONTEXT</x:v>
      </x:c>
      <x:c r="E474" s="6" t="str">
        <x:v>idea_demand</x:v>
      </x:c>
      <x:c r="F474" s="6" t="str">
        <x:v>options</x:v>
      </x:c>
      <x:c r="G474" s="6" t="str">
        <x:v>idea.create</x:v>
      </x:c>
      <x:c r="H474" s="6" t="str">
        <x:v>LIVE_ROUTER_REGISTERED</x:v>
      </x:c>
      <x:c r="I474" s="6" t="str">
        <x:v>NO_DIRECT_LITERAL_MATCH_NOT_PROOF_UNUSED</x:v>
      </x:c>
      <x:c r="J474" s="6" t="str">
        <x:v>NOT_EXECUTED_BY_INVENTORY. SOURCE_LITERAL_OR_TRANSITIVE_HELPER_UNION</x:v>
      </x:c>
    </x:row>
    <x:row r="475" ht="42" customHeight="1">
      <x:c r="A475" s="15" t="str">
        <x:v>API-271</x:v>
      </x:c>
      <x:c r="B475" s="13" t="str">
        <x:v>GET</x:v>
      </x:c>
      <x:c r="C475" s="13" t="str">
        <x:v>/api/v1/ideas/{idea_id}</x:v>
      </x:c>
      <x:c r="D475" s="13" t="str">
        <x:v>READ-ONLY SHARED CONTEXT</x:v>
      </x:c>
      <x:c r="E475" s="13" t="str">
        <x:v>idea_demand</x:v>
      </x:c>
      <x:c r="F475" s="13" t="str">
        <x:v>get idea</x:v>
      </x:c>
      <x:c r="G475" s="13" t="str">
        <x:v>idea.read</x:v>
      </x:c>
      <x:c r="H475" s="13" t="str">
        <x:v>LIVE_ROUTER_REGISTERED</x:v>
      </x:c>
      <x:c r="I475" s="13" t="str">
        <x:v>frontend/src/features/idea-demand/api.ts</x:v>
      </x:c>
      <x:c r="J475" s="13" t="str">
        <x:v>NOT_EXECUTED_BY_INVENTORY. SOURCE_LITERAL_OR_TRANSITIVE_HELPER_UNION</x:v>
      </x:c>
    </x:row>
    <x:row r="476" ht="42" customHeight="1">
      <x:c r="A476" s="14" t="str">
        <x:v>API-272</x:v>
      </x:c>
      <x:c r="B476" s="6" t="str">
        <x:v>PUT</x:v>
      </x:c>
      <x:c r="C476" s="6" t="str">
        <x:v>/api/v1/ideas/{idea_id}</x:v>
      </x:c>
      <x:c r="D476" s="6" t="str">
        <x:v>USER MODE</x:v>
      </x:c>
      <x:c r="E476" s="6" t="str">
        <x:v>idea_demand</x:v>
      </x:c>
      <x:c r="F476" s="6" t="str">
        <x:v>update idea</x:v>
      </x:c>
      <x:c r="G476" s="6" t="str">
        <x:v>idea.edit</x:v>
      </x:c>
      <x:c r="H476" s="6" t="str">
        <x:v>LIVE_ROUTER_REGISTERED</x:v>
      </x:c>
      <x:c r="I476" s="6" t="str">
        <x:v>frontend/src/features/idea-demand/api.ts</x:v>
      </x:c>
      <x:c r="J476" s="6" t="str">
        <x:v>NOT_EXECUTED_BY_INVENTORY. SOURCE_LITERAL_OR_TRANSITIVE_HELPER_UNION</x:v>
      </x:c>
    </x:row>
    <x:row r="477" ht="42" customHeight="1">
      <x:c r="A477" s="15" t="str">
        <x:v>API-273</x:v>
      </x:c>
      <x:c r="B477" s="13" t="str">
        <x:v>POST</x:v>
      </x:c>
      <x:c r="C477" s="13" t="str">
        <x:v>/api/v1/ideas/{idea_id}/assign-owner</x:v>
      </x:c>
      <x:c r="D477" s="13" t="str">
        <x:v>USER MODE</x:v>
      </x:c>
      <x:c r="E477" s="13" t="str">
        <x:v>idea_demand</x:v>
      </x:c>
      <x:c r="F477" s="13" t="str">
        <x:v>assign owner</x:v>
      </x:c>
      <x:c r="G477" s="13" t="str">
        <x:v>idea.assign_owner</x:v>
      </x:c>
      <x:c r="H477" s="13" t="str">
        <x:v>LIVE_ROUTER_REGISTERED</x:v>
      </x:c>
      <x:c r="I477" s="13" t="str">
        <x:v>NO_DIRECT_LITERAL_MATCH_NOT_PROOF_UNUSED</x:v>
      </x:c>
      <x:c r="J477" s="13" t="str">
        <x:v>NOT_EXECUTED_BY_INVENTORY. SOURCE_LITERAL_OR_TRANSITIVE_HELPER_UNION</x:v>
      </x:c>
    </x:row>
    <x:row r="478" ht="42" customHeight="1">
      <x:c r="A478" s="14" t="str">
        <x:v>API-274</x:v>
      </x:c>
      <x:c r="B478" s="6" t="str">
        <x:v>POST</x:v>
      </x:c>
      <x:c r="C478" s="6" t="str">
        <x:v>/api/v1/ideas/{idea_id}/evaluation/complete</x:v>
      </x:c>
      <x:c r="D478" s="6" t="str">
        <x:v>USER MODE</x:v>
      </x:c>
      <x:c r="E478" s="6" t="str">
        <x:v>idea_demand</x:v>
      </x:c>
      <x:c r="F478" s="6" t="str">
        <x:v>complete evaluation</x:v>
      </x:c>
      <x:c r="G478" s="6" t="str">
        <x:v>idea.evaluate</x:v>
      </x:c>
      <x:c r="H478" s="6" t="str">
        <x:v>LIVE_ROUTER_REGISTERED</x:v>
      </x:c>
      <x:c r="I478" s="6" t="str">
        <x:v>NO_DIRECT_LITERAL_MATCH_NOT_PROOF_UNUSED</x:v>
      </x:c>
      <x:c r="J478" s="6" t="str">
        <x:v>NOT_EXECUTED_BY_INVENTORY. SOURCE_LITERAL_OR_TRANSITIVE_HELPER_UNION</x:v>
      </x:c>
    </x:row>
    <x:row r="479" ht="42" customHeight="1">
      <x:c r="A479" s="15" t="str">
        <x:v>API-275</x:v>
      </x:c>
      <x:c r="B479" s="13" t="str">
        <x:v>GET</x:v>
      </x:c>
      <x:c r="C479" s="13" t="str">
        <x:v>/api/v1/ideas/{idea_id}/history</x:v>
      </x:c>
      <x:c r="D479" s="13" t="str">
        <x:v>READ-ONLY SHARED CONTEXT</x:v>
      </x:c>
      <x:c r="E479" s="13" t="str">
        <x:v>idea_demand</x:v>
      </x:c>
      <x:c r="F479" s="13" t="str">
        <x:v>history</x:v>
      </x:c>
      <x:c r="G479" s="13" t="str">
        <x:v>idea.read</x:v>
      </x:c>
      <x:c r="H479" s="13" t="str">
        <x:v>LIVE_ROUTER_REGISTERED</x:v>
      </x:c>
      <x:c r="I479" s="13" t="str">
        <x:v>NO_DIRECT_LITERAL_MATCH_NOT_PROOF_UNUSED</x:v>
      </x:c>
      <x:c r="J479" s="13" t="str">
        <x:v>NOT_EXECUTED_BY_INVENTORY. SOURCE_LITERAL_OR_TRANSITIVE_HELPER_UNION</x:v>
      </x:c>
    </x:row>
    <x:row r="480" ht="42" customHeight="1">
      <x:c r="A480" s="14" t="str">
        <x:v>API-276</x:v>
      </x:c>
      <x:c r="B480" s="6" t="str">
        <x:v>GET</x:v>
      </x:c>
      <x:c r="C480" s="6" t="str">
        <x:v>/api/v1/ideas/{idea_id}/proposal-readiness</x:v>
      </x:c>
      <x:c r="D480" s="6" t="str">
        <x:v>READ-ONLY SHARED CONTEXT</x:v>
      </x:c>
      <x:c r="E480" s="6" t="str">
        <x:v>idea_demand</x:v>
      </x:c>
      <x:c r="F480" s="6" t="str">
        <x:v>readiness</x:v>
      </x:c>
      <x:c r="G480" s="6" t="str">
        <x:v>idea.read</x:v>
      </x:c>
      <x:c r="H480" s="6" t="str">
        <x:v>LIVE_ROUTER_REGISTERED</x:v>
      </x:c>
      <x:c r="I480" s="6" t="str">
        <x:v>NO_DIRECT_LITERAL_MATCH_NOT_PROOF_UNUSED</x:v>
      </x:c>
      <x:c r="J480" s="6" t="str">
        <x:v>NOT_EXECUTED_BY_INVENTORY. SOURCE_LITERAL_OR_TRANSITIVE_HELPER_UNION</x:v>
      </x:c>
    </x:row>
    <x:row r="481" ht="42" customHeight="1">
      <x:c r="A481" s="15" t="str">
        <x:v>API-277</x:v>
      </x:c>
      <x:c r="B481" s="13" t="str">
        <x:v>POST</x:v>
      </x:c>
      <x:c r="C481" s="13" t="str">
        <x:v>/api/v1/ideas/{idea_id}/route</x:v>
      </x:c>
      <x:c r="D481" s="13" t="str">
        <x:v>USER MODE</x:v>
      </x:c>
      <x:c r="E481" s="13" t="str">
        <x:v>idea_demand</x:v>
      </x:c>
      <x:c r="F481" s="13" t="str">
        <x:v>route</x:v>
      </x:c>
      <x:c r="G481" s="13" t="str">
        <x:v>idea.route</x:v>
      </x:c>
      <x:c r="H481" s="13" t="str">
        <x:v>LIVE_ROUTER_REGISTERED</x:v>
      </x:c>
      <x:c r="I481" s="13" t="str">
        <x:v>NO_DIRECT_LITERAL_MATCH_NOT_PROOF_UNUSED</x:v>
      </x:c>
      <x:c r="J481" s="13" t="str">
        <x:v>NOT_EXECUTED_BY_INVENTORY. SOURCE_LITERAL_OR_TRANSITIVE_HELPER_UNION</x:v>
      </x:c>
    </x:row>
    <x:row r="482" ht="42" customHeight="1">
      <x:c r="A482" s="14" t="str">
        <x:v>API-278</x:v>
      </x:c>
      <x:c r="B482" s="6" t="str">
        <x:v>POST</x:v>
      </x:c>
      <x:c r="C482" s="6" t="str">
        <x:v>/api/v1/ideas/{idea_id}/screen</x:v>
      </x:c>
      <x:c r="D482" s="6" t="str">
        <x:v>USER MODE</x:v>
      </x:c>
      <x:c r="E482" s="6" t="str">
        <x:v>idea_demand</x:v>
      </x:c>
      <x:c r="F482" s="6" t="str">
        <x:v>screen</x:v>
      </x:c>
      <x:c r="G482" s="6" t="str">
        <x:v>idea.screen</x:v>
      </x:c>
      <x:c r="H482" s="6" t="str">
        <x:v>LIVE_ROUTER_REGISTERED</x:v>
      </x:c>
      <x:c r="I482" s="6" t="str">
        <x:v>NO_DIRECT_LITERAL_MATCH_NOT_PROOF_UNUSED</x:v>
      </x:c>
      <x:c r="J482" s="6" t="str">
        <x:v>NOT_EXECUTED_BY_INVENTORY. SOURCE_LITERAL_OR_TRANSITIVE_HELPER_UNION</x:v>
      </x:c>
    </x:row>
    <x:row r="483" ht="42" customHeight="1">
      <x:c r="A483" s="15" t="str">
        <x:v>API-279</x:v>
      </x:c>
      <x:c r="B483" s="13" t="str">
        <x:v>GET</x:v>
      </x:c>
      <x:c r="C483" s="13" t="str">
        <x:v>/api/v1/investment-decision/admin/configurations</x:v>
      </x:c>
      <x:c r="D483" s="13" t="str">
        <x:v>ADMIN MODE</x:v>
      </x:c>
      <x:c r="E483" s="13" t="str">
        <x:v>investment_decision</x:v>
      </x:c>
      <x:c r="F483" s="13" t="str">
        <x:v>configurations</x:v>
      </x:c>
      <x:c r="G483" s="13" t="str">
        <x:v>investment_decision.admin.configure</x:v>
      </x:c>
      <x:c r="H483" s="13" t="str">
        <x:v>LIVE_ROUTER_REGISTERED</x:v>
      </x:c>
      <x:c r="I483" s="13" t="str">
        <x:v>frontend/src/features/investment-decision/api.ts</x:v>
      </x:c>
      <x:c r="J483" s="13" t="str">
        <x:v>NOT_EXECUTED_BY_INVENTORY. SOURCE_LITERAL_OR_TRANSITIVE_HELPER_UNION</x:v>
      </x:c>
    </x:row>
    <x:row r="484" ht="42" customHeight="1">
      <x:c r="A484" s="14" t="str">
        <x:v>API-280</x:v>
      </x:c>
      <x:c r="B484" s="6" t="str">
        <x:v>POST</x:v>
      </x:c>
      <x:c r="C484" s="6" t="str">
        <x:v>/api/v1/investment-decision/admin/configurations/preview</x:v>
      </x:c>
      <x:c r="D484" s="6" t="str">
        <x:v>ADMIN MODE</x:v>
      </x:c>
      <x:c r="E484" s="6" t="str">
        <x:v>investment_decision</x:v>
      </x:c>
      <x:c r="F484" s="6" t="str">
        <x:v>configuration preview</x:v>
      </x:c>
      <x:c r="G484" s="6" t="str">
        <x:v>investment_decision.admin.configure</x:v>
      </x:c>
      <x:c r="H484" s="6" t="str">
        <x:v>LIVE_ROUTER_REGISTERED</x:v>
      </x:c>
      <x:c r="I484" s="6" t="str">
        <x:v>frontend/src/features/investment-decision/api.ts</x:v>
      </x:c>
      <x:c r="J484" s="6" t="str">
        <x:v>NOT_EXECUTED_BY_INVENTORY. SOURCE_LITERAL_OR_TRANSITIVE_HELPER_UNION</x:v>
      </x:c>
    </x:row>
    <x:row r="485" ht="42" customHeight="1">
      <x:c r="A485" s="15" t="str">
        <x:v>API-281</x:v>
      </x:c>
      <x:c r="B485" s="13" t="str">
        <x:v>PUT</x:v>
      </x:c>
      <x:c r="C485" s="13" t="str">
        <x:v>/api/v1/investment-decision/admin/configurations/{configuration_id}</x:v>
      </x:c>
      <x:c r="D485" s="13" t="str">
        <x:v>ADMIN MODE</x:v>
      </x:c>
      <x:c r="E485" s="13" t="str">
        <x:v>investment_decision</x:v>
      </x:c>
      <x:c r="F485" s="13" t="str">
        <x:v>update configuration</x:v>
      </x:c>
      <x:c r="G485" s="13" t="str">
        <x:v>investment_decision.admin.configure</x:v>
      </x:c>
      <x:c r="H485" s="13" t="str">
        <x:v>LIVE_ROUTER_REGISTERED</x:v>
      </x:c>
      <x:c r="I485" s="13" t="str">
        <x:v>frontend/src/features/investment-decision/api.ts</x:v>
      </x:c>
      <x:c r="J485" s="13" t="str">
        <x:v>NOT_EXECUTED_BY_INVENTORY. SOURCE_LITERAL_OR_TRANSITIVE_HELPER_UNION</x:v>
      </x:c>
    </x:row>
    <x:row r="486" ht="42" customHeight="1">
      <x:c r="A486" s="14" t="str">
        <x:v>API-282</x:v>
      </x:c>
      <x:c r="B486" s="6" t="str">
        <x:v>POST</x:v>
      </x:c>
      <x:c r="C486" s="6" t="str">
        <x:v>/api/v1/investment-decision/admin/configurations/{configuration_id}/clone</x:v>
      </x:c>
      <x:c r="D486" s="6" t="str">
        <x:v>ADMIN MODE</x:v>
      </x:c>
      <x:c r="E486" s="6" t="str">
        <x:v>investment_decision</x:v>
      </x:c>
      <x:c r="F486" s="6" t="str">
        <x:v>clone configuration</x:v>
      </x:c>
      <x:c r="G486" s="6" t="str">
        <x:v>investment_decision.admin.configure</x:v>
      </x:c>
      <x:c r="H486" s="6" t="str">
        <x:v>LIVE_ROUTER_REGISTERED</x:v>
      </x:c>
      <x:c r="I486" s="6" t="str">
        <x:v>frontend/src/features/investment-decision/api.ts</x:v>
      </x:c>
      <x:c r="J486" s="6" t="str">
        <x:v>NOT_EXECUTED_BY_INVENTORY. SOURCE_LITERAL_OR_TRANSITIVE_HELPER_UNION</x:v>
      </x:c>
    </x:row>
    <x:row r="487" ht="42" customHeight="1">
      <x:c r="A487" s="15" t="str">
        <x:v>API-283</x:v>
      </x:c>
      <x:c r="B487" s="13" t="str">
        <x:v>POST</x:v>
      </x:c>
      <x:c r="C487" s="13" t="str">
        <x:v>/api/v1/investment-decision/admin/configurations/{configuration_id}/publish</x:v>
      </x:c>
      <x:c r="D487" s="13" t="str">
        <x:v>ADMIN MODE</x:v>
      </x:c>
      <x:c r="E487" s="13" t="str">
        <x:v>investment_decision</x:v>
      </x:c>
      <x:c r="F487" s="13" t="str">
        <x:v>publish configuration</x:v>
      </x:c>
      <x:c r="G487" s="13" t="str">
        <x:v>investment_decision.admin.publish</x:v>
      </x:c>
      <x:c r="H487" s="13" t="str">
        <x:v>LIVE_ROUTER_REGISTERED</x:v>
      </x:c>
      <x:c r="I487" s="13" t="str">
        <x:v>frontend/src/features/investment-decision/api.ts</x:v>
      </x:c>
      <x:c r="J487" s="13" t="str">
        <x:v>NOT_EXECUTED_BY_INVENTORY. SOURCE_LITERAL_OR_TRANSITIVE_HELPER_UNION</x:v>
      </x:c>
    </x:row>
    <x:row r="488" ht="42" customHeight="1">
      <x:c r="A488" s="14" t="str">
        <x:v>API-284</x:v>
      </x:c>
      <x:c r="B488" s="6" t="str">
        <x:v>GET</x:v>
      </x:c>
      <x:c r="C488" s="6" t="str">
        <x:v>/api/v1/investment-decisions</x:v>
      </x:c>
      <x:c r="D488" s="6" t="str">
        <x:v>READ-ONLY SHARED CONTEXT</x:v>
      </x:c>
      <x:c r="E488" s="6" t="str">
        <x:v>investment_decision</x:v>
      </x:c>
      <x:c r="F488" s="6" t="str">
        <x:v>decisions</x:v>
      </x:c>
      <x:c r="G488" s="6" t="str">
        <x:v>investment_decision.read</x:v>
      </x:c>
      <x:c r="H488" s="6" t="str">
        <x:v>LIVE_ROUTER_REGISTERED</x:v>
      </x:c>
      <x:c r="I488" s="6" t="str">
        <x:v>frontend/src/features/investment-decision/api.ts</x:v>
      </x:c>
      <x:c r="J488" s="6" t="str">
        <x:v>NOT_EXECUTED_BY_INVENTORY. SOURCE_LITERAL_OR_TRANSITIVE_HELPER_UNION</x:v>
      </x:c>
    </x:row>
    <x:row r="489" ht="42" customHeight="1">
      <x:c r="A489" s="15" t="str">
        <x:v>API-285</x:v>
      </x:c>
      <x:c r="B489" s="13" t="str">
        <x:v>POST</x:v>
      </x:c>
      <x:c r="C489" s="13" t="str">
        <x:v>/api/v1/investment-decisions</x:v>
      </x:c>
      <x:c r="D489" s="13" t="str">
        <x:v>USER MODE</x:v>
      </x:c>
      <x:c r="E489" s="13" t="str">
        <x:v>investment_decision</x:v>
      </x:c>
      <x:c r="F489" s="13" t="str">
        <x:v>create decision</x:v>
      </x:c>
      <x:c r="G489" s="13" t="str">
        <x:v>investment_decision.create</x:v>
      </x:c>
      <x:c r="H489" s="13" t="str">
        <x:v>LIVE_ROUTER_REGISTERED</x:v>
      </x:c>
      <x:c r="I489" s="13" t="str">
        <x:v>frontend/src/features/investment-decision/api.ts</x:v>
      </x:c>
      <x:c r="J489" s="13" t="str">
        <x:v>NOT_EXECUTED_BY_INVENTORY. SOURCE_LITERAL_OR_TRANSITIVE_HELPER_UNION</x:v>
      </x:c>
    </x:row>
    <x:row r="490" ht="42" customHeight="1">
      <x:c r="A490" s="14" t="str">
        <x:v>API-286</x:v>
      </x:c>
      <x:c r="B490" s="6" t="str">
        <x:v>GET</x:v>
      </x:c>
      <x:c r="C490" s="6" t="str">
        <x:v>/api/v1/investment-decisions/{decision_id}</x:v>
      </x:c>
      <x:c r="D490" s="6" t="str">
        <x:v>READ-ONLY SHARED CONTEXT</x:v>
      </x:c>
      <x:c r="E490" s="6" t="str">
        <x:v>investment_decision</x:v>
      </x:c>
      <x:c r="F490" s="6" t="str">
        <x:v>decision</x:v>
      </x:c>
      <x:c r="G490" s="6" t="str">
        <x:v>investment_decision.read</x:v>
      </x:c>
      <x:c r="H490" s="6" t="str">
        <x:v>LIVE_ROUTER_REGISTERED</x:v>
      </x:c>
      <x:c r="I490" s="6" t="str">
        <x:v>frontend/src/features/investment-decision/api.ts</x:v>
      </x:c>
      <x:c r="J490" s="6" t="str">
        <x:v>NOT_EXECUTED_BY_INVENTORY. SOURCE_LITERAL_OR_TRANSITIVE_HELPER_UNION</x:v>
      </x:c>
    </x:row>
    <x:row r="491" ht="42" customHeight="1">
      <x:c r="A491" s="15" t="str">
        <x:v>API-287</x:v>
      </x:c>
      <x:c r="B491" s="13" t="str">
        <x:v>PUT</x:v>
      </x:c>
      <x:c r="C491" s="13" t="str">
        <x:v>/api/v1/investment-decisions/{decision_id}</x:v>
      </x:c>
      <x:c r="D491" s="13" t="str">
        <x:v>USER MODE</x:v>
      </x:c>
      <x:c r="E491" s="13" t="str">
        <x:v>investment_decision</x:v>
      </x:c>
      <x:c r="F491" s="13" t="str">
        <x:v>update decision</x:v>
      </x:c>
      <x:c r="G491" s="13" t="str">
        <x:v>investment_decision.edit</x:v>
      </x:c>
      <x:c r="H491" s="13" t="str">
        <x:v>LIVE_ROUTER_REGISTERED</x:v>
      </x:c>
      <x:c r="I491" s="13" t="str">
        <x:v>frontend/src/features/investment-decision/api.ts</x:v>
      </x:c>
      <x:c r="J491" s="13" t="str">
        <x:v>NOT_EXECUTED_BY_INVENTORY. SOURCE_LITERAL_OR_TRANSITIVE_HELPER_UNION</x:v>
      </x:c>
    </x:row>
    <x:row r="492" ht="42" customHeight="1">
      <x:c r="A492" s="14" t="str">
        <x:v>API-288</x:v>
      </x:c>
      <x:c r="B492" s="6" t="str">
        <x:v>GET</x:v>
      </x:c>
      <x:c r="C492" s="6" t="str">
        <x:v>/api/v1/investment-decisions/{decision_id}/authorization-output</x:v>
      </x:c>
      <x:c r="D492" s="6" t="str">
        <x:v>READ-ONLY SHARED CONTEXT</x:v>
      </x:c>
      <x:c r="E492" s="6" t="str">
        <x:v>investment_decision</x:v>
      </x:c>
      <x:c r="F492" s="6" t="str">
        <x:v>authorization output</x:v>
      </x:c>
      <x:c r="G492" s="6" t="str">
        <x:v>investment_decision.read</x:v>
      </x:c>
      <x:c r="H492" s="6" t="str">
        <x:v>LIVE_ROUTER_REGISTERED</x:v>
      </x:c>
      <x:c r="I492" s="6" t="str">
        <x:v>NO_DIRECT_LITERAL_MATCH_NOT_PROOF_UNUSED</x:v>
      </x:c>
      <x:c r="J492" s="6" t="str">
        <x:v>NOT_EXECUTED_BY_INVENTORY. SOURCE_LITERAL_OR_TRANSITIVE_HELPER_UNION</x:v>
      </x:c>
    </x:row>
    <x:row r="493" ht="42" customHeight="1">
      <x:c r="A493" s="15" t="str">
        <x:v>API-289</x:v>
      </x:c>
      <x:c r="B493" s="13" t="str">
        <x:v>GET</x:v>
      </x:c>
      <x:c r="C493" s="13" t="str">
        <x:v>/api/v1/investment-decisions/{decision_id}/committee</x:v>
      </x:c>
      <x:c r="D493" s="13" t="str">
        <x:v>READ-ONLY SHARED CONTEXT</x:v>
      </x:c>
      <x:c r="E493" s="13" t="str">
        <x:v>investment_decision</x:v>
      </x:c>
      <x:c r="F493" s="13" t="str">
        <x:v>committee</x:v>
      </x:c>
      <x:c r="G493" s="13" t="str">
        <x:v>investment_decision.read</x:v>
      </x:c>
      <x:c r="H493" s="13" t="str">
        <x:v>LIVE_ROUTER_REGISTERED</x:v>
      </x:c>
      <x:c r="I493" s="13" t="str">
        <x:v>NO_DIRECT_LITERAL_MATCH_NOT_PROOF_UNUSED</x:v>
      </x:c>
      <x:c r="J493" s="13" t="str">
        <x:v>NOT_EXECUTED_BY_INVENTORY. SOURCE_LITERAL_OR_TRANSITIVE_HELPER_UNION</x:v>
      </x:c>
    </x:row>
    <x:row r="494" ht="42" customHeight="1">
      <x:c r="A494" s="14" t="str">
        <x:v>API-290</x:v>
      </x:c>
      <x:c r="B494" s="6" t="str">
        <x:v>POST</x:v>
      </x:c>
      <x:c r="C494" s="6" t="str">
        <x:v>/api/v1/investment-decisions/{decision_id}/decide</x:v>
      </x:c>
      <x:c r="D494" s="6" t="str">
        <x:v>USER MODE</x:v>
      </x:c>
      <x:c r="E494" s="6" t="str">
        <x:v>investment_decision</x:v>
      </x:c>
      <x:c r="F494" s="6" t="str">
        <x:v>decide</x:v>
      </x:c>
      <x:c r="G494" s="6" t="str">
        <x:v>investment_decision.decide</x:v>
      </x:c>
      <x:c r="H494" s="6" t="str">
        <x:v>LIVE_ROUTER_REGISTERED</x:v>
      </x:c>
      <x:c r="I494" s="6" t="str">
        <x:v>frontend/src/features/investment-decision/api.ts</x:v>
      </x:c>
      <x:c r="J494" s="6" t="str">
        <x:v>NOT_EXECUTED_BY_INVENTORY. SOURCE_LITERAL_OR_TRANSITIVE_HELPER_UNION</x:v>
      </x:c>
    </x:row>
    <x:row r="495" ht="42" customHeight="1">
      <x:c r="A495" s="15" t="str">
        <x:v>API-291</x:v>
      </x:c>
      <x:c r="B495" s="13" t="str">
        <x:v>GET</x:v>
      </x:c>
      <x:c r="C495" s="13" t="str">
        <x:v>/api/v1/investment-decisions/{decision_id}/history</x:v>
      </x:c>
      <x:c r="D495" s="13" t="str">
        <x:v>READ-ONLY SHARED CONTEXT</x:v>
      </x:c>
      <x:c r="E495" s="13" t="str">
        <x:v>investment_decision</x:v>
      </x:c>
      <x:c r="F495" s="13" t="str">
        <x:v>history</x:v>
      </x:c>
      <x:c r="G495" s="13" t="str">
        <x:v>investment_decision.read</x:v>
      </x:c>
      <x:c r="H495" s="13" t="str">
        <x:v>LIVE_ROUTER_REGISTERED</x:v>
      </x:c>
      <x:c r="I495" s="13" t="str">
        <x:v>frontend/src/features/investment-decision/api.ts</x:v>
      </x:c>
      <x:c r="J495" s="13" t="str">
        <x:v>NOT_EXECUTED_BY_INVENTORY. SOURCE_LITERAL_OR_TRANSITIVE_HELPER_UNION</x:v>
      </x:c>
    </x:row>
    <x:row r="496" ht="42" customHeight="1">
      <x:c r="A496" s="14" t="str">
        <x:v>API-292</x:v>
      </x:c>
      <x:c r="B496" s="6" t="str">
        <x:v>GET</x:v>
      </x:c>
      <x:c r="C496" s="6" t="str">
        <x:v>/api/v1/investment-decisions/{decision_id}/package</x:v>
      </x:c>
      <x:c r="D496" s="6" t="str">
        <x:v>READ-ONLY SHARED CONTEXT</x:v>
      </x:c>
      <x:c r="E496" s="6" t="str">
        <x:v>investment_decision</x:v>
      </x:c>
      <x:c r="F496" s="6" t="str">
        <x:v>package</x:v>
      </x:c>
      <x:c r="G496" s="6" t="str">
        <x:v>investment_decision.read</x:v>
      </x:c>
      <x:c r="H496" s="6" t="str">
        <x:v>LIVE_ROUTER_REGISTERED</x:v>
      </x:c>
      <x:c r="I496" s="6" t="str">
        <x:v>NO_DIRECT_LITERAL_MATCH_NOT_PROOF_UNUSED</x:v>
      </x:c>
      <x:c r="J496" s="6" t="str">
        <x:v>NOT_EXECUTED_BY_INVENTORY. SOURCE_LITERAL_OR_TRANSITIVE_HELPER_UNION</x:v>
      </x:c>
    </x:row>
    <x:row r="497" ht="42" customHeight="1">
      <x:c r="A497" s="15" t="str">
        <x:v>API-293</x:v>
      </x:c>
      <x:c r="B497" s="13" t="str">
        <x:v>GET</x:v>
      </x:c>
      <x:c r="C497" s="13" t="str">
        <x:v>/api/v1/investment-decisions/{decision_id}/readiness</x:v>
      </x:c>
      <x:c r="D497" s="13" t="str">
        <x:v>READ-ONLY SHARED CONTEXT</x:v>
      </x:c>
      <x:c r="E497" s="13" t="str">
        <x:v>investment_decision</x:v>
      </x:c>
      <x:c r="F497" s="13" t="str">
        <x:v>readiness</x:v>
      </x:c>
      <x:c r="G497" s="13" t="str">
        <x:v>investment_decision.read</x:v>
      </x:c>
      <x:c r="H497" s="13" t="str">
        <x:v>LIVE_ROUTER_REGISTERED</x:v>
      </x:c>
      <x:c r="I497" s="13" t="str">
        <x:v>NO_DIRECT_LITERAL_MATCH_NOT_PROOF_UNUSED</x:v>
      </x:c>
      <x:c r="J497" s="13" t="str">
        <x:v>NOT_EXECUTED_BY_INVENTORY. SOURCE_LITERAL_OR_TRANSITIVE_HELPER_UNION</x:v>
      </x:c>
    </x:row>
    <x:row r="498" ht="42" customHeight="1">
      <x:c r="A498" s="14" t="str">
        <x:v>API-294</x:v>
      </x:c>
      <x:c r="B498" s="6" t="str">
        <x:v>POST</x:v>
      </x:c>
      <x:c r="C498" s="6" t="str">
        <x:v>/api/v1/investment-decisions/{decision_id}/ready</x:v>
      </x:c>
      <x:c r="D498" s="6" t="str">
        <x:v>USER MODE</x:v>
      </x:c>
      <x:c r="E498" s="6" t="str">
        <x:v>investment_decision</x:v>
      </x:c>
      <x:c r="F498" s="6" t="str">
        <x:v>ready decision</x:v>
      </x:c>
      <x:c r="G498" s="6" t="str">
        <x:v>investment_decision.review</x:v>
      </x:c>
      <x:c r="H498" s="6" t="str">
        <x:v>LIVE_ROUTER_REGISTERED</x:v>
      </x:c>
      <x:c r="I498" s="6" t="str">
        <x:v>frontend/src/features/investment-decision/api.ts</x:v>
      </x:c>
      <x:c r="J498" s="6" t="str">
        <x:v>NOT_EXECUTED_BY_INVENTORY. SOURCE_LITERAL_OR_TRANSITIVE_HELPER_UNION</x:v>
      </x:c>
    </x:row>
    <x:row r="499" ht="42" customHeight="1">
      <x:c r="A499" s="15" t="str">
        <x:v>API-295</x:v>
      </x:c>
      <x:c r="B499" s="13" t="str">
        <x:v>POST</x:v>
      </x:c>
      <x:c r="C499" s="13" t="str">
        <x:v>/api/v1/investment-decisions/{decision_id}/start-review</x:v>
      </x:c>
      <x:c r="D499" s="13" t="str">
        <x:v>USER MODE</x:v>
      </x:c>
      <x:c r="E499" s="13" t="str">
        <x:v>investment_decision</x:v>
      </x:c>
      <x:c r="F499" s="13" t="str">
        <x:v>start review</x:v>
      </x:c>
      <x:c r="G499" s="13" t="str">
        <x:v>HELPER_OR_SERVICE_AUTHORIZATION_REQUIRES_REVIEW</x:v>
      </x:c>
      <x:c r="H499" s="13" t="str">
        <x:v>LIVE_ROUTER_REGISTERED</x:v>
      </x:c>
      <x:c r="I499" s="13" t="str">
        <x:v>NO_DIRECT_LITERAL_MATCH_NOT_PROOF_UNUSED</x:v>
      </x:c>
      <x:c r="J499" s="13" t="str">
        <x:v>NOT_EXECUTED_BY_INVENTORY. SOURCE_LITERAL_OR_TRANSITIVE_HELPER_UNION</x:v>
      </x:c>
    </x:row>
    <x:row r="500" ht="42" customHeight="1">
      <x:c r="A500" s="14" t="str">
        <x:v>API-296</x:v>
      </x:c>
      <x:c r="B500" s="6" t="str">
        <x:v>POST</x:v>
      </x:c>
      <x:c r="C500" s="6" t="str">
        <x:v>/api/v1/investment-decisions/{decision_id}/submit</x:v>
      </x:c>
      <x:c r="D500" s="6" t="str">
        <x:v>USER MODE</x:v>
      </x:c>
      <x:c r="E500" s="6" t="str">
        <x:v>investment_decision</x:v>
      </x:c>
      <x:c r="F500" s="6" t="str">
        <x:v>submit decision</x:v>
      </x:c>
      <x:c r="G500" s="6" t="str">
        <x:v>HELPER_OR_SERVICE_AUTHORIZATION_REQUIRES_REVIEW</x:v>
      </x:c>
      <x:c r="H500" s="6" t="str">
        <x:v>LIVE_ROUTER_REGISTERED</x:v>
      </x:c>
      <x:c r="I500" s="6" t="str">
        <x:v>NO_DIRECT_LITERAL_MATCH_NOT_PROOF_UNUSED</x:v>
      </x:c>
      <x:c r="J500" s="6" t="str">
        <x:v>NOT_EXECUTED_BY_INVENTORY. SOURCE_LITERAL_OR_TRANSITIVE_HELPER_UNION</x:v>
      </x:c>
    </x:row>
    <x:row r="501" ht="42" customHeight="1">
      <x:c r="A501" s="15" t="str">
        <x:v>API-297</x:v>
      </x:c>
      <x:c r="B501" s="13" t="str">
        <x:v>POST</x:v>
      </x:c>
      <x:c r="C501" s="13" t="str">
        <x:v>/api/v1/investment-decisions/{decision_id}/void</x:v>
      </x:c>
      <x:c r="D501" s="13" t="str">
        <x:v>USER MODE</x:v>
      </x:c>
      <x:c r="E501" s="13" t="str">
        <x:v>investment_decision</x:v>
      </x:c>
      <x:c r="F501" s="13" t="str">
        <x:v>void decision</x:v>
      </x:c>
      <x:c r="G501" s="13" t="str">
        <x:v>HELPER_OR_SERVICE_AUTHORIZATION_REQUIRES_REVIEW</x:v>
      </x:c>
      <x:c r="H501" s="13" t="str">
        <x:v>LIVE_ROUTER_REGISTERED</x:v>
      </x:c>
      <x:c r="I501" s="13" t="str">
        <x:v>NO_DIRECT_LITERAL_MATCH_NOT_PROOF_UNUSED</x:v>
      </x:c>
      <x:c r="J501" s="13" t="str">
        <x:v>NOT_EXECUTED_BY_INVENTORY. SOURCE_LITERAL_OR_TRANSITIVE_HELPER_UNION</x:v>
      </x:c>
    </x:row>
    <x:row r="502" ht="42" customHeight="1">
      <x:c r="A502" s="14" t="str">
        <x:v>API-298</x:v>
      </x:c>
      <x:c r="B502" s="6" t="str">
        <x:v>POST</x:v>
      </x:c>
      <x:c r="C502" s="6" t="str">
        <x:v>/api/v1/investment-decisions/{decision_id}/votes</x:v>
      </x:c>
      <x:c r="D502" s="6" t="str">
        <x:v>USER MODE</x:v>
      </x:c>
      <x:c r="E502" s="6" t="str">
        <x:v>investment_decision</x:v>
      </x:c>
      <x:c r="F502" s="6" t="str">
        <x:v>vote</x:v>
      </x:c>
      <x:c r="G502" s="6" t="str">
        <x:v>investment_decision.vote</x:v>
      </x:c>
      <x:c r="H502" s="6" t="str">
        <x:v>LIVE_ROUTER_REGISTERED</x:v>
      </x:c>
      <x:c r="I502" s="6" t="str">
        <x:v>frontend/src/features/investment-decision/api.ts</x:v>
      </x:c>
      <x:c r="J502" s="6" t="str">
        <x:v>NOT_EXECUTED_BY_INVENTORY. SOURCE_LITERAL_OR_TRANSITIVE_HELPER_UNION</x:v>
      </x:c>
    </x:row>
    <x:row r="503" ht="42" customHeight="1">
      <x:c r="A503" s="15" t="str">
        <x:v>API-299</x:v>
      </x:c>
      <x:c r="B503" s="13" t="str">
        <x:v>GET</x:v>
      </x:c>
      <x:c r="C503" s="13" t="str">
        <x:v>/api/v1/investment-evidence-policy/configurations</x:v>
      </x:c>
      <x:c r="D503" s="13" t="str">
        <x:v>ADMIN MODE</x:v>
      </x:c>
      <x:c r="E503" s="13" t="str">
        <x:v>investment_evidence_policy</x:v>
      </x:c>
      <x:c r="F503" s="13" t="str">
        <x:v>configurations</x:v>
      </x:c>
      <x:c r="G503" s="13" t="str">
        <x:v>investment_evidence_policy.read</x:v>
      </x:c>
      <x:c r="H503" s="13" t="str">
        <x:v>LIVE_ROUTER_REGISTERED</x:v>
      </x:c>
      <x:c r="I503" s="13" t="str">
        <x:v>NO_DIRECT_LITERAL_MATCH_NOT_PROOF_UNUSED</x:v>
      </x:c>
      <x:c r="J503" s="13" t="str">
        <x:v>NOT_EXECUTED_BY_INVENTORY. SOURCE_LITERAL_OR_TRANSITIVE_HELPER_UNION</x:v>
      </x:c>
    </x:row>
    <x:row r="504" ht="42" customHeight="1">
      <x:c r="A504" s="14" t="str">
        <x:v>API-300</x:v>
      </x:c>
      <x:c r="B504" s="6" t="str">
        <x:v>PUT</x:v>
      </x:c>
      <x:c r="C504" s="6" t="str">
        <x:v>/api/v1/investment-evidence-policy/configurations/{configuration_id}</x:v>
      </x:c>
      <x:c r="D504" s="6" t="str">
        <x:v>ADMIN MODE</x:v>
      </x:c>
      <x:c r="E504" s="6" t="str">
        <x:v>investment_evidence_policy</x:v>
      </x:c>
      <x:c r="F504" s="6" t="str">
        <x:v>update configuration</x:v>
      </x:c>
      <x:c r="G504" s="6" t="str">
        <x:v>investment_evidence_policy.configure</x:v>
      </x:c>
      <x:c r="H504" s="6" t="str">
        <x:v>LIVE_ROUTER_REGISTERED</x:v>
      </x:c>
      <x:c r="I504" s="6" t="str">
        <x:v>frontend/src/features/investment-evidence-policy/api.ts</x:v>
      </x:c>
      <x:c r="J504" s="6" t="str">
        <x:v>NOT_EXECUTED_BY_INVENTORY. SOURCE_LITERAL_OR_TRANSITIVE_HELPER_UNION</x:v>
      </x:c>
    </x:row>
    <x:row r="505" ht="42" customHeight="1">
      <x:c r="A505" s="15" t="str">
        <x:v>API-301</x:v>
      </x:c>
      <x:c r="B505" s="13" t="str">
        <x:v>POST</x:v>
      </x:c>
      <x:c r="C505" s="13" t="str">
        <x:v>/api/v1/investment-evidence-policy/configurations/{configuration_id}/clone</x:v>
      </x:c>
      <x:c r="D505" s="13" t="str">
        <x:v>ADMIN MODE</x:v>
      </x:c>
      <x:c r="E505" s="13" t="str">
        <x:v>investment_evidence_policy</x:v>
      </x:c>
      <x:c r="F505" s="13" t="str">
        <x:v>clone configuration</x:v>
      </x:c>
      <x:c r="G505" s="13" t="str">
        <x:v>investment_evidence_policy.configure</x:v>
      </x:c>
      <x:c r="H505" s="13" t="str">
        <x:v>LIVE_ROUTER_REGISTERED</x:v>
      </x:c>
      <x:c r="I505" s="13" t="str">
        <x:v>frontend/src/features/investment-evidence-policy/api.ts</x:v>
      </x:c>
      <x:c r="J505" s="13" t="str">
        <x:v>NOT_EXECUTED_BY_INVENTORY. SOURCE_LITERAL_OR_TRANSITIVE_HELPER_UNION</x:v>
      </x:c>
    </x:row>
    <x:row r="506" ht="42" customHeight="1">
      <x:c r="A506" s="14" t="str">
        <x:v>API-302</x:v>
      </x:c>
      <x:c r="B506" s="6" t="str">
        <x:v>POST</x:v>
      </x:c>
      <x:c r="C506" s="6" t="str">
        <x:v>/api/v1/investment-evidence-policy/configurations/{configuration_id}/clone-gate07j-evid2</x:v>
      </x:c>
      <x:c r="D506" s="6" t="str">
        <x:v>ADMIN MODE</x:v>
      </x:c>
      <x:c r="E506" s="6" t="str">
        <x:v>investment_evidence_policy</x:v>
      </x:c>
      <x:c r="F506" s="6" t="str">
        <x:v>clone gate07j evid2 configuration</x:v>
      </x:c>
      <x:c r="G506" s="6" t="str">
        <x:v>investment_evidence_policy.configure</x:v>
      </x:c>
      <x:c r="H506" s="6" t="str">
        <x:v>LIVE_ROUTER_REGISTERED</x:v>
      </x:c>
      <x:c r="I506" s="6" t="str">
        <x:v>frontend/src/features/investment-evidence-policy/api.ts</x:v>
      </x:c>
      <x:c r="J506" s="6" t="str">
        <x:v>NOT_EXECUTED_BY_INVENTORY. SOURCE_LITERAL_OR_TRANSITIVE_HELPER_UNION</x:v>
      </x:c>
    </x:row>
    <x:row r="507" ht="42" customHeight="1">
      <x:c r="A507" s="15" t="str">
        <x:v>API-303</x:v>
      </x:c>
      <x:c r="B507" s="13" t="str">
        <x:v>POST</x:v>
      </x:c>
      <x:c r="C507" s="13" t="str">
        <x:v>/api/v1/investment-evidence-policy/configurations/{configuration_id}/preview</x:v>
      </x:c>
      <x:c r="D507" s="13" t="str">
        <x:v>ADMIN MODE</x:v>
      </x:c>
      <x:c r="E507" s="13" t="str">
        <x:v>investment_evidence_policy</x:v>
      </x:c>
      <x:c r="F507" s="13" t="str">
        <x:v>configuration preview</x:v>
      </x:c>
      <x:c r="G507" s="13" t="str">
        <x:v>investment_evidence_policy.configure</x:v>
      </x:c>
      <x:c r="H507" s="13" t="str">
        <x:v>LIVE_ROUTER_REGISTERED</x:v>
      </x:c>
      <x:c r="I507" s="13" t="str">
        <x:v>frontend/src/features/investment-evidence-policy/api.ts</x:v>
      </x:c>
      <x:c r="J507" s="13" t="str">
        <x:v>NOT_EXECUTED_BY_INVENTORY. SOURCE_LITERAL_OR_TRANSITIVE_HELPER_UNION</x:v>
      </x:c>
    </x:row>
    <x:row r="508" ht="42" customHeight="1">
      <x:c r="A508" s="14" t="str">
        <x:v>API-304</x:v>
      </x:c>
      <x:c r="B508" s="6" t="str">
        <x:v>POST</x:v>
      </x:c>
      <x:c r="C508" s="6" t="str">
        <x:v>/api/v1/investment-evidence-policy/configurations/{configuration_id}/publish</x:v>
      </x:c>
      <x:c r="D508" s="6" t="str">
        <x:v>ADMIN MODE</x:v>
      </x:c>
      <x:c r="E508" s="6" t="str">
        <x:v>investment_evidence_policy</x:v>
      </x:c>
      <x:c r="F508" s="6" t="str">
        <x:v>publish configuration</x:v>
      </x:c>
      <x:c r="G508" s="6" t="str">
        <x:v>investment_evidence_policy.publish</x:v>
      </x:c>
      <x:c r="H508" s="6" t="str">
        <x:v>LIVE_ROUTER_REGISTERED</x:v>
      </x:c>
      <x:c r="I508" s="6" t="str">
        <x:v>frontend/src/features/investment-evidence-policy/api.ts</x:v>
      </x:c>
      <x:c r="J508" s="6" t="str">
        <x:v>NOT_EXECUTED_BY_INVENTORY. SOURCE_LITERAL_OR_TRANSITIVE_HELPER_UNION</x:v>
      </x:c>
    </x:row>
    <x:row r="509" ht="42" customHeight="1">
      <x:c r="A509" s="15" t="str">
        <x:v>API-305</x:v>
      </x:c>
      <x:c r="B509" s="13" t="str">
        <x:v>POST</x:v>
      </x:c>
      <x:c r="C509" s="13" t="str">
        <x:v>/api/v1/investment-evidence-policy/effective/preview</x:v>
      </x:c>
      <x:c r="D509" s="13" t="str">
        <x:v>ADMIN MODE</x:v>
      </x:c>
      <x:c r="E509" s="13" t="str">
        <x:v>investment_evidence_policy</x:v>
      </x:c>
      <x:c r="F509" s="13" t="str">
        <x:v>effective preview</x:v>
      </x:c>
      <x:c r="G509" s="13" t="str">
        <x:v>investment_evidence_policy.configure</x:v>
      </x:c>
      <x:c r="H509" s="13" t="str">
        <x:v>LIVE_ROUTER_REGISTERED</x:v>
      </x:c>
      <x:c r="I509" s="13" t="str">
        <x:v>NO_DIRECT_LITERAL_MATCH_NOT_PROOF_UNUSED</x:v>
      </x:c>
      <x:c r="J509" s="13" t="str">
        <x:v>NOT_EXECUTED_BY_INVENTORY. SOURCE_LITERAL_OR_TRANSITIVE_HELPER_UNION</x:v>
      </x:c>
    </x:row>
    <x:row r="510" ht="42" customHeight="1">
      <x:c r="A510" s="14" t="str">
        <x:v>API-306</x:v>
      </x:c>
      <x:c r="B510" s="6" t="str">
        <x:v>GET</x:v>
      </x:c>
      <x:c r="C510" s="6" t="str">
        <x:v>/api/v1/investment-evidence-policy/missing-providers</x:v>
      </x:c>
      <x:c r="D510" s="6" t="str">
        <x:v>ADMIN MODE</x:v>
      </x:c>
      <x:c r="E510" s="6" t="str">
        <x:v>investment_evidence_policy</x:v>
      </x:c>
      <x:c r="F510" s="6" t="str">
        <x:v>missing providers</x:v>
      </x:c>
      <x:c r="G510" s="6" t="str">
        <x:v>investment_evidence_policy.read</x:v>
      </x:c>
      <x:c r="H510" s="6" t="str">
        <x:v>LIVE_ROUTER_REGISTERED</x:v>
      </x:c>
      <x:c r="I510" s="6" t="str">
        <x:v>NO_DIRECT_LITERAL_MATCH_NOT_PROOF_UNUSED</x:v>
      </x:c>
      <x:c r="J510" s="6" t="str">
        <x:v>NOT_EXECUTED_BY_INVENTORY. SOURCE_LITERAL_OR_TRANSITIVE_HELPER_UNION</x:v>
      </x:c>
    </x:row>
    <x:row r="511" ht="42" customHeight="1">
      <x:c r="A511" s="15" t="str">
        <x:v>API-307</x:v>
      </x:c>
      <x:c r="B511" s="13" t="str">
        <x:v>GET</x:v>
      </x:c>
      <x:c r="C511" s="13" t="str">
        <x:v>/api/v1/investment-evidence-policy/overview</x:v>
      </x:c>
      <x:c r="D511" s="13" t="str">
        <x:v>ADMIN MODE</x:v>
      </x:c>
      <x:c r="E511" s="13" t="str">
        <x:v>investment_evidence_policy</x:v>
      </x:c>
      <x:c r="F511" s="13" t="str">
        <x:v>overview</x:v>
      </x:c>
      <x:c r="G511" s="13" t="str">
        <x:v>investment_evidence_policy.read</x:v>
      </x:c>
      <x:c r="H511" s="13" t="str">
        <x:v>LIVE_ROUTER_REGISTERED</x:v>
      </x:c>
      <x:c r="I511" s="13" t="str">
        <x:v>frontend/src/features/investment-evidence-policy/api.ts</x:v>
      </x:c>
      <x:c r="J511" s="13" t="str">
        <x:v>NOT_EXECUTED_BY_INVENTORY. SOURCE_LITERAL_OR_TRANSITIVE_HELPER_UNION</x:v>
      </x:c>
    </x:row>
    <x:row r="512" ht="42" customHeight="1">
      <x:c r="A512" s="14" t="str">
        <x:v>API-308</x:v>
      </x:c>
      <x:c r="B512" s="6" t="str">
        <x:v>GET</x:v>
      </x:c>
      <x:c r="C512" s="6" t="str">
        <x:v>/api/v1/investment-evidence-policy/providers</x:v>
      </x:c>
      <x:c r="D512" s="6" t="str">
        <x:v>ADMIN MODE</x:v>
      </x:c>
      <x:c r="E512" s="6" t="str">
        <x:v>investment_evidence_policy</x:v>
      </x:c>
      <x:c r="F512" s="6" t="str">
        <x:v>providers</x:v>
      </x:c>
      <x:c r="G512" s="6" t="str">
        <x:v>investment_evidence_provider.read</x:v>
      </x:c>
      <x:c r="H512" s="6" t="str">
        <x:v>LIVE_ROUTER_REGISTERED</x:v>
      </x:c>
      <x:c r="I512" s="6" t="str">
        <x:v>NO_DIRECT_LITERAL_MATCH_NOT_PROOF_UNUSED</x:v>
      </x:c>
      <x:c r="J512" s="6" t="str">
        <x:v>NOT_EXECUTED_BY_INVENTORY. SOURCE_LITERAL_OR_TRANSITIVE_HELPER_UNION</x:v>
      </x:c>
    </x:row>
    <x:row r="513" ht="42" customHeight="1">
      <x:c r="A513" s="15" t="str">
        <x:v>API-309</x:v>
      </x:c>
      <x:c r="B513" s="13" t="str">
        <x:v>GET</x:v>
      </x:c>
      <x:c r="C513" s="13" t="str">
        <x:v>/api/v1/investment-evidence-policy/providers/{provider_key}</x:v>
      </x:c>
      <x:c r="D513" s="13" t="str">
        <x:v>ADMIN MODE</x:v>
      </x:c>
      <x:c r="E513" s="13" t="str">
        <x:v>investment_evidence_policy</x:v>
      </x:c>
      <x:c r="F513" s="13" t="str">
        <x:v>provider</x:v>
      </x:c>
      <x:c r="G513" s="13" t="str">
        <x:v>investment_evidence_provider.read</x:v>
      </x:c>
      <x:c r="H513" s="13" t="str">
        <x:v>LIVE_ROUTER_REGISTERED</x:v>
      </x:c>
      <x:c r="I513" s="13" t="str">
        <x:v>NO_DIRECT_LITERAL_MATCH_NOT_PROOF_UNUSED</x:v>
      </x:c>
      <x:c r="J513" s="13" t="str">
        <x:v>NOT_EXECUTED_BY_INVENTORY. SOURCE_LITERAL_OR_TRANSITIVE_HELPER_UNION</x:v>
      </x:c>
    </x:row>
    <x:row r="514" ht="42" customHeight="1">
      <x:c r="A514" s="14" t="str">
        <x:v>API-310</x:v>
      </x:c>
      <x:c r="B514" s="6" t="str">
        <x:v>DELETE</x:v>
      </x:c>
      <x:c r="C514" s="6" t="str">
        <x:v>/api/v1/investment-gate-evidence/{evidence_id}</x:v>
      </x:c>
      <x:c r="D514" s="6" t="str">
        <x:v>USER MODE</x:v>
      </x:c>
      <x:c r="E514" s="6" t="str">
        <x:v>investment_gate_preparation</x:v>
      </x:c>
      <x:c r="F514" s="6" t="str">
        <x:v>remove evidence</x:v>
      </x:c>
      <x:c r="G514" s="6" t="str">
        <x:v>investment_gate_evidence.add</x:v>
      </x:c>
      <x:c r="H514" s="6" t="str">
        <x:v>LIVE_ROUTER_REGISTERED</x:v>
      </x:c>
      <x:c r="I514" s="6" t="str">
        <x:v>frontend/src/features/investment-gate-preparation/api.ts</x:v>
      </x:c>
      <x:c r="J514" s="6" t="str">
        <x:v>NOT_EXECUTED_BY_INVENTORY. SOURCE_LITERAL_OR_TRANSITIVE_HELPER_UNION</x:v>
      </x:c>
    </x:row>
    <x:row r="515" ht="42" customHeight="1">
      <x:c r="A515" s="15" t="str">
        <x:v>API-311</x:v>
      </x:c>
      <x:c r="B515" s="13" t="str">
        <x:v>PUT</x:v>
      </x:c>
      <x:c r="C515" s="13" t="str">
        <x:v>/api/v1/investment-gate-evidence/{evidence_id}</x:v>
      </x:c>
      <x:c r="D515" s="13" t="str">
        <x:v>USER MODE</x:v>
      </x:c>
      <x:c r="E515" s="13" t="str">
        <x:v>investment_gate_preparation</x:v>
      </x:c>
      <x:c r="F515" s="13" t="str">
        <x:v>update evidence</x:v>
      </x:c>
      <x:c r="G515" s="13" t="str">
        <x:v>investment_gate_evidence.add</x:v>
      </x:c>
      <x:c r="H515" s="13" t="str">
        <x:v>LIVE_ROUTER_REGISTERED</x:v>
      </x:c>
      <x:c r="I515" s="13" t="str">
        <x:v>frontend/src/features/investment-gate-preparation/api.ts</x:v>
      </x:c>
      <x:c r="J515" s="13" t="str">
        <x:v>NOT_EXECUTED_BY_INVENTORY. SOURCE_LITERAL_OR_TRANSITIVE_HELPER_UNION</x:v>
      </x:c>
    </x:row>
    <x:row r="516" ht="42" customHeight="1">
      <x:c r="A516" s="14" t="str">
        <x:v>API-312</x:v>
      </x:c>
      <x:c r="B516" s="6" t="str">
        <x:v>POST</x:v>
      </x:c>
      <x:c r="C516" s="6" t="str">
        <x:v>/api/v1/investment-gate-evidence/{evidence_id}/validate</x:v>
      </x:c>
      <x:c r="D516" s="6" t="str">
        <x:v>USER MODE</x:v>
      </x:c>
      <x:c r="E516" s="6" t="str">
        <x:v>investment_gate_preparation</x:v>
      </x:c>
      <x:c r="F516" s="6" t="str">
        <x:v>validate evidence</x:v>
      </x:c>
      <x:c r="G516" s="6" t="str">
        <x:v>investment_gate_evidence.validate</x:v>
      </x:c>
      <x:c r="H516" s="6" t="str">
        <x:v>LIVE_ROUTER_REGISTERED</x:v>
      </x:c>
      <x:c r="I516" s="6" t="str">
        <x:v>frontend/src/features/investment-gate-preparation/api.ts</x:v>
      </x:c>
      <x:c r="J516" s="6" t="str">
        <x:v>NOT_EXECUTED_BY_INVENTORY. SOURCE_LITERAL_OR_TRANSITIVE_HELPER_UNION</x:v>
      </x:c>
    </x:row>
    <x:row r="517" ht="42" customHeight="1">
      <x:c r="A517" s="15" t="str">
        <x:v>API-313</x:v>
      </x:c>
      <x:c r="B517" s="13" t="str">
        <x:v>GET</x:v>
      </x:c>
      <x:c r="C517" s="13" t="str">
        <x:v>/api/v1/investment-gate-preparation/admin/configurations</x:v>
      </x:c>
      <x:c r="D517" s="13" t="str">
        <x:v>ADMIN MODE</x:v>
      </x:c>
      <x:c r="E517" s="13" t="str">
        <x:v>investment_gate_preparation</x:v>
      </x:c>
      <x:c r="F517" s="13" t="str">
        <x:v>configurations</x:v>
      </x:c>
      <x:c r="G517" s="13" t="str">
        <x:v>investment_gate_preparation.admin.configure</x:v>
      </x:c>
      <x:c r="H517" s="13" t="str">
        <x:v>LIVE_ROUTER_REGISTERED</x:v>
      </x:c>
      <x:c r="I517" s="13" t="str">
        <x:v>frontend/src/features/investment-gate-preparation/api.ts</x:v>
      </x:c>
      <x:c r="J517" s="13" t="str">
        <x:v>NOT_EXECUTED_BY_INVENTORY. SOURCE_LITERAL_OR_TRANSITIVE_HELPER_UNION</x:v>
      </x:c>
    </x:row>
    <x:row r="518" ht="42" customHeight="1">
      <x:c r="A518" s="14" t="str">
        <x:v>API-314</x:v>
      </x:c>
      <x:c r="B518" s="6" t="str">
        <x:v>POST</x:v>
      </x:c>
      <x:c r="C518" s="6" t="str">
        <x:v>/api/v1/investment-gate-preparation/admin/configurations/preview</x:v>
      </x:c>
      <x:c r="D518" s="6" t="str">
        <x:v>ADMIN MODE</x:v>
      </x:c>
      <x:c r="E518" s="6" t="str">
        <x:v>investment_gate_preparation</x:v>
      </x:c>
      <x:c r="F518" s="6" t="str">
        <x:v>configuration preview</x:v>
      </x:c>
      <x:c r="G518" s="6" t="str">
        <x:v>investment_gate_preparation.admin.configure</x:v>
      </x:c>
      <x:c r="H518" s="6" t="str">
        <x:v>LIVE_ROUTER_REGISTERED</x:v>
      </x:c>
      <x:c r="I518" s="6" t="str">
        <x:v>frontend/src/features/investment-gate-preparation/api.ts</x:v>
      </x:c>
      <x:c r="J518" s="6" t="str">
        <x:v>NOT_EXECUTED_BY_INVENTORY. SOURCE_LITERAL_OR_TRANSITIVE_HELPER_UNION</x:v>
      </x:c>
    </x:row>
    <x:row r="519" ht="42" customHeight="1">
      <x:c r="A519" s="15" t="str">
        <x:v>API-315</x:v>
      </x:c>
      <x:c r="B519" s="13" t="str">
        <x:v>PUT</x:v>
      </x:c>
      <x:c r="C519" s="13" t="str">
        <x:v>/api/v1/investment-gate-preparation/admin/configurations/{configuration_id}</x:v>
      </x:c>
      <x:c r="D519" s="13" t="str">
        <x:v>ADMIN MODE</x:v>
      </x:c>
      <x:c r="E519" s="13" t="str">
        <x:v>investment_gate_preparation</x:v>
      </x:c>
      <x:c r="F519" s="13" t="str">
        <x:v>update configuration</x:v>
      </x:c>
      <x:c r="G519" s="13" t="str">
        <x:v>investment_gate_preparation.admin.configure</x:v>
      </x:c>
      <x:c r="H519" s="13" t="str">
        <x:v>LIVE_ROUTER_REGISTERED</x:v>
      </x:c>
      <x:c r="I519" s="13" t="str">
        <x:v>frontend/src/features/investment-gate-preparation/api.ts</x:v>
      </x:c>
      <x:c r="J519" s="13" t="str">
        <x:v>NOT_EXECUTED_BY_INVENTORY. SOURCE_LITERAL_OR_TRANSITIVE_HELPER_UNION</x:v>
      </x:c>
    </x:row>
    <x:row r="520" ht="42" customHeight="1">
      <x:c r="A520" s="14" t="str">
        <x:v>API-316</x:v>
      </x:c>
      <x:c r="B520" s="6" t="str">
        <x:v>POST</x:v>
      </x:c>
      <x:c r="C520" s="6" t="str">
        <x:v>/api/v1/investment-gate-preparation/admin/configurations/{configuration_id}/clone</x:v>
      </x:c>
      <x:c r="D520" s="6" t="str">
        <x:v>ADMIN MODE</x:v>
      </x:c>
      <x:c r="E520" s="6" t="str">
        <x:v>investment_gate_preparation</x:v>
      </x:c>
      <x:c r="F520" s="6" t="str">
        <x:v>clone configuration</x:v>
      </x:c>
      <x:c r="G520" s="6" t="str">
        <x:v>investment_gate_preparation.admin.configure</x:v>
      </x:c>
      <x:c r="H520" s="6" t="str">
        <x:v>LIVE_ROUTER_REGISTERED</x:v>
      </x:c>
      <x:c r="I520" s="6" t="str">
        <x:v>frontend/src/features/investment-gate-preparation/api.ts</x:v>
      </x:c>
      <x:c r="J520" s="6" t="str">
        <x:v>NOT_EXECUTED_BY_INVENTORY. SOURCE_LITERAL_OR_TRANSITIVE_HELPER_UNION</x:v>
      </x:c>
    </x:row>
    <x:row r="521" ht="42" customHeight="1">
      <x:c r="A521" s="15" t="str">
        <x:v>API-317</x:v>
      </x:c>
      <x:c r="B521" s="13" t="str">
        <x:v>POST</x:v>
      </x:c>
      <x:c r="C521" s="13" t="str">
        <x:v>/api/v1/investment-gate-preparation/admin/configurations/{configuration_id}/publish</x:v>
      </x:c>
      <x:c r="D521" s="13" t="str">
        <x:v>ADMIN MODE</x:v>
      </x:c>
      <x:c r="E521" s="13" t="str">
        <x:v>investment_gate_preparation</x:v>
      </x:c>
      <x:c r="F521" s="13" t="str">
        <x:v>publish configuration</x:v>
      </x:c>
      <x:c r="G521" s="13" t="str">
        <x:v>investment_gate_preparation.admin.publish</x:v>
      </x:c>
      <x:c r="H521" s="13" t="str">
        <x:v>LIVE_ROUTER_REGISTERED</x:v>
      </x:c>
      <x:c r="I521" s="13" t="str">
        <x:v>frontend/src/features/investment-gate-preparation/api.ts</x:v>
      </x:c>
      <x:c r="J521" s="13" t="str">
        <x:v>NOT_EXECUTED_BY_INVENTORY. SOURCE_LITERAL_OR_TRANSITIVE_HELPER_UNION</x:v>
      </x:c>
    </x:row>
    <x:row r="522" ht="42" customHeight="1">
      <x:c r="A522" s="14" t="str">
        <x:v>API-318</x:v>
      </x:c>
      <x:c r="B522" s="6" t="str">
        <x:v>GET</x:v>
      </x:c>
      <x:c r="C522" s="6" t="str">
        <x:v>/api/v1/investment-gate-preparations</x:v>
      </x:c>
      <x:c r="D522" s="6" t="str">
        <x:v>READ-ONLY SHARED CONTEXT</x:v>
      </x:c>
      <x:c r="E522" s="6" t="str">
        <x:v>investment_gate_preparation</x:v>
      </x:c>
      <x:c r="F522" s="6" t="str">
        <x:v>preparations</x:v>
      </x:c>
      <x:c r="G522" s="6" t="str">
        <x:v>investment_gate_preparation.read</x:v>
      </x:c>
      <x:c r="H522" s="6" t="str">
        <x:v>LIVE_ROUTER_REGISTERED</x:v>
      </x:c>
      <x:c r="I522" s="6" t="str">
        <x:v>frontend/src/features/investment-decision/api.ts; frontend/src/features/investment-gate-preparation/api.ts</x:v>
      </x:c>
      <x:c r="J522" s="6" t="str">
        <x:v>NOT_EXECUTED_BY_INVENTORY. SOURCE_LITERAL_OR_TRANSITIVE_HELPER_UNION</x:v>
      </x:c>
    </x:row>
    <x:row r="523" ht="42" customHeight="1">
      <x:c r="A523" s="15" t="str">
        <x:v>API-319</x:v>
      </x:c>
      <x:c r="B523" s="13" t="str">
        <x:v>POST</x:v>
      </x:c>
      <x:c r="C523" s="13" t="str">
        <x:v>/api/v1/investment-gate-preparations</x:v>
      </x:c>
      <x:c r="D523" s="13" t="str">
        <x:v>USER MODE</x:v>
      </x:c>
      <x:c r="E523" s="13" t="str">
        <x:v>investment_gate_preparation</x:v>
      </x:c>
      <x:c r="F523" s="13" t="str">
        <x:v>create</x:v>
      </x:c>
      <x:c r="G523" s="13" t="str">
        <x:v>investment_gate_preparation.create</x:v>
      </x:c>
      <x:c r="H523" s="13" t="str">
        <x:v>LIVE_ROUTER_REGISTERED</x:v>
      </x:c>
      <x:c r="I523" s="13" t="str">
        <x:v>frontend/src/features/investment-decision/api.ts; frontend/src/features/investment-gate-preparation/api.ts</x:v>
      </x:c>
      <x:c r="J523" s="13" t="str">
        <x:v>NOT_EXECUTED_BY_INVENTORY. SOURCE_LITERAL_OR_TRANSITIVE_HELPER_UNION</x:v>
      </x:c>
    </x:row>
    <x:row r="524" ht="42" customHeight="1">
      <x:c r="A524" s="14" t="str">
        <x:v>API-320</x:v>
      </x:c>
      <x:c r="B524" s="6" t="str">
        <x:v>GET</x:v>
      </x:c>
      <x:c r="C524" s="6" t="str">
        <x:v>/api/v1/investment-gate-preparations/{preparation_id}</x:v>
      </x:c>
      <x:c r="D524" s="6" t="str">
        <x:v>READ-ONLY SHARED CONTEXT</x:v>
      </x:c>
      <x:c r="E524" s="6" t="str">
        <x:v>investment_gate_preparation</x:v>
      </x:c>
      <x:c r="F524" s="6" t="str">
        <x:v>preparation</x:v>
      </x:c>
      <x:c r="G524" s="6" t="str">
        <x:v>investment_gate_preparation.read</x:v>
      </x:c>
      <x:c r="H524" s="6" t="str">
        <x:v>LIVE_ROUTER_REGISTERED</x:v>
      </x:c>
      <x:c r="I524" s="6" t="str">
        <x:v>NO_DIRECT_LITERAL_MATCH_NOT_PROOF_UNUSED</x:v>
      </x:c>
      <x:c r="J524" s="6" t="str">
        <x:v>NOT_EXECUTED_BY_INVENTORY. SOURCE_LITERAL_OR_TRANSITIVE_HELPER_UNION</x:v>
      </x:c>
    </x:row>
    <x:row r="525" ht="42" customHeight="1">
      <x:c r="A525" s="15" t="str">
        <x:v>API-321</x:v>
      </x:c>
      <x:c r="B525" s="13" t="str">
        <x:v>PUT</x:v>
      </x:c>
      <x:c r="C525" s="13" t="str">
        <x:v>/api/v1/investment-gate-preparations/{preparation_id}</x:v>
      </x:c>
      <x:c r="D525" s="13" t="str">
        <x:v>USER MODE</x:v>
      </x:c>
      <x:c r="E525" s="13" t="str">
        <x:v>investment_gate_preparation</x:v>
      </x:c>
      <x:c r="F525" s="13" t="str">
        <x:v>update</x:v>
      </x:c>
      <x:c r="G525" s="13" t="str">
        <x:v>investment_gate_preparation.edit</x:v>
      </x:c>
      <x:c r="H525" s="13" t="str">
        <x:v>LIVE_ROUTER_REGISTERED</x:v>
      </x:c>
      <x:c r="I525" s="13" t="str">
        <x:v>NO_DIRECT_LITERAL_MATCH_NOT_PROOF_UNUSED</x:v>
      </x:c>
      <x:c r="J525" s="13" t="str">
        <x:v>NOT_EXECUTED_BY_INVENTORY. SOURCE_LITERAL_OR_TRANSITIVE_HELPER_UNION</x:v>
      </x:c>
    </x:row>
    <x:row r="526" ht="42" customHeight="1">
      <x:c r="A526" s="14" t="str">
        <x:v>API-322</x:v>
      </x:c>
      <x:c r="B526" s="6" t="str">
        <x:v>POST</x:v>
      </x:c>
      <x:c r="C526" s="6" t="str">
        <x:v>/api/v1/investment-gate-preparations/{preparation_id}/clone</x:v>
      </x:c>
      <x:c r="D526" s="6" t="str">
        <x:v>USER MODE</x:v>
      </x:c>
      <x:c r="E526" s="6" t="str">
        <x:v>investment_gate_preparation</x:v>
      </x:c>
      <x:c r="F526" s="6" t="str">
        <x:v>clone</x:v>
      </x:c>
      <x:c r="G526" s="6" t="str">
        <x:v>HELPER_OR_SERVICE_AUTHORIZATION_REQUIRES_REVIEW</x:v>
      </x:c>
      <x:c r="H526" s="6" t="str">
        <x:v>LIVE_ROUTER_REGISTERED</x:v>
      </x:c>
      <x:c r="I526" s="6" t="str">
        <x:v>NO_DIRECT_LITERAL_MATCH_NOT_PROOF_UNUSED</x:v>
      </x:c>
      <x:c r="J526" s="6" t="str">
        <x:v>NOT_EXECUTED_BY_INVENTORY. SOURCE_LITERAL_OR_TRANSITIVE_HELPER_UNION</x:v>
      </x:c>
    </x:row>
    <x:row r="527" ht="42" customHeight="1">
      <x:c r="A527" s="15" t="str">
        <x:v>API-323</x:v>
      </x:c>
      <x:c r="B527" s="13" t="str">
        <x:v>PUT</x:v>
      </x:c>
      <x:c r="C527" s="13" t="str">
        <x:v>/api/v1/investment-gate-preparations/{preparation_id}/conditions/{condition_index}</x:v>
      </x:c>
      <x:c r="D527" s="13" t="str">
        <x:v>USER MODE</x:v>
      </x:c>
      <x:c r="E527" s="13" t="str">
        <x:v>investment_gate_preparation</x:v>
      </x:c>
      <x:c r="F527" s="13" t="str">
        <x:v>update condition</x:v>
      </x:c>
      <x:c r="G527" s="13" t="str">
        <x:v>investment_gate_preparation.edit</x:v>
      </x:c>
      <x:c r="H527" s="13" t="str">
        <x:v>LIVE_ROUTER_REGISTERED</x:v>
      </x:c>
      <x:c r="I527" s="13" t="str">
        <x:v>frontend/src/features/investment-gate-preparation/api.ts</x:v>
      </x:c>
      <x:c r="J527" s="13" t="str">
        <x:v>NOT_EXECUTED_BY_INVENTORY. SOURCE_LITERAL_OR_TRANSITIVE_HELPER_UNION</x:v>
      </x:c>
    </x:row>
    <x:row r="528" ht="42" customHeight="1">
      <x:c r="A528" s="14" t="str">
        <x:v>API-324</x:v>
      </x:c>
      <x:c r="B528" s="6" t="str">
        <x:v>POST</x:v>
      </x:c>
      <x:c r="C528" s="6" t="str">
        <x:v>/api/v1/investment-gate-preparations/{preparation_id}/evidence</x:v>
      </x:c>
      <x:c r="D528" s="6" t="str">
        <x:v>USER MODE</x:v>
      </x:c>
      <x:c r="E528" s="6" t="str">
        <x:v>investment_gate_preparation</x:v>
      </x:c>
      <x:c r="F528" s="6" t="str">
        <x:v>add evidence</x:v>
      </x:c>
      <x:c r="G528" s="6" t="str">
        <x:v>investment_gate_evidence.add</x:v>
      </x:c>
      <x:c r="H528" s="6" t="str">
        <x:v>LIVE_ROUTER_REGISTERED</x:v>
      </x:c>
      <x:c r="I528" s="6" t="str">
        <x:v>frontend/src/features/investment-gate-preparation/api.ts</x:v>
      </x:c>
      <x:c r="J528" s="6" t="str">
        <x:v>NOT_EXECUTED_BY_INVENTORY. SOURCE_LITERAL_OR_TRANSITIVE_HELPER_UNION</x:v>
      </x:c>
    </x:row>
    <x:row r="529" ht="42" customHeight="1">
      <x:c r="A529" s="15" t="str">
        <x:v>API-325</x:v>
      </x:c>
      <x:c r="B529" s="13" t="str">
        <x:v>POST</x:v>
      </x:c>
      <x:c r="C529" s="13" t="str">
        <x:v>/api/v1/investment-gate-preparations/{preparation_id}/freeze</x:v>
      </x:c>
      <x:c r="D529" s="13" t="str">
        <x:v>USER MODE</x:v>
      </x:c>
      <x:c r="E529" s="13" t="str">
        <x:v>investment_gate_preparation</x:v>
      </x:c>
      <x:c r="F529" s="13" t="str">
        <x:v>freeze</x:v>
      </x:c>
      <x:c r="G529" s="13" t="str">
        <x:v>HELPER_OR_SERVICE_AUTHORIZATION_REQUIRES_REVIEW</x:v>
      </x:c>
      <x:c r="H529" s="13" t="str">
        <x:v>LIVE_ROUTER_REGISTERED</x:v>
      </x:c>
      <x:c r="I529" s="13" t="str">
        <x:v>NO_DIRECT_LITERAL_MATCH_NOT_PROOF_UNUSED</x:v>
      </x:c>
      <x:c r="J529" s="13" t="str">
        <x:v>NOT_EXECUTED_BY_INVENTORY. SOURCE_LITERAL_OR_TRANSITIVE_HELPER_UNION</x:v>
      </x:c>
    </x:row>
    <x:row r="530" ht="42" customHeight="1">
      <x:c r="A530" s="14" t="str">
        <x:v>API-326</x:v>
      </x:c>
      <x:c r="B530" s="6" t="str">
        <x:v>GET</x:v>
      </x:c>
      <x:c r="C530" s="6" t="str">
        <x:v>/api/v1/investment-gate-preparations/{preparation_id}/handoff</x:v>
      </x:c>
      <x:c r="D530" s="6" t="str">
        <x:v>READ-ONLY SHARED CONTEXT</x:v>
      </x:c>
      <x:c r="E530" s="6" t="str">
        <x:v>investment_gate_preparation</x:v>
      </x:c>
      <x:c r="F530" s="6" t="str">
        <x:v>handoff</x:v>
      </x:c>
      <x:c r="G530" s="6" t="str">
        <x:v>investment_gate_preparation.read</x:v>
      </x:c>
      <x:c r="H530" s="6" t="str">
        <x:v>LIVE_ROUTER_REGISTERED</x:v>
      </x:c>
      <x:c r="I530" s="6" t="str">
        <x:v>frontend/src/features/investment-gate-preparation/api.ts</x:v>
      </x:c>
      <x:c r="J530" s="6" t="str">
        <x:v>NOT_EXECUTED_BY_INVENTORY. SOURCE_LITERAL_OR_TRANSITIVE_HELPER_UNION</x:v>
      </x:c>
    </x:row>
    <x:row r="531" ht="42" customHeight="1">
      <x:c r="A531" s="15" t="str">
        <x:v>API-327</x:v>
      </x:c>
      <x:c r="B531" s="13" t="str">
        <x:v>GET</x:v>
      </x:c>
      <x:c r="C531" s="13" t="str">
        <x:v>/api/v1/investment-gate-preparations/{preparation_id}/project-readiness</x:v>
      </x:c>
      <x:c r="D531" s="13" t="str">
        <x:v>READ-ONLY SHARED CONTEXT</x:v>
      </x:c>
      <x:c r="E531" s="13" t="str">
        <x:v>investment_gate_preparation</x:v>
      </x:c>
      <x:c r="F531" s="13" t="str">
        <x:v>project readiness</x:v>
      </x:c>
      <x:c r="G531" s="13" t="str">
        <x:v>investment_gate_preparation.read</x:v>
      </x:c>
      <x:c r="H531" s="13" t="str">
        <x:v>LIVE_ROUTER_REGISTERED</x:v>
      </x:c>
      <x:c r="I531" s="13" t="str">
        <x:v>frontend/src/features/investment-gate-preparation/api.ts</x:v>
      </x:c>
      <x:c r="J531" s="13" t="str">
        <x:v>NOT_EXECUTED_BY_INVENTORY. SOURCE_LITERAL_OR_TRANSITIVE_HELPER_UNION</x:v>
      </x:c>
    </x:row>
    <x:row r="532" ht="42" customHeight="1">
      <x:c r="A532" s="14" t="str">
        <x:v>API-328</x:v>
      </x:c>
      <x:c r="B532" s="6" t="str">
        <x:v>GET</x:v>
      </x:c>
      <x:c r="C532" s="6" t="str">
        <x:v>/api/v1/investment-gate-preparations/{preparation_id}/readiness</x:v>
      </x:c>
      <x:c r="D532" s="6" t="str">
        <x:v>READ-ONLY SHARED CONTEXT</x:v>
      </x:c>
      <x:c r="E532" s="6" t="str">
        <x:v>investment_gate_preparation</x:v>
      </x:c>
      <x:c r="F532" s="6" t="str">
        <x:v>readiness</x:v>
      </x:c>
      <x:c r="G532" s="6" t="str">
        <x:v>investment_gate_preparation.read</x:v>
      </x:c>
      <x:c r="H532" s="6" t="str">
        <x:v>LIVE_ROUTER_REGISTERED</x:v>
      </x:c>
      <x:c r="I532" s="6" t="str">
        <x:v>NO_DIRECT_LITERAL_MATCH_NOT_PROOF_UNUSED</x:v>
      </x:c>
      <x:c r="J532" s="6" t="str">
        <x:v>NOT_EXECUTED_BY_INVENTORY. SOURCE_LITERAL_OR_TRANSITIVE_HELPER_UNION</x:v>
      </x:c>
    </x:row>
    <x:row r="533" ht="42" customHeight="1">
      <x:c r="A533" s="15" t="str">
        <x:v>API-329</x:v>
      </x:c>
      <x:c r="B533" s="13" t="str">
        <x:v>POST</x:v>
      </x:c>
      <x:c r="C533" s="13" t="str">
        <x:v>/api/v1/investment-gate-preparations/{preparation_id}/ready-for-review</x:v>
      </x:c>
      <x:c r="D533" s="13" t="str">
        <x:v>USER MODE</x:v>
      </x:c>
      <x:c r="E533" s="13" t="str">
        <x:v>investment_gate_preparation</x:v>
      </x:c>
      <x:c r="F533" s="13" t="str">
        <x:v>ready for review</x:v>
      </x:c>
      <x:c r="G533" s="13" t="str">
        <x:v>HELPER_OR_SERVICE_AUTHORIZATION_REQUIRES_REVIEW</x:v>
      </x:c>
      <x:c r="H533" s="13" t="str">
        <x:v>LIVE_ROUTER_REGISTERED</x:v>
      </x:c>
      <x:c r="I533" s="13" t="str">
        <x:v>NO_DIRECT_LITERAL_MATCH_NOT_PROOF_UNUSED</x:v>
      </x:c>
      <x:c r="J533" s="13" t="str">
        <x:v>NOT_EXECUTED_BY_INVENTORY. SOURCE_LITERAL_OR_TRANSITIVE_HELPER_UNION</x:v>
      </x:c>
    </x:row>
    <x:row r="534" ht="42" customHeight="1">
      <x:c r="A534" s="14" t="str">
        <x:v>API-330</x:v>
      </x:c>
      <x:c r="B534" s="6" t="str">
        <x:v>POST</x:v>
      </x:c>
      <x:c r="C534" s="6" t="str">
        <x:v>/api/v1/investment-gate-preparations/{preparation_id}/refresh</x:v>
      </x:c>
      <x:c r="D534" s="6" t="str">
        <x:v>USER MODE</x:v>
      </x:c>
      <x:c r="E534" s="6" t="str">
        <x:v>investment_gate_preparation</x:v>
      </x:c>
      <x:c r="F534" s="6" t="str">
        <x:v>refresh</x:v>
      </x:c>
      <x:c r="G534" s="6" t="str">
        <x:v>investment_gate_preparation.refresh</x:v>
      </x:c>
      <x:c r="H534" s="6" t="str">
        <x:v>LIVE_ROUTER_REGISTERED</x:v>
      </x:c>
      <x:c r="I534" s="6" t="str">
        <x:v>frontend/src/features/investment-gate-preparation/api.ts</x:v>
      </x:c>
      <x:c r="J534" s="6" t="str">
        <x:v>NOT_EXECUTED_BY_INVENTORY. SOURCE_LITERAL_OR_TRANSITIVE_HELPER_UNION</x:v>
      </x:c>
    </x:row>
    <x:row r="535" ht="42" customHeight="1">
      <x:c r="A535" s="15" t="str">
        <x:v>API-331</x:v>
      </x:c>
      <x:c r="B535" s="13" t="str">
        <x:v>POST</x:v>
      </x:c>
      <x:c r="C535" s="13" t="str">
        <x:v>/api/v1/investment-gate-preparations/{preparation_id}/refresh/preview</x:v>
      </x:c>
      <x:c r="D535" s="13" t="str">
        <x:v>USER MODE</x:v>
      </x:c>
      <x:c r="E535" s="13" t="str">
        <x:v>investment_gate_preparation</x:v>
      </x:c>
      <x:c r="F535" s="13" t="str">
        <x:v>refresh preview</x:v>
      </x:c>
      <x:c r="G535" s="13" t="str">
        <x:v>investment_gate_preparation.refresh</x:v>
      </x:c>
      <x:c r="H535" s="13" t="str">
        <x:v>LIVE_ROUTER_REGISTERED</x:v>
      </x:c>
      <x:c r="I535" s="13" t="str">
        <x:v>frontend/src/features/investment-gate-preparation/api.ts</x:v>
      </x:c>
      <x:c r="J535" s="13" t="str">
        <x:v>NOT_EXECUTED_BY_INVENTORY. SOURCE_LITERAL_OR_TRANSITIVE_HELPER_UNION</x:v>
      </x:c>
    </x:row>
    <x:row r="536" ht="42" customHeight="1">
      <x:c r="A536" s="14" t="str">
        <x:v>API-332</x:v>
      </x:c>
      <x:c r="B536" s="6" t="str">
        <x:v>POST</x:v>
      </x:c>
      <x:c r="C536" s="6" t="str">
        <x:v>/api/v1/investment-gate-preparations/{preparation_id}/void</x:v>
      </x:c>
      <x:c r="D536" s="6" t="str">
        <x:v>USER MODE</x:v>
      </x:c>
      <x:c r="E536" s="6" t="str">
        <x:v>investment_gate_preparation</x:v>
      </x:c>
      <x:c r="F536" s="6" t="str">
        <x:v>void</x:v>
      </x:c>
      <x:c r="G536" s="6" t="str">
        <x:v>HELPER_OR_SERVICE_AUTHORIZATION_REQUIRES_REVIEW</x:v>
      </x:c>
      <x:c r="H536" s="6" t="str">
        <x:v>LIVE_ROUTER_REGISTERED</x:v>
      </x:c>
      <x:c r="I536" s="6" t="str">
        <x:v>NO_DIRECT_LITERAL_MATCH_NOT_PROOF_UNUSED</x:v>
      </x:c>
      <x:c r="J536" s="6" t="str">
        <x:v>NOT_EXECUTED_BY_INVENTORY. SOURCE_LITERAL_OR_TRANSITIVE_HELPER_UNION</x:v>
      </x:c>
    </x:row>
    <x:row r="537" ht="42" customHeight="1">
      <x:c r="A537" s="15" t="str">
        <x:v>API-333</x:v>
      </x:c>
      <x:c r="B537" s="13" t="str">
        <x:v>GET</x:v>
      </x:c>
      <x:c r="C537" s="13" t="str">
        <x:v>/api/v1/portfolios/{portfolio_id}/investment-gate-preparation</x:v>
      </x:c>
      <x:c r="D537" s="13" t="str">
        <x:v>READ-ONLY SHARED CONTEXT</x:v>
      </x:c>
      <x:c r="E537" s="13" t="str">
        <x:v>investment_gate_preparation</x:v>
      </x:c>
      <x:c r="F537" s="13" t="str">
        <x:v>overview</x:v>
      </x:c>
      <x:c r="G537" s="13" t="str">
        <x:v>investment_gate_preparation.read</x:v>
      </x:c>
      <x:c r="H537" s="13" t="str">
        <x:v>LIVE_ROUTER_REGISTERED</x:v>
      </x:c>
      <x:c r="I537" s="13" t="str">
        <x:v>frontend/src/features/investment-gate-preparation/api.ts</x:v>
      </x:c>
      <x:c r="J537" s="13" t="str">
        <x:v>NOT_EXECUTED_BY_INVENTORY. SOURCE_LITERAL_OR_TRANSITIVE_HELPER_UNION</x:v>
      </x:c>
    </x:row>
    <x:row r="538" ht="42" customHeight="1">
      <x:c r="A538" s="14" t="str">
        <x:v>API-334</x:v>
      </x:c>
      <x:c r="B538" s="6" t="str">
        <x:v>GET</x:v>
      </x:c>
      <x:c r="C538" s="6" t="str">
        <x:v>/api/v1/owner-capability/admin/configurations</x:v>
      </x:c>
      <x:c r="D538" s="6" t="str">
        <x:v>ADMIN MODE</x:v>
      </x:c>
      <x:c r="E538" s="6" t="str">
        <x:v>owner_capability</x:v>
      </x:c>
      <x:c r="F538" s="6" t="str">
        <x:v>configurations</x:v>
      </x:c>
      <x:c r="G538" s="6" t="str">
        <x:v>admin.configure</x:v>
      </x:c>
      <x:c r="H538" s="6" t="str">
        <x:v>LIVE_ROUTER_REGISTERED</x:v>
      </x:c>
      <x:c r="I538" s="6" t="str">
        <x:v>NO_DIRECT_LITERAL_MATCH_NOT_PROOF_UNUSED</x:v>
      </x:c>
      <x:c r="J538" s="6" t="str">
        <x:v>NOT_EXECUTED_BY_INVENTORY. SOURCE_LITERAL_OR_TRANSITIVE_HELPER_UNION</x:v>
      </x:c>
    </x:row>
    <x:row r="539" ht="42" customHeight="1">
      <x:c r="A539" s="15" t="str">
        <x:v>API-335</x:v>
      </x:c>
      <x:c r="B539" s="13" t="str">
        <x:v>GET</x:v>
      </x:c>
      <x:c r="C539" s="13" t="str">
        <x:v>/api/v1/owner-capability/admin/configurations/{configuration_id}</x:v>
      </x:c>
      <x:c r="D539" s="13" t="str">
        <x:v>ADMIN MODE</x:v>
      </x:c>
      <x:c r="E539" s="13" t="str">
        <x:v>owner_capability</x:v>
      </x:c>
      <x:c r="F539" s="13" t="str">
        <x:v>configuration</x:v>
      </x:c>
      <x:c r="G539" s="13" t="str">
        <x:v>admin.configure</x:v>
      </x:c>
      <x:c r="H539" s="13" t="str">
        <x:v>LIVE_ROUTER_REGISTERED</x:v>
      </x:c>
      <x:c r="I539" s="13" t="str">
        <x:v>NO_DIRECT_LITERAL_MATCH_NOT_PROOF_UNUSED</x:v>
      </x:c>
      <x:c r="J539" s="13" t="str">
        <x:v>NOT_EXECUTED_BY_INVENTORY. SOURCE_LITERAL_OR_TRANSITIVE_HELPER_UNION</x:v>
      </x:c>
    </x:row>
    <x:row r="540" ht="42" customHeight="1">
      <x:c r="A540" s="14" t="str">
        <x:v>API-336</x:v>
      </x:c>
      <x:c r="B540" s="6" t="str">
        <x:v>PUT</x:v>
      </x:c>
      <x:c r="C540" s="6" t="str">
        <x:v>/api/v1/owner-capability/admin/configurations/{configuration_id}</x:v>
      </x:c>
      <x:c r="D540" s="6" t="str">
        <x:v>ADMIN MODE</x:v>
      </x:c>
      <x:c r="E540" s="6" t="str">
        <x:v>owner_capability</x:v>
      </x:c>
      <x:c r="F540" s="6" t="str">
        <x:v>edit configuration</x:v>
      </x:c>
      <x:c r="G540" s="6" t="str">
        <x:v>admin.configure</x:v>
      </x:c>
      <x:c r="H540" s="6" t="str">
        <x:v>LIVE_ROUTER_REGISTERED</x:v>
      </x:c>
      <x:c r="I540" s="6" t="str">
        <x:v>NO_DIRECT_LITERAL_MATCH_NOT_PROOF_UNUSED</x:v>
      </x:c>
      <x:c r="J540" s="6" t="str">
        <x:v>NOT_EXECUTED_BY_INVENTORY. SOURCE_LITERAL_OR_TRANSITIVE_HELPER_UNION</x:v>
      </x:c>
    </x:row>
    <x:row r="541" ht="42" customHeight="1">
      <x:c r="A541" s="15" t="str">
        <x:v>API-337</x:v>
      </x:c>
      <x:c r="B541" s="13" t="str">
        <x:v>POST</x:v>
      </x:c>
      <x:c r="C541" s="13" t="str">
        <x:v>/api/v1/owner-capability/admin/configurations/{configuration_id}/archive</x:v>
      </x:c>
      <x:c r="D541" s="13" t="str">
        <x:v>ADMIN MODE</x:v>
      </x:c>
      <x:c r="E541" s="13" t="str">
        <x:v>owner_capability</x:v>
      </x:c>
      <x:c r="F541" s="13" t="str">
        <x:v>archive</x:v>
      </x:c>
      <x:c r="G541" s="13" t="str">
        <x:v>admin.publish</x:v>
      </x:c>
      <x:c r="H541" s="13" t="str">
        <x:v>LIVE_ROUTER_REGISTERED</x:v>
      </x:c>
      <x:c r="I541" s="13" t="str">
        <x:v>NO_DIRECT_LITERAL_MATCH_NOT_PROOF_UNUSED</x:v>
      </x:c>
      <x:c r="J541" s="13" t="str">
        <x:v>NOT_EXECUTED_BY_INVENTORY. SOURCE_LITERAL_OR_TRANSITIVE_HELPER_UNION</x:v>
      </x:c>
    </x:row>
    <x:row r="542" ht="42" customHeight="1">
      <x:c r="A542" s="14" t="str">
        <x:v>API-338</x:v>
      </x:c>
      <x:c r="B542" s="6" t="str">
        <x:v>POST</x:v>
      </x:c>
      <x:c r="C542" s="6" t="str">
        <x:v>/api/v1/owner-capability/admin/configurations/{configuration_id}/clone</x:v>
      </x:c>
      <x:c r="D542" s="6" t="str">
        <x:v>ADMIN MODE</x:v>
      </x:c>
      <x:c r="E542" s="6" t="str">
        <x:v>owner_capability</x:v>
      </x:c>
      <x:c r="F542" s="6" t="str">
        <x:v>clone</x:v>
      </x:c>
      <x:c r="G542" s="6" t="str">
        <x:v>admin.configure</x:v>
      </x:c>
      <x:c r="H542" s="6" t="str">
        <x:v>LIVE_ROUTER_REGISTERED</x:v>
      </x:c>
      <x:c r="I542" s="6" t="str">
        <x:v>NO_DIRECT_LITERAL_MATCH_NOT_PROOF_UNUSED</x:v>
      </x:c>
      <x:c r="J542" s="6" t="str">
        <x:v>NOT_EXECUTED_BY_INVENTORY. SOURCE_LITERAL_OR_TRANSITIVE_HELPER_UNION</x:v>
      </x:c>
    </x:row>
    <x:row r="543" ht="42" customHeight="1">
      <x:c r="A543" s="15" t="str">
        <x:v>API-339</x:v>
      </x:c>
      <x:c r="B543" s="13" t="str">
        <x:v>GET</x:v>
      </x:c>
      <x:c r="C543" s="13" t="str">
        <x:v>/api/v1/owner-capability/admin/configurations/{configuration_id}/history</x:v>
      </x:c>
      <x:c r="D543" s="13" t="str">
        <x:v>ADMIN MODE</x:v>
      </x:c>
      <x:c r="E543" s="13" t="str">
        <x:v>owner_capability</x:v>
      </x:c>
      <x:c r="F543" s="13" t="str">
        <x:v>configuration history</x:v>
      </x:c>
      <x:c r="G543" s="13" t="str">
        <x:v>admin.configure</x:v>
      </x:c>
      <x:c r="H543" s="13" t="str">
        <x:v>LIVE_ROUTER_REGISTERED</x:v>
      </x:c>
      <x:c r="I543" s="13" t="str">
        <x:v>NO_DIRECT_LITERAL_MATCH_NOT_PROOF_UNUSED</x:v>
      </x:c>
      <x:c r="J543" s="13" t="str">
        <x:v>NOT_EXECUTED_BY_INVENTORY. SOURCE_LITERAL_OR_TRANSITIVE_HELPER_UNION</x:v>
      </x:c>
    </x:row>
    <x:row r="544" ht="42" customHeight="1">
      <x:c r="A544" s="14" t="str">
        <x:v>API-340</x:v>
      </x:c>
      <x:c r="B544" s="6" t="str">
        <x:v>POST</x:v>
      </x:c>
      <x:c r="C544" s="6" t="str">
        <x:v>/api/v1/owner-capability/admin/configurations/{configuration_id}/publish</x:v>
      </x:c>
      <x:c r="D544" s="6" t="str">
        <x:v>ADMIN MODE</x:v>
      </x:c>
      <x:c r="E544" s="6" t="str">
        <x:v>owner_capability</x:v>
      </x:c>
      <x:c r="F544" s="6" t="str">
        <x:v>publish</x:v>
      </x:c>
      <x:c r="G544" s="6" t="str">
        <x:v>admin.publish</x:v>
      </x:c>
      <x:c r="H544" s="6" t="str">
        <x:v>LIVE_ROUTER_REGISTERED</x:v>
      </x:c>
      <x:c r="I544" s="6" t="str">
        <x:v>NO_DIRECT_LITERAL_MATCH_NOT_PROOF_UNUSED</x:v>
      </x:c>
      <x:c r="J544" s="6" t="str">
        <x:v>NOT_EXECUTED_BY_INVENTORY. SOURCE_LITERAL_OR_TRANSITIVE_HELPER_UNION</x:v>
      </x:c>
    </x:row>
    <x:row r="545" ht="42" customHeight="1">
      <x:c r="A545" s="15" t="str">
        <x:v>API-341</x:v>
      </x:c>
      <x:c r="B545" s="13" t="str">
        <x:v>POST</x:v>
      </x:c>
      <x:c r="C545" s="13" t="str">
        <x:v>/api/v1/owner-capability/admin/effective-preview</x:v>
      </x:c>
      <x:c r="D545" s="13" t="str">
        <x:v>ADMIN MODE</x:v>
      </x:c>
      <x:c r="E545" s="13" t="str">
        <x:v>owner_capability</x:v>
      </x:c>
      <x:c r="F545" s="13" t="str">
        <x:v>configuration preview</x:v>
      </x:c>
      <x:c r="G545" s="13" t="str">
        <x:v>admin.configure</x:v>
      </x:c>
      <x:c r="H545" s="13" t="str">
        <x:v>LIVE_ROUTER_REGISTERED</x:v>
      </x:c>
      <x:c r="I545" s="13" t="str">
        <x:v>NO_DIRECT_LITERAL_MATCH_NOT_PROOF_UNUSED</x:v>
      </x:c>
      <x:c r="J545" s="13" t="str">
        <x:v>NOT_EXECUTED_BY_INVENTORY. SOURCE_LITERAL_OR_TRANSITIVE_HELPER_UNION</x:v>
      </x:c>
    </x:row>
    <x:row r="546" ht="42" customHeight="1">
      <x:c r="A546" s="14" t="str">
        <x:v>API-342</x:v>
      </x:c>
      <x:c r="B546" s="6" t="str">
        <x:v>POST</x:v>
      </x:c>
      <x:c r="C546" s="6" t="str">
        <x:v>/api/v1/owner-capability/admin/preview</x:v>
      </x:c>
      <x:c r="D546" s="6" t="str">
        <x:v>ADMIN MODE</x:v>
      </x:c>
      <x:c r="E546" s="6" t="str">
        <x:v>owner_capability</x:v>
      </x:c>
      <x:c r="F546" s="6" t="str">
        <x:v>configuration preview</x:v>
      </x:c>
      <x:c r="G546" s="6" t="str">
        <x:v>admin.configure</x:v>
      </x:c>
      <x:c r="H546" s="6" t="str">
        <x:v>LIVE_ROUTER_REGISTERED</x:v>
      </x:c>
      <x:c r="I546" s="6" t="str">
        <x:v>NO_DIRECT_LITERAL_MATCH_NOT_PROOF_UNUSED</x:v>
      </x:c>
      <x:c r="J546" s="6" t="str">
        <x:v>NOT_EXECUTED_BY_INVENTORY. SOURCE_LITERAL_OR_TRANSITIVE_HELPER_UNION</x:v>
      </x:c>
    </x:row>
    <x:row r="547" ht="42" customHeight="1">
      <x:c r="A547" s="15" t="str">
        <x:v>API-343</x:v>
      </x:c>
      <x:c r="B547" s="13" t="str">
        <x:v>GET</x:v>
      </x:c>
      <x:c r="C547" s="13" t="str">
        <x:v>/api/v1/owner-capability/assessments/{assessment_id}</x:v>
      </x:c>
      <x:c r="D547" s="13" t="str">
        <x:v>READ-ONLY SHARED CONTEXT</x:v>
      </x:c>
      <x:c r="E547" s="13" t="str">
        <x:v>owner_capability</x:v>
      </x:c>
      <x:c r="F547" s="13" t="str">
        <x:v>assessment</x:v>
      </x:c>
      <x:c r="G547" s="13" t="str">
        <x:v>HELPER_OR_SERVICE_AUTHORIZATION_REQUIRES_REVIEW</x:v>
      </x:c>
      <x:c r="H547" s="13" t="str">
        <x:v>LIVE_ROUTER_REGISTERED</x:v>
      </x:c>
      <x:c r="I547" s="13" t="str">
        <x:v>frontend/src/features/owner-capability/api.ts</x:v>
      </x:c>
      <x:c r="J547" s="13" t="str">
        <x:v>NOT_EXECUTED_BY_INVENTORY. SOURCE_LITERAL_OR_TRANSITIVE_HELPER_UNION</x:v>
      </x:c>
    </x:row>
    <x:row r="548" ht="42" customHeight="1">
      <x:c r="A548" s="14" t="str">
        <x:v>API-344</x:v>
      </x:c>
      <x:c r="B548" s="6" t="str">
        <x:v>PUT</x:v>
      </x:c>
      <x:c r="C548" s="6" t="str">
        <x:v>/api/v1/owner-capability/assessments/{assessment_id}</x:v>
      </x:c>
      <x:c r="D548" s="6" t="str">
        <x:v>USER MODE</x:v>
      </x:c>
      <x:c r="E548" s="6" t="str">
        <x:v>owner_capability</x:v>
      </x:c>
      <x:c r="F548" s="6" t="str">
        <x:v>update</x:v>
      </x:c>
      <x:c r="G548" s="6" t="str">
        <x:v>assessment.edit</x:v>
      </x:c>
      <x:c r="H548" s="6" t="str">
        <x:v>LIVE_ROUTER_REGISTERED</x:v>
      </x:c>
      <x:c r="I548" s="6" t="str">
        <x:v>frontend/src/features/owner-capability/api.ts</x:v>
      </x:c>
      <x:c r="J548" s="6" t="str">
        <x:v>NOT_EXECUTED_BY_INVENTORY. SOURCE_LITERAL_OR_TRANSITIVE_HELPER_UNION</x:v>
      </x:c>
    </x:row>
    <x:row r="549" ht="42" customHeight="1">
      <x:c r="A549" s="15" t="str">
        <x:v>API-345</x:v>
      </x:c>
      <x:c r="B549" s="13" t="str">
        <x:v>POST</x:v>
      </x:c>
      <x:c r="C549" s="13" t="str">
        <x:v>/api/v1/owner-capability/assessments/{assessment_id}/complete</x:v>
      </x:c>
      <x:c r="D549" s="13" t="str">
        <x:v>USER MODE</x:v>
      </x:c>
      <x:c r="E549" s="13" t="str">
        <x:v>owner_capability</x:v>
      </x:c>
      <x:c r="F549" s="13" t="str">
        <x:v>complete</x:v>
      </x:c>
      <x:c r="G549" s="13" t="str">
        <x:v>assessment.complete</x:v>
      </x:c>
      <x:c r="H549" s="13" t="str">
        <x:v>LIVE_ROUTER_REGISTERED</x:v>
      </x:c>
      <x:c r="I549" s="13" t="str">
        <x:v>NO_DIRECT_LITERAL_MATCH_NOT_PROOF_UNUSED</x:v>
      </x:c>
      <x:c r="J549" s="13" t="str">
        <x:v>NOT_EXECUTED_BY_INVENTORY. SOURCE_LITERAL_OR_TRANSITIVE_HELPER_UNION</x:v>
      </x:c>
    </x:row>
    <x:row r="550" ht="42" customHeight="1">
      <x:c r="A550" s="14" t="str">
        <x:v>API-346</x:v>
      </x:c>
      <x:c r="B550" s="6" t="str">
        <x:v>GET</x:v>
      </x:c>
      <x:c r="C550" s="6" t="str">
        <x:v>/api/v1/owner-capability/assessments/{assessment_id}/mitigations</x:v>
      </x:c>
      <x:c r="D550" s="6" t="str">
        <x:v>READ-ONLY SHARED CONTEXT</x:v>
      </x:c>
      <x:c r="E550" s="6" t="str">
        <x:v>owner_capability</x:v>
      </x:c>
      <x:c r="F550" s="6" t="str">
        <x:v>mitigations</x:v>
      </x:c>
      <x:c r="G550" s="6" t="str">
        <x:v>HELPER_OR_SERVICE_AUTHORIZATION_REQUIRES_REVIEW</x:v>
      </x:c>
      <x:c r="H550" s="6" t="str">
        <x:v>LIVE_ROUTER_REGISTERED</x:v>
      </x:c>
      <x:c r="I550" s="6" t="str">
        <x:v>frontend/src/features/owner-capability/api.ts</x:v>
      </x:c>
      <x:c r="J550" s="6" t="str">
        <x:v>NOT_EXECUTED_BY_INVENTORY. SOURCE_LITERAL_OR_TRANSITIVE_HELPER_UNION</x:v>
      </x:c>
    </x:row>
    <x:row r="551" ht="42" customHeight="1">
      <x:c r="A551" s="15" t="str">
        <x:v>API-347</x:v>
      </x:c>
      <x:c r="B551" s="13" t="str">
        <x:v>POST</x:v>
      </x:c>
      <x:c r="C551" s="13" t="str">
        <x:v>/api/v1/owner-capability/assessments/{assessment_id}/mitigations</x:v>
      </x:c>
      <x:c r="D551" s="13" t="str">
        <x:v>USER MODE</x:v>
      </x:c>
      <x:c r="E551" s="13" t="str">
        <x:v>owner_capability</x:v>
      </x:c>
      <x:c r="F551" s="13" t="str">
        <x:v>create mitigation</x:v>
      </x:c>
      <x:c r="G551" s="13" t="str">
        <x:v>mitigation.edit</x:v>
      </x:c>
      <x:c r="H551" s="13" t="str">
        <x:v>LIVE_ROUTER_REGISTERED</x:v>
      </x:c>
      <x:c r="I551" s="13" t="str">
        <x:v>frontend/src/features/owner-capability/api.ts</x:v>
      </x:c>
      <x:c r="J551" s="13" t="str">
        <x:v>NOT_EXECUTED_BY_INVENTORY. SOURCE_LITERAL_OR_TRANSITIVE_HELPER_UNION</x:v>
      </x:c>
    </x:row>
    <x:row r="552" ht="42" customHeight="1">
      <x:c r="A552" s="14" t="str">
        <x:v>API-348</x:v>
      </x:c>
      <x:c r="B552" s="6" t="str">
        <x:v>PUT</x:v>
      </x:c>
      <x:c r="C552" s="6" t="str">
        <x:v>/api/v1/owner-capability/assessments/{assessment_id}/mitigations/{mitigation_id}</x:v>
      </x:c>
      <x:c r="D552" s="6" t="str">
        <x:v>USER MODE</x:v>
      </x:c>
      <x:c r="E552" s="6" t="str">
        <x:v>owner_capability</x:v>
      </x:c>
      <x:c r="F552" s="6" t="str">
        <x:v>update mitigation</x:v>
      </x:c>
      <x:c r="G552" s="6" t="str">
        <x:v>mitigation.edit</x:v>
      </x:c>
      <x:c r="H552" s="6" t="str">
        <x:v>LIVE_ROUTER_REGISTERED</x:v>
      </x:c>
      <x:c r="I552" s="6" t="str">
        <x:v>frontend/src/features/owner-capability/api.ts</x:v>
      </x:c>
      <x:c r="J552" s="6" t="str">
        <x:v>NOT_EXECUTED_BY_INVENTORY. SOURCE_LITERAL_OR_TRANSITIVE_HELPER_UNION</x:v>
      </x:c>
    </x:row>
    <x:row r="553" ht="42" customHeight="1">
      <x:c r="A553" s="15" t="str">
        <x:v>API-349</x:v>
      </x:c>
      <x:c r="B553" s="13" t="str">
        <x:v>POST</x:v>
      </x:c>
      <x:c r="C553" s="13" t="str">
        <x:v>/api/v1/owner-capability/assessments/{assessment_id}/preview</x:v>
      </x:c>
      <x:c r="D553" s="13" t="str">
        <x:v>USER MODE</x:v>
      </x:c>
      <x:c r="E553" s="13" t="str">
        <x:v>owner_capability</x:v>
      </x:c>
      <x:c r="F553" s="13" t="str">
        <x:v>preview</x:v>
      </x:c>
      <x:c r="G553" s="13" t="str">
        <x:v>HELPER_OR_SERVICE_AUTHORIZATION_REQUIRES_REVIEW</x:v>
      </x:c>
      <x:c r="H553" s="13" t="str">
        <x:v>LIVE_ROUTER_REGISTERED</x:v>
      </x:c>
      <x:c r="I553" s="13" t="str">
        <x:v>NO_DIRECT_LITERAL_MATCH_NOT_PROOF_UNUSED</x:v>
      </x:c>
      <x:c r="J553" s="13" t="str">
        <x:v>NOT_EXECUTED_BY_INVENTORY. SOURCE_LITERAL_OR_TRANSITIVE_HELPER_UNION</x:v>
      </x:c>
    </x:row>
    <x:row r="554" ht="42" customHeight="1">
      <x:c r="A554" s="14" t="str">
        <x:v>API-350</x:v>
      </x:c>
      <x:c r="B554" s="6" t="str">
        <x:v>POST</x:v>
      </x:c>
      <x:c r="C554" s="6" t="str">
        <x:v>/api/v1/owner-capability/assessments/{assessment_id}/refresh-apply</x:v>
      </x:c>
      <x:c r="D554" s="6" t="str">
        <x:v>USER MODE</x:v>
      </x:c>
      <x:c r="E554" s="6" t="str">
        <x:v>owner_capability</x:v>
      </x:c>
      <x:c r="F554" s="6" t="str">
        <x:v>refresh</x:v>
      </x:c>
      <x:c r="G554" s="6" t="str">
        <x:v>assessment.create</x:v>
      </x:c>
      <x:c r="H554" s="6" t="str">
        <x:v>LIVE_ROUTER_REGISTERED</x:v>
      </x:c>
      <x:c r="I554" s="6" t="str">
        <x:v>NO_DIRECT_LITERAL_MATCH_NOT_PROOF_UNUSED</x:v>
      </x:c>
      <x:c r="J554" s="6" t="str">
        <x:v>NOT_EXECUTED_BY_INVENTORY. SOURCE_LITERAL_OR_TRANSITIVE_HELPER_UNION</x:v>
      </x:c>
    </x:row>
    <x:row r="555" ht="42" customHeight="1">
      <x:c r="A555" s="15" t="str">
        <x:v>API-351</x:v>
      </x:c>
      <x:c r="B555" s="13" t="str">
        <x:v>GET</x:v>
      </x:c>
      <x:c r="C555" s="13" t="str">
        <x:v>/api/v1/owner-capability/assessments/{assessment_id}/refresh-preview</x:v>
      </x:c>
      <x:c r="D555" s="13" t="str">
        <x:v>READ-ONLY SHARED CONTEXT</x:v>
      </x:c>
      <x:c r="E555" s="13" t="str">
        <x:v>owner_capability</x:v>
      </x:c>
      <x:c r="F555" s="13" t="str">
        <x:v>refresh preview</x:v>
      </x:c>
      <x:c r="G555" s="13" t="str">
        <x:v>HELPER_OR_SERVICE_AUTHORIZATION_REQUIRES_REVIEW</x:v>
      </x:c>
      <x:c r="H555" s="13" t="str">
        <x:v>LIVE_ROUTER_REGISTERED</x:v>
      </x:c>
      <x:c r="I555" s="13" t="str">
        <x:v>frontend/src/features/owner-capability/api.ts</x:v>
      </x:c>
      <x:c r="J555" s="13" t="str">
        <x:v>NOT_EXECUTED_BY_INVENTORY. SOURCE_LITERAL_OR_TRANSITIVE_HELPER_UNION</x:v>
      </x:c>
    </x:row>
    <x:row r="556" ht="42" customHeight="1">
      <x:c r="A556" s="14" t="str">
        <x:v>API-352</x:v>
      </x:c>
      <x:c r="B556" s="6" t="str">
        <x:v>POST</x:v>
      </x:c>
      <x:c r="C556" s="6" t="str">
        <x:v>/api/v1/owner-capability/assessments/{assessment_id}/refresh-preview</x:v>
      </x:c>
      <x:c r="D556" s="6" t="str">
        <x:v>USER MODE</x:v>
      </x:c>
      <x:c r="E556" s="6" t="str">
        <x:v>owner_capability</x:v>
      </x:c>
      <x:c r="F556" s="6" t="str">
        <x:v>refresh preview</x:v>
      </x:c>
      <x:c r="G556" s="6" t="str">
        <x:v>HELPER_OR_SERVICE_AUTHORIZATION_REQUIRES_REVIEW</x:v>
      </x:c>
      <x:c r="H556" s="6" t="str">
        <x:v>LIVE_ROUTER_REGISTERED</x:v>
      </x:c>
      <x:c r="I556" s="6" t="str">
        <x:v>frontend/src/features/owner-capability/api.ts</x:v>
      </x:c>
      <x:c r="J556" s="6" t="str">
        <x:v>NOT_EXECUTED_BY_INVENTORY. SOURCE_LITERAL_OR_TRANSITIVE_HELPER_UNION</x:v>
      </x:c>
    </x:row>
    <x:row r="557" ht="42" customHeight="1">
      <x:c r="A557" s="15" t="str">
        <x:v>API-353</x:v>
      </x:c>
      <x:c r="B557" s="13" t="str">
        <x:v>POST</x:v>
      </x:c>
      <x:c r="C557" s="13" t="str">
        <x:v>/api/v1/owner-capability/assessments/{assessment_id}/review</x:v>
      </x:c>
      <x:c r="D557" s="13" t="str">
        <x:v>USER MODE</x:v>
      </x:c>
      <x:c r="E557" s="13" t="str">
        <x:v>owner_capability</x:v>
      </x:c>
      <x:c r="F557" s="13" t="str">
        <x:v>review</x:v>
      </x:c>
      <x:c r="G557" s="13" t="str">
        <x:v>assessment.review</x:v>
      </x:c>
      <x:c r="H557" s="13" t="str">
        <x:v>LIVE_ROUTER_REGISTERED</x:v>
      </x:c>
      <x:c r="I557" s="13" t="str">
        <x:v>NO_DIRECT_LITERAL_MATCH_NOT_PROOF_UNUSED</x:v>
      </x:c>
      <x:c r="J557" s="13" t="str">
        <x:v>NOT_EXECUTED_BY_INVENTORY. SOURCE_LITERAL_OR_TRANSITIVE_HELPER_UNION</x:v>
      </x:c>
    </x:row>
    <x:row r="558" ht="42" customHeight="1">
      <x:c r="A558" s="14" t="str">
        <x:v>API-354</x:v>
      </x:c>
      <x:c r="B558" s="6" t="str">
        <x:v>POST</x:v>
      </x:c>
      <x:c r="C558" s="6" t="str">
        <x:v>/api/v1/owner-capability/assessments/{assessment_id}/submit</x:v>
      </x:c>
      <x:c r="D558" s="6" t="str">
        <x:v>USER MODE</x:v>
      </x:c>
      <x:c r="E558" s="6" t="str">
        <x:v>owner_capability</x:v>
      </x:c>
      <x:c r="F558" s="6" t="str">
        <x:v>submit</x:v>
      </x:c>
      <x:c r="G558" s="6" t="str">
        <x:v>assessment.submit</x:v>
      </x:c>
      <x:c r="H558" s="6" t="str">
        <x:v>LIVE_ROUTER_REGISTERED</x:v>
      </x:c>
      <x:c r="I558" s="6" t="str">
        <x:v>NO_DIRECT_LITERAL_MATCH_NOT_PROOF_UNUSED</x:v>
      </x:c>
      <x:c r="J558" s="6" t="str">
        <x:v>NOT_EXECUTED_BY_INVENTORY. SOURCE_LITERAL_OR_TRANSITIVE_HELPER_UNION</x:v>
      </x:c>
    </x:row>
    <x:row r="559" ht="42" customHeight="1">
      <x:c r="A559" s="15" t="str">
        <x:v>API-355</x:v>
      </x:c>
      <x:c r="B559" s="13" t="str">
        <x:v>GET</x:v>
      </x:c>
      <x:c r="C559" s="13" t="str">
        <x:v>/api/v1/owner-capability/options</x:v>
      </x:c>
      <x:c r="D559" s="13" t="str">
        <x:v>READ-ONLY SHARED CONTEXT</x:v>
      </x:c>
      <x:c r="E559" s="13" t="str">
        <x:v>owner_capability</x:v>
      </x:c>
      <x:c r="F559" s="13" t="str">
        <x:v>options</x:v>
      </x:c>
      <x:c r="G559" s="13" t="str">
        <x:v>HELPER_OR_SERVICE_AUTHORIZATION_REQUIRES_REVIEW</x:v>
      </x:c>
      <x:c r="H559" s="13" t="str">
        <x:v>LIVE_ROUTER_REGISTERED</x:v>
      </x:c>
      <x:c r="I559" s="13" t="str">
        <x:v>frontend/src/features/owner-capability/api.ts</x:v>
      </x:c>
      <x:c r="J559" s="13" t="str">
        <x:v>NOT_EXECUTED_BY_INVENTORY. SOURCE_LITERAL_OR_TRANSITIVE_HELPER_UNION</x:v>
      </x:c>
    </x:row>
    <x:row r="560" ht="42" customHeight="1">
      <x:c r="A560" s="14" t="str">
        <x:v>API-356</x:v>
      </x:c>
      <x:c r="B560" s="6" t="str">
        <x:v>GET</x:v>
      </x:c>
      <x:c r="C560" s="6" t="str">
        <x:v>/api/v1/owner-capability/projects/{project_id}/assessments</x:v>
      </x:c>
      <x:c r="D560" s="6" t="str">
        <x:v>READ-ONLY SHARED CONTEXT</x:v>
      </x:c>
      <x:c r="E560" s="6" t="str">
        <x:v>owner_capability</x:v>
      </x:c>
      <x:c r="F560" s="6" t="str">
        <x:v>assessments</x:v>
      </x:c>
      <x:c r="G560" s="6" t="str">
        <x:v>HELPER_OR_SERVICE_AUTHORIZATION_REQUIRES_REVIEW</x:v>
      </x:c>
      <x:c r="H560" s="6" t="str">
        <x:v>LIVE_ROUTER_REGISTERED</x:v>
      </x:c>
      <x:c r="I560" s="6" t="str">
        <x:v>frontend/src/features/owner-capability/api.ts</x:v>
      </x:c>
      <x:c r="J560" s="6" t="str">
        <x:v>NOT_EXECUTED_BY_INVENTORY. SOURCE_LITERAL_OR_TRANSITIVE_HELPER_UNION</x:v>
      </x:c>
    </x:row>
    <x:row r="561" ht="42" customHeight="1">
      <x:c r="A561" s="15" t="str">
        <x:v>API-357</x:v>
      </x:c>
      <x:c r="B561" s="13" t="str">
        <x:v>POST</x:v>
      </x:c>
      <x:c r="C561" s="13" t="str">
        <x:v>/api/v1/owner-capability/projects/{project_id}/assessments</x:v>
      </x:c>
      <x:c r="D561" s="13" t="str">
        <x:v>USER MODE</x:v>
      </x:c>
      <x:c r="E561" s="13" t="str">
        <x:v>owner_capability</x:v>
      </x:c>
      <x:c r="F561" s="13" t="str">
        <x:v>create</x:v>
      </x:c>
      <x:c r="G561" s="13" t="str">
        <x:v>assessment.create</x:v>
      </x:c>
      <x:c r="H561" s="13" t="str">
        <x:v>LIVE_ROUTER_REGISTERED</x:v>
      </x:c>
      <x:c r="I561" s="13" t="str">
        <x:v>frontend/src/features/owner-capability/api.ts</x:v>
      </x:c>
      <x:c r="J561" s="13" t="str">
        <x:v>NOT_EXECUTED_BY_INVENTORY. SOURCE_LITERAL_OR_TRANSITIVE_HELPER_UNION</x:v>
      </x:c>
    </x:row>
    <x:row r="562" ht="42" customHeight="1">
      <x:c r="A562" s="14" t="str">
        <x:v>API-358</x:v>
      </x:c>
      <x:c r="B562" s="6" t="str">
        <x:v>GET</x:v>
      </x:c>
      <x:c r="C562" s="6" t="str">
        <x:v>/api/v1/owner-capability/projects/{project_id}/contexts</x:v>
      </x:c>
      <x:c r="D562" s="6" t="str">
        <x:v>READ-ONLY SHARED CONTEXT</x:v>
      </x:c>
      <x:c r="E562" s="6" t="str">
        <x:v>owner_capability</x:v>
      </x:c>
      <x:c r="F562" s="6" t="str">
        <x:v>contexts</x:v>
      </x:c>
      <x:c r="G562" s="6" t="str">
        <x:v>HELPER_OR_SERVICE_AUTHORIZATION_REQUIRES_REVIEW</x:v>
      </x:c>
      <x:c r="H562" s="6" t="str">
        <x:v>LIVE_ROUTER_REGISTERED</x:v>
      </x:c>
      <x:c r="I562" s="6" t="str">
        <x:v>frontend/src/features/owner-capability/api.ts</x:v>
      </x:c>
      <x:c r="J562" s="6" t="str">
        <x:v>NOT_EXECUTED_BY_INVENTORY. SOURCE_LITERAL_OR_TRANSITIVE_HELPER_UNION</x:v>
      </x:c>
    </x:row>
    <x:row r="563" ht="42" customHeight="1">
      <x:c r="A563" s="15" t="str">
        <x:v>API-359</x:v>
      </x:c>
      <x:c r="B563" s="13" t="str">
        <x:v>GET</x:v>
      </x:c>
      <x:c r="C563" s="13" t="str">
        <x:v>/api/v1/owner-capability/projects/{project_id}/current-readiness</x:v>
      </x:c>
      <x:c r="D563" s="13" t="str">
        <x:v>READ-ONLY SHARED CONTEXT</x:v>
      </x:c>
      <x:c r="E563" s="13" t="str">
        <x:v>owner_capability</x:v>
      </x:c>
      <x:c r="F563" s="13" t="str">
        <x:v>current</x:v>
      </x:c>
      <x:c r="G563" s="13" t="str">
        <x:v>HELPER_OR_SERVICE_AUTHORIZATION_REQUIRES_REVIEW</x:v>
      </x:c>
      <x:c r="H563" s="13" t="str">
        <x:v>LIVE_ROUTER_REGISTERED</x:v>
      </x:c>
      <x:c r="I563" s="13" t="str">
        <x:v>frontend/src/features/owner-capability/api.ts</x:v>
      </x:c>
      <x:c r="J563" s="13" t="str">
        <x:v>NOT_EXECUTED_BY_INVENTORY. SOURCE_LITERAL_OR_TRANSITIVE_HELPER_UNION</x:v>
      </x:c>
    </x:row>
    <x:row r="564" ht="42" customHeight="1">
      <x:c r="A564" s="14" t="str">
        <x:v>API-360</x:v>
      </x:c>
      <x:c r="B564" s="6" t="str">
        <x:v>GET</x:v>
      </x:c>
      <x:c r="C564" s="6" t="str">
        <x:v>/api/v1/owner-capability/projects/{project_id}/provider-evidence</x:v>
      </x:c>
      <x:c r="D564" s="6" t="str">
        <x:v>READ-ONLY SHARED CONTEXT</x:v>
      </x:c>
      <x:c r="E564" s="6" t="str">
        <x:v>owner_capability</x:v>
      </x:c>
      <x:c r="F564" s="6" t="str">
        <x:v>evidence</x:v>
      </x:c>
      <x:c r="G564" s="6" t="str">
        <x:v>HELPER_OR_SERVICE_AUTHORIZATION_REQUIRES_REVIEW</x:v>
      </x:c>
      <x:c r="H564" s="6" t="str">
        <x:v>LIVE_ROUTER_REGISTERED</x:v>
      </x:c>
      <x:c r="I564" s="6" t="str">
        <x:v>NO_DIRECT_LITERAL_MATCH_NOT_PROOF_UNUSED</x:v>
      </x:c>
      <x:c r="J564" s="6" t="str">
        <x:v>NOT_EXECUTED_BY_INVENTORY. SOURCE_LITERAL_OR_TRANSITIVE_HELPER_UNION</x:v>
      </x:c>
    </x:row>
    <x:row r="565" ht="42" customHeight="1">
      <x:c r="A565" s="15" t="str">
        <x:v>API-361</x:v>
      </x:c>
      <x:c r="B565" s="13" t="str">
        <x:v>GET</x:v>
      </x:c>
      <x:c r="C565" s="13" t="str">
        <x:v>/api/v1/owner-capability/projects/{project_id}/requirements</x:v>
      </x:c>
      <x:c r="D565" s="13" t="str">
        <x:v>READ-ONLY SHARED CONTEXT</x:v>
      </x:c>
      <x:c r="E565" s="13" t="str">
        <x:v>owner_capability</x:v>
      </x:c>
      <x:c r="F565" s="13" t="str">
        <x:v>requirements</x:v>
      </x:c>
      <x:c r="G565" s="13" t="str">
        <x:v>HELPER_OR_SERVICE_AUTHORIZATION_REQUIRES_REVIEW</x:v>
      </x:c>
      <x:c r="H565" s="13" t="str">
        <x:v>LIVE_ROUTER_REGISTERED</x:v>
      </x:c>
      <x:c r="I565" s="13" t="str">
        <x:v>frontend/src/features/owner-capability/api.ts</x:v>
      </x:c>
      <x:c r="J565" s="13" t="str">
        <x:v>NOT_EXECUTED_BY_INVENTORY. SOURCE_LITERAL_OR_TRANSITIVE_HELPER_UNION</x:v>
      </x:c>
    </x:row>
    <x:row r="566" ht="42" customHeight="1">
      <x:c r="A566" s="14" t="str">
        <x:v>API-362</x:v>
      </x:c>
      <x:c r="B566" s="6" t="str">
        <x:v>PUT</x:v>
      </x:c>
      <x:c r="C566" s="6" t="str">
        <x:v>/api/v1/permit-conditions/{condition_id}</x:v>
      </x:c>
      <x:c r="D566" s="6" t="str">
        <x:v>USER MODE</x:v>
      </x:c>
      <x:c r="E566" s="6" t="str">
        <x:v>permit_readiness</x:v>
      </x:c>
      <x:c r="F566" s="6" t="str">
        <x:v>update condition</x:v>
      </x:c>
      <x:c r="G566" s="6" t="str">
        <x:v>permit.condition.manage</x:v>
      </x:c>
      <x:c r="H566" s="6" t="str">
        <x:v>LIVE_ROUTER_REGISTERED</x:v>
      </x:c>
      <x:c r="I566" s="6" t="str">
        <x:v>NO_DIRECT_LITERAL_MATCH_NOT_PROOF_UNUSED</x:v>
      </x:c>
      <x:c r="J566" s="6" t="str">
        <x:v>NOT_EXECUTED_BY_INVENTORY. SOURCE_LITERAL_OR_TRANSITIVE_HELPER_UNION</x:v>
      </x:c>
    </x:row>
    <x:row r="567" ht="42" customHeight="1">
      <x:c r="A567" s="15" t="str">
        <x:v>API-363</x:v>
      </x:c>
      <x:c r="B567" s="13" t="str">
        <x:v>GET</x:v>
      </x:c>
      <x:c r="C567" s="13" t="str">
        <x:v>/api/v1/permit-readiness-assessments/{assessment_id}</x:v>
      </x:c>
      <x:c r="D567" s="13" t="str">
        <x:v>READ-ONLY SHARED CONTEXT</x:v>
      </x:c>
      <x:c r="E567" s="13" t="str">
        <x:v>permit_readiness</x:v>
      </x:c>
      <x:c r="F567" s="13" t="str">
        <x:v>assessment</x:v>
      </x:c>
      <x:c r="G567" s="13" t="str">
        <x:v>permit_readiness.read</x:v>
      </x:c>
      <x:c r="H567" s="13" t="str">
        <x:v>LIVE_ROUTER_REGISTERED</x:v>
      </x:c>
      <x:c r="I567" s="13" t="str">
        <x:v>NO_DIRECT_LITERAL_MATCH_NOT_PROOF_UNUSED</x:v>
      </x:c>
      <x:c r="J567" s="13" t="str">
        <x:v>NOT_EXECUTED_BY_INVENTORY. SOURCE_LITERAL_OR_TRANSITIVE_HELPER_UNION</x:v>
      </x:c>
    </x:row>
    <x:row r="568" ht="42" customHeight="1">
      <x:c r="A568" s="14" t="str">
        <x:v>API-364</x:v>
      </x:c>
      <x:c r="B568" s="6" t="str">
        <x:v>PUT</x:v>
      </x:c>
      <x:c r="C568" s="6" t="str">
        <x:v>/api/v1/permit-readiness-assessments/{assessment_id}</x:v>
      </x:c>
      <x:c r="D568" s="6" t="str">
        <x:v>USER MODE</x:v>
      </x:c>
      <x:c r="E568" s="6" t="str">
        <x:v>permit_readiness</x:v>
      </x:c>
      <x:c r="F568" s="6" t="str">
        <x:v>update assessment</x:v>
      </x:c>
      <x:c r="G568" s="6" t="str">
        <x:v>permit_readiness.edit</x:v>
      </x:c>
      <x:c r="H568" s="6" t="str">
        <x:v>LIVE_ROUTER_REGISTERED</x:v>
      </x:c>
      <x:c r="I568" s="6" t="str">
        <x:v>NO_DIRECT_LITERAL_MATCH_NOT_PROOF_UNUSED</x:v>
      </x:c>
      <x:c r="J568" s="6" t="str">
        <x:v>NOT_EXECUTED_BY_INVENTORY. SOURCE_LITERAL_OR_TRANSITIVE_HELPER_UNION</x:v>
      </x:c>
    </x:row>
    <x:row r="569" ht="42" customHeight="1">
      <x:c r="A569" s="15" t="str">
        <x:v>API-365</x:v>
      </x:c>
      <x:c r="B569" s="13" t="str">
        <x:v>POST</x:v>
      </x:c>
      <x:c r="C569" s="13" t="str">
        <x:v>/api/v1/permit-readiness-assessments/{assessment_id}/complete</x:v>
      </x:c>
      <x:c r="D569" s="13" t="str">
        <x:v>USER MODE</x:v>
      </x:c>
      <x:c r="E569" s="13" t="str">
        <x:v>permit_readiness</x:v>
      </x:c>
      <x:c r="F569" s="13" t="str">
        <x:v>complete assessment</x:v>
      </x:c>
      <x:c r="G569" s="13" t="str">
        <x:v>permit_readiness.complete</x:v>
      </x:c>
      <x:c r="H569" s="13" t="str">
        <x:v>LIVE_ROUTER_REGISTERED</x:v>
      </x:c>
      <x:c r="I569" s="13" t="str">
        <x:v>frontend/src/features/permit-readiness/api.ts</x:v>
      </x:c>
      <x:c r="J569" s="13" t="str">
        <x:v>NOT_EXECUTED_BY_INVENTORY. SOURCE_LITERAL_OR_TRANSITIVE_HELPER_UNION</x:v>
      </x:c>
    </x:row>
    <x:row r="570" ht="42" customHeight="1">
      <x:c r="A570" s="14" t="str">
        <x:v>API-366</x:v>
      </x:c>
      <x:c r="B570" s="6" t="str">
        <x:v>POST</x:v>
      </x:c>
      <x:c r="C570" s="6" t="str">
        <x:v>/api/v1/permit-readiness-assessments/{assessment_id}/reassess</x:v>
      </x:c>
      <x:c r="D570" s="6" t="str">
        <x:v>USER MODE</x:v>
      </x:c>
      <x:c r="E570" s="6" t="str">
        <x:v>permit_readiness</x:v>
      </x:c>
      <x:c r="F570" s="6" t="str">
        <x:v>reassess</x:v>
      </x:c>
      <x:c r="G570" s="6" t="str">
        <x:v>permit_readiness.reassess</x:v>
      </x:c>
      <x:c r="H570" s="6" t="str">
        <x:v>LIVE_ROUTER_REGISTERED</x:v>
      </x:c>
      <x:c r="I570" s="6" t="str">
        <x:v>NO_DIRECT_LITERAL_MATCH_NOT_PROOF_UNUSED</x:v>
      </x:c>
      <x:c r="J570" s="6" t="str">
        <x:v>NOT_EXECUTED_BY_INVENTORY. SOURCE_LITERAL_OR_TRANSITIVE_HELPER_UNION</x:v>
      </x:c>
    </x:row>
    <x:row r="571" ht="42" customHeight="1">
      <x:c r="A571" s="15" t="str">
        <x:v>API-367</x:v>
      </x:c>
      <x:c r="B571" s="13" t="str">
        <x:v>GET</x:v>
      </x:c>
      <x:c r="C571" s="13" t="str">
        <x:v>/api/v1/permit-readiness/admin/configurations</x:v>
      </x:c>
      <x:c r="D571" s="13" t="str">
        <x:v>ADMIN MODE</x:v>
      </x:c>
      <x:c r="E571" s="13" t="str">
        <x:v>permit_readiness</x:v>
      </x:c>
      <x:c r="F571" s="13" t="str">
        <x:v>configurations</x:v>
      </x:c>
      <x:c r="G571" s="13" t="str">
        <x:v>permit_readiness.admin.configure</x:v>
      </x:c>
      <x:c r="H571" s="13" t="str">
        <x:v>LIVE_ROUTER_REGISTERED</x:v>
      </x:c>
      <x:c r="I571" s="13" t="str">
        <x:v>frontend/src/features/permit-readiness/api.ts</x:v>
      </x:c>
      <x:c r="J571" s="13" t="str">
        <x:v>NOT_EXECUTED_BY_INVENTORY. SOURCE_LITERAL_OR_TRANSITIVE_HELPER_UNION</x:v>
      </x:c>
    </x:row>
    <x:row r="572" ht="42" customHeight="1">
      <x:c r="A572" s="14" t="str">
        <x:v>API-368</x:v>
      </x:c>
      <x:c r="B572" s="6" t="str">
        <x:v>POST</x:v>
      </x:c>
      <x:c r="C572" s="6" t="str">
        <x:v>/api/v1/permit-readiness/admin/configurations/preview</x:v>
      </x:c>
      <x:c r="D572" s="6" t="str">
        <x:v>ADMIN MODE</x:v>
      </x:c>
      <x:c r="E572" s="6" t="str">
        <x:v>permit_readiness</x:v>
      </x:c>
      <x:c r="F572" s="6" t="str">
        <x:v>preview configuration</x:v>
      </x:c>
      <x:c r="G572" s="6" t="str">
        <x:v>permit_readiness.admin.configure</x:v>
      </x:c>
      <x:c r="H572" s="6" t="str">
        <x:v>LIVE_ROUTER_REGISTERED</x:v>
      </x:c>
      <x:c r="I572" s="6" t="str">
        <x:v>frontend/src/features/permit-readiness/api.ts</x:v>
      </x:c>
      <x:c r="J572" s="6" t="str">
        <x:v>NOT_EXECUTED_BY_INVENTORY. SOURCE_LITERAL_OR_TRANSITIVE_HELPER_UNION</x:v>
      </x:c>
    </x:row>
    <x:row r="573" ht="42" customHeight="1">
      <x:c r="A573" s="15" t="str">
        <x:v>API-369</x:v>
      </x:c>
      <x:c r="B573" s="13" t="str">
        <x:v>PUT</x:v>
      </x:c>
      <x:c r="C573" s="13" t="str">
        <x:v>/api/v1/permit-readiness/admin/configurations/{configuration_id}</x:v>
      </x:c>
      <x:c r="D573" s="13" t="str">
        <x:v>ADMIN MODE</x:v>
      </x:c>
      <x:c r="E573" s="13" t="str">
        <x:v>permit_readiness</x:v>
      </x:c>
      <x:c r="F573" s="13" t="str">
        <x:v>update configuration</x:v>
      </x:c>
      <x:c r="G573" s="13" t="str">
        <x:v>permit_readiness.admin.configure</x:v>
      </x:c>
      <x:c r="H573" s="13" t="str">
        <x:v>LIVE_ROUTER_REGISTERED</x:v>
      </x:c>
      <x:c r="I573" s="13" t="str">
        <x:v>frontend/src/features/permit-readiness/api.ts</x:v>
      </x:c>
      <x:c r="J573" s="13" t="str">
        <x:v>NOT_EXECUTED_BY_INVENTORY. SOURCE_LITERAL_OR_TRANSITIVE_HELPER_UNION</x:v>
      </x:c>
    </x:row>
    <x:row r="574" ht="42" customHeight="1">
      <x:c r="A574" s="14" t="str">
        <x:v>API-370</x:v>
      </x:c>
      <x:c r="B574" s="6" t="str">
        <x:v>POST</x:v>
      </x:c>
      <x:c r="C574" s="6" t="str">
        <x:v>/api/v1/permit-readiness/admin/configurations/{configuration_id}/clone</x:v>
      </x:c>
      <x:c r="D574" s="6" t="str">
        <x:v>ADMIN MODE</x:v>
      </x:c>
      <x:c r="E574" s="6" t="str">
        <x:v>permit_readiness</x:v>
      </x:c>
      <x:c r="F574" s="6" t="str">
        <x:v>clone configuration</x:v>
      </x:c>
      <x:c r="G574" s="6" t="str">
        <x:v>permit_readiness.admin.configure</x:v>
      </x:c>
      <x:c r="H574" s="6" t="str">
        <x:v>LIVE_ROUTER_REGISTERED</x:v>
      </x:c>
      <x:c r="I574" s="6" t="str">
        <x:v>frontend/src/features/permit-readiness/api.ts</x:v>
      </x:c>
      <x:c r="J574" s="6" t="str">
        <x:v>NOT_EXECUTED_BY_INVENTORY. SOURCE_LITERAL_OR_TRANSITIVE_HELPER_UNION</x:v>
      </x:c>
    </x:row>
    <x:row r="575" ht="42" customHeight="1">
      <x:c r="A575" s="15" t="str">
        <x:v>API-371</x:v>
      </x:c>
      <x:c r="B575" s="13" t="str">
        <x:v>POST</x:v>
      </x:c>
      <x:c r="C575" s="13" t="str">
        <x:v>/api/v1/permit-readiness/admin/configurations/{configuration_id}/publish</x:v>
      </x:c>
      <x:c r="D575" s="13" t="str">
        <x:v>ADMIN MODE</x:v>
      </x:c>
      <x:c r="E575" s="13" t="str">
        <x:v>permit_readiness</x:v>
      </x:c>
      <x:c r="F575" s="13" t="str">
        <x:v>publish configuration</x:v>
      </x:c>
      <x:c r="G575" s="13" t="str">
        <x:v>permit_readiness.admin.publish</x:v>
      </x:c>
      <x:c r="H575" s="13" t="str">
        <x:v>LIVE_ROUTER_REGISTERED</x:v>
      </x:c>
      <x:c r="I575" s="13" t="str">
        <x:v>frontend/src/features/permit-readiness/api.ts</x:v>
      </x:c>
      <x:c r="J575" s="13" t="str">
        <x:v>NOT_EXECUTED_BY_INVENTORY. SOURCE_LITERAL_OR_TRANSITIVE_HELPER_UNION</x:v>
      </x:c>
    </x:row>
    <x:row r="576" ht="42" customHeight="1">
      <x:c r="A576" s="14" t="str">
        <x:v>API-372</x:v>
      </x:c>
      <x:c r="B576" s="6" t="str">
        <x:v>GET</x:v>
      </x:c>
      <x:c r="C576" s="6" t="str">
        <x:v>/api/v1/permit-readiness/overview</x:v>
      </x:c>
      <x:c r="D576" s="6" t="str">
        <x:v>READ-ONLY SHARED CONTEXT</x:v>
      </x:c>
      <x:c r="E576" s="6" t="str">
        <x:v>permit_readiness</x:v>
      </x:c>
      <x:c r="F576" s="6" t="str">
        <x:v>overview</x:v>
      </x:c>
      <x:c r="G576" s="6" t="str">
        <x:v>permit_readiness.read</x:v>
      </x:c>
      <x:c r="H576" s="6" t="str">
        <x:v>LIVE_ROUTER_REGISTERED</x:v>
      </x:c>
      <x:c r="I576" s="6" t="str">
        <x:v>frontend/src/features/permit-readiness/api.ts</x:v>
      </x:c>
      <x:c r="J576" s="6" t="str">
        <x:v>NOT_EXECUTED_BY_INVENTORY. SOURCE_LITERAL_OR_TRANSITIVE_HELPER_UNION</x:v>
      </x:c>
    </x:row>
    <x:row r="577" ht="42" customHeight="1">
      <x:c r="A577" s="15" t="str">
        <x:v>API-373</x:v>
      </x:c>
      <x:c r="B577" s="13" t="str">
        <x:v>GET</x:v>
      </x:c>
      <x:c r="C577" s="13" t="str">
        <x:v>/api/v1/permits/{permit_id}</x:v>
      </x:c>
      <x:c r="D577" s="13" t="str">
        <x:v>READ-ONLY SHARED CONTEXT</x:v>
      </x:c>
      <x:c r="E577" s="13" t="str">
        <x:v>permit_readiness</x:v>
      </x:c>
      <x:c r="F577" s="13" t="str">
        <x:v>permit</x:v>
      </x:c>
      <x:c r="G577" s="13" t="str">
        <x:v>permit.read</x:v>
      </x:c>
      <x:c r="H577" s="13" t="str">
        <x:v>LIVE_ROUTER_REGISTERED</x:v>
      </x:c>
      <x:c r="I577" s="13" t="str">
        <x:v>NO_DIRECT_LITERAL_MATCH_NOT_PROOF_UNUSED</x:v>
      </x:c>
      <x:c r="J577" s="13" t="str">
        <x:v>NOT_EXECUTED_BY_INVENTORY. SOURCE_LITERAL_OR_TRANSITIVE_HELPER_UNION</x:v>
      </x:c>
    </x:row>
    <x:row r="578" ht="42" customHeight="1">
      <x:c r="A578" s="14" t="str">
        <x:v>API-374</x:v>
      </x:c>
      <x:c r="B578" s="6" t="str">
        <x:v>PUT</x:v>
      </x:c>
      <x:c r="C578" s="6" t="str">
        <x:v>/api/v1/permits/{permit_id}</x:v>
      </x:c>
      <x:c r="D578" s="6" t="str">
        <x:v>USER MODE</x:v>
      </x:c>
      <x:c r="E578" s="6" t="str">
        <x:v>permit_readiness</x:v>
      </x:c>
      <x:c r="F578" s="6" t="str">
        <x:v>update permit</x:v>
      </x:c>
      <x:c r="G578" s="6" t="str">
        <x:v>permit.edit</x:v>
      </x:c>
      <x:c r="H578" s="6" t="str">
        <x:v>LIVE_ROUTER_REGISTERED</x:v>
      </x:c>
      <x:c r="I578" s="6" t="str">
        <x:v>NO_DIRECT_LITERAL_MATCH_NOT_PROOF_UNUSED</x:v>
      </x:c>
      <x:c r="J578" s="6" t="str">
        <x:v>NOT_EXECUTED_BY_INVENTORY. SOURCE_LITERAL_OR_TRANSITIVE_HELPER_UNION</x:v>
      </x:c>
    </x:row>
    <x:row r="579" ht="42" customHeight="1">
      <x:c r="A579" s="15" t="str">
        <x:v>API-375</x:v>
      </x:c>
      <x:c r="B579" s="13" t="str">
        <x:v>GET</x:v>
      </x:c>
      <x:c r="C579" s="13" t="str">
        <x:v>/api/v1/permits/{permit_id}/conditions</x:v>
      </x:c>
      <x:c r="D579" s="13" t="str">
        <x:v>READ-ONLY SHARED CONTEXT</x:v>
      </x:c>
      <x:c r="E579" s="13" t="str">
        <x:v>permit_readiness</x:v>
      </x:c>
      <x:c r="F579" s="13" t="str">
        <x:v>conditions</x:v>
      </x:c>
      <x:c r="G579" s="13" t="str">
        <x:v>permit.read</x:v>
      </x:c>
      <x:c r="H579" s="13" t="str">
        <x:v>LIVE_ROUTER_REGISTERED</x:v>
      </x:c>
      <x:c r="I579" s="13" t="str">
        <x:v>frontend/src/features/permit-readiness/api.ts</x:v>
      </x:c>
      <x:c r="J579" s="13" t="str">
        <x:v>NOT_EXECUTED_BY_INVENTORY. SOURCE_LITERAL_OR_TRANSITIVE_HELPER_UNION</x:v>
      </x:c>
    </x:row>
    <x:row r="580" ht="42" customHeight="1">
      <x:c r="A580" s="14" t="str">
        <x:v>API-376</x:v>
      </x:c>
      <x:c r="B580" s="6" t="str">
        <x:v>POST</x:v>
      </x:c>
      <x:c r="C580" s="6" t="str">
        <x:v>/api/v1/permits/{permit_id}/conditions</x:v>
      </x:c>
      <x:c r="D580" s="6" t="str">
        <x:v>USER MODE</x:v>
      </x:c>
      <x:c r="E580" s="6" t="str">
        <x:v>permit_readiness</x:v>
      </x:c>
      <x:c r="F580" s="6" t="str">
        <x:v>create condition</x:v>
      </x:c>
      <x:c r="G580" s="6" t="str">
        <x:v>permit.condition.manage</x:v>
      </x:c>
      <x:c r="H580" s="6" t="str">
        <x:v>LIVE_ROUTER_REGISTERED</x:v>
      </x:c>
      <x:c r="I580" s="6" t="str">
        <x:v>frontend/src/features/permit-readiness/api.ts</x:v>
      </x:c>
      <x:c r="J580" s="6" t="str">
        <x:v>NOT_EXECUTED_BY_INVENTORY. SOURCE_LITERAL_OR_TRANSITIVE_HELPER_UNION</x:v>
      </x:c>
    </x:row>
    <x:row r="581" ht="42" customHeight="1">
      <x:c r="A581" s="15" t="str">
        <x:v>API-377</x:v>
      </x:c>
      <x:c r="B581" s="13" t="str">
        <x:v>POST</x:v>
      </x:c>
      <x:c r="C581" s="13" t="str">
        <x:v>/api/v1/permits/{permit_id}/status</x:v>
      </x:c>
      <x:c r="D581" s="13" t="str">
        <x:v>USER MODE</x:v>
      </x:c>
      <x:c r="E581" s="13" t="str">
        <x:v>permit_readiness</x:v>
      </x:c>
      <x:c r="F581" s="13" t="str">
        <x:v>change permit status</x:v>
      </x:c>
      <x:c r="G581" s="13" t="str">
        <x:v>permit.status.manage</x:v>
      </x:c>
      <x:c r="H581" s="13" t="str">
        <x:v>LIVE_ROUTER_REGISTERED</x:v>
      </x:c>
      <x:c r="I581" s="13" t="str">
        <x:v>frontend/src/features/permit-readiness/api.ts</x:v>
      </x:c>
      <x:c r="J581" s="13" t="str">
        <x:v>NOT_EXECUTED_BY_INVENTORY. SOURCE_LITERAL_OR_TRANSITIVE_HELPER_UNION</x:v>
      </x:c>
    </x:row>
    <x:row r="582" ht="42" customHeight="1">
      <x:c r="A582" s="14" t="str">
        <x:v>API-378</x:v>
      </x:c>
      <x:c r="B582" s="6" t="str">
        <x:v>GET</x:v>
      </x:c>
      <x:c r="C582" s="6" t="str">
        <x:v>/api/v1/portfolios/{portfolio_id}/investment-gate-permit-evidence</x:v>
      </x:c>
      <x:c r="D582" s="6" t="str">
        <x:v>READ-ONLY SHARED CONTEXT</x:v>
      </x:c>
      <x:c r="E582" s="6" t="str">
        <x:v>permit_readiness</x:v>
      </x:c>
      <x:c r="F582" s="6" t="str">
        <x:v>portfolio investment gate evidence</x:v>
      </x:c>
      <x:c r="G582" s="6" t="str">
        <x:v>investment_gate_permit_evidence.read</x:v>
      </x:c>
      <x:c r="H582" s="6" t="str">
        <x:v>LIVE_ROUTER_REGISTERED</x:v>
      </x:c>
      <x:c r="I582" s="6" t="str">
        <x:v>frontend/src/features/permit-readiness/api.ts</x:v>
      </x:c>
      <x:c r="J582" s="6" t="str">
        <x:v>NOT_EXECUTED_BY_INVENTORY. SOURCE_LITERAL_OR_TRANSITIVE_HELPER_UNION</x:v>
      </x:c>
    </x:row>
    <x:row r="583" ht="42" customHeight="1">
      <x:c r="A583" s="15" t="str">
        <x:v>API-379</x:v>
      </x:c>
      <x:c r="B583" s="13" t="str">
        <x:v>GET</x:v>
      </x:c>
      <x:c r="C583" s="13" t="str">
        <x:v>/api/v1/portfolios/{portfolio_id}/permit-readiness</x:v>
      </x:c>
      <x:c r="D583" s="13" t="str">
        <x:v>READ-ONLY SHARED CONTEXT</x:v>
      </x:c>
      <x:c r="E583" s="13" t="str">
        <x:v>permit_readiness</x:v>
      </x:c>
      <x:c r="F583" s="13" t="str">
        <x:v>portfolio readiness</x:v>
      </x:c>
      <x:c r="G583" s="13" t="str">
        <x:v>permit_readiness.read</x:v>
      </x:c>
      <x:c r="H583" s="13" t="str">
        <x:v>LIVE_ROUTER_REGISTERED</x:v>
      </x:c>
      <x:c r="I583" s="13" t="str">
        <x:v>frontend/src/features/permit-readiness/api.ts</x:v>
      </x:c>
      <x:c r="J583" s="13" t="str">
        <x:v>NOT_EXECUTED_BY_INVENTORY. SOURCE_LITERAL_OR_TRANSITIVE_HELPER_UNION</x:v>
      </x:c>
    </x:row>
    <x:row r="584" ht="42" customHeight="1">
      <x:c r="A584" s="14" t="str">
        <x:v>API-380</x:v>
      </x:c>
      <x:c r="B584" s="6" t="str">
        <x:v>GET</x:v>
      </x:c>
      <x:c r="C584" s="6" t="str">
        <x:v>/api/v1/portfolios/{portfolio_id}/projects-permit-readiness</x:v>
      </x:c>
      <x:c r="D584" s="6" t="str">
        <x:v>READ-ONLY SHARED CONTEXT</x:v>
      </x:c>
      <x:c r="E584" s="6" t="str">
        <x:v>permit_readiness</x:v>
      </x:c>
      <x:c r="F584" s="6" t="str">
        <x:v>portfolio projects</x:v>
      </x:c>
      <x:c r="G584" s="6" t="str">
        <x:v>permit_readiness.read</x:v>
      </x:c>
      <x:c r="H584" s="6" t="str">
        <x:v>LIVE_ROUTER_REGISTERED</x:v>
      </x:c>
      <x:c r="I584" s="6" t="str">
        <x:v>NO_DIRECT_LITERAL_MATCH_NOT_PROOF_UNUSED</x:v>
      </x:c>
      <x:c r="J584" s="6" t="str">
        <x:v>NOT_EXECUTED_BY_INVENTORY. SOURCE_LITERAL_OR_TRANSITIVE_HELPER_UNION</x:v>
      </x:c>
    </x:row>
    <x:row r="585" ht="42" customHeight="1">
      <x:c r="A585" s="15" t="str">
        <x:v>API-381</x:v>
      </x:c>
      <x:c r="B585" s="13" t="str">
        <x:v>GET</x:v>
      </x:c>
      <x:c r="C585" s="13" t="str">
        <x:v>/api/v1/projects/{project_id}/investment-gate-permit-evidence</x:v>
      </x:c>
      <x:c r="D585" s="13" t="str">
        <x:v>READ-ONLY SHARED CONTEXT</x:v>
      </x:c>
      <x:c r="E585" s="13" t="str">
        <x:v>permit_readiness</x:v>
      </x:c>
      <x:c r="F585" s="13" t="str">
        <x:v>project investment gate evidence</x:v>
      </x:c>
      <x:c r="G585" s="13" t="str">
        <x:v>investment_gate_permit_evidence.read</x:v>
      </x:c>
      <x:c r="H585" s="13" t="str">
        <x:v>LIVE_ROUTER_REGISTERED</x:v>
      </x:c>
      <x:c r="I585" s="13" t="str">
        <x:v>NO_DIRECT_LITERAL_MATCH_NOT_PROOF_UNUSED</x:v>
      </x:c>
      <x:c r="J585" s="13" t="str">
        <x:v>NOT_EXECUTED_BY_INVENTORY. SOURCE_LITERAL_OR_TRANSITIVE_HELPER_UNION</x:v>
      </x:c>
    </x:row>
    <x:row r="586" ht="42" customHeight="1">
      <x:c r="A586" s="14" t="str">
        <x:v>API-382</x:v>
      </x:c>
      <x:c r="B586" s="6" t="str">
        <x:v>GET</x:v>
      </x:c>
      <x:c r="C586" s="6" t="str">
        <x:v>/api/v1/projects/{project_id}/permit-readiness</x:v>
      </x:c>
      <x:c r="D586" s="6" t="str">
        <x:v>READ-ONLY SHARED CONTEXT</x:v>
      </x:c>
      <x:c r="E586" s="6" t="str">
        <x:v>permit_readiness</x:v>
      </x:c>
      <x:c r="F586" s="6" t="str">
        <x:v>project readiness</x:v>
      </x:c>
      <x:c r="G586" s="6" t="str">
        <x:v>permit_readiness.read</x:v>
      </x:c>
      <x:c r="H586" s="6" t="str">
        <x:v>LIVE_ROUTER_REGISTERED</x:v>
      </x:c>
      <x:c r="I586" s="6" t="str">
        <x:v>frontend/src/features/permit-readiness/api.ts</x:v>
      </x:c>
      <x:c r="J586" s="6" t="str">
        <x:v>NOT_EXECUTED_BY_INVENTORY. SOURCE_LITERAL_OR_TRANSITIVE_HELPER_UNION</x:v>
      </x:c>
    </x:row>
    <x:row r="587" ht="42" customHeight="1">
      <x:c r="A587" s="15" t="str">
        <x:v>API-383</x:v>
      </x:c>
      <x:c r="B587" s="13" t="str">
        <x:v>GET</x:v>
      </x:c>
      <x:c r="C587" s="13" t="str">
        <x:v>/api/v1/projects/{project_id}/permit-readiness-assessments</x:v>
      </x:c>
      <x:c r="D587" s="13" t="str">
        <x:v>READ-ONLY SHARED CONTEXT</x:v>
      </x:c>
      <x:c r="E587" s="13" t="str">
        <x:v>permit_readiness</x:v>
      </x:c>
      <x:c r="F587" s="13" t="str">
        <x:v>assessments</x:v>
      </x:c>
      <x:c r="G587" s="13" t="str">
        <x:v>permit_readiness.read</x:v>
      </x:c>
      <x:c r="H587" s="13" t="str">
        <x:v>LIVE_ROUTER_REGISTERED</x:v>
      </x:c>
      <x:c r="I587" s="13" t="str">
        <x:v>frontend/src/features/permit-readiness/api.ts</x:v>
      </x:c>
      <x:c r="J587" s="13" t="str">
        <x:v>NOT_EXECUTED_BY_INVENTORY. SOURCE_LITERAL_OR_TRANSITIVE_HELPER_UNION</x:v>
      </x:c>
    </x:row>
    <x:row r="588" ht="42" customHeight="1">
      <x:c r="A588" s="14" t="str">
        <x:v>API-384</x:v>
      </x:c>
      <x:c r="B588" s="6" t="str">
        <x:v>POST</x:v>
      </x:c>
      <x:c r="C588" s="6" t="str">
        <x:v>/api/v1/projects/{project_id}/permit-readiness-assessments</x:v>
      </x:c>
      <x:c r="D588" s="6" t="str">
        <x:v>USER MODE</x:v>
      </x:c>
      <x:c r="E588" s="6" t="str">
        <x:v>permit_readiness</x:v>
      </x:c>
      <x:c r="F588" s="6" t="str">
        <x:v>create assessment</x:v>
      </x:c>
      <x:c r="G588" s="6" t="str">
        <x:v>permit_readiness.create</x:v>
      </x:c>
      <x:c r="H588" s="6" t="str">
        <x:v>LIVE_ROUTER_REGISTERED</x:v>
      </x:c>
      <x:c r="I588" s="6" t="str">
        <x:v>frontend/src/features/permit-readiness/api.ts</x:v>
      </x:c>
      <x:c r="J588" s="6" t="str">
        <x:v>NOT_EXECUTED_BY_INVENTORY. SOURCE_LITERAL_OR_TRANSITIVE_HELPER_UNION</x:v>
      </x:c>
    </x:row>
    <x:row r="589" ht="42" customHeight="1">
      <x:c r="A589" s="15" t="str">
        <x:v>API-385</x:v>
      </x:c>
      <x:c r="B589" s="13" t="str">
        <x:v>POST</x:v>
      </x:c>
      <x:c r="C589" s="13" t="str">
        <x:v>/api/v1/projects/{project_id}/permit-readiness/refresh</x:v>
      </x:c>
      <x:c r="D589" s="13" t="str">
        <x:v>USER MODE</x:v>
      </x:c>
      <x:c r="E589" s="13" t="str">
        <x:v>permit_readiness</x:v>
      </x:c>
      <x:c r="F589" s="13" t="str">
        <x:v>refresh apply</x:v>
      </x:c>
      <x:c r="G589" s="13" t="str">
        <x:v>permit_readiness.refresh</x:v>
      </x:c>
      <x:c r="H589" s="13" t="str">
        <x:v>LIVE_ROUTER_REGISTERED</x:v>
      </x:c>
      <x:c r="I589" s="13" t="str">
        <x:v>NO_DIRECT_LITERAL_MATCH_NOT_PROOF_UNUSED</x:v>
      </x:c>
      <x:c r="J589" s="13" t="str">
        <x:v>NOT_EXECUTED_BY_INVENTORY. SOURCE_LITERAL_OR_TRANSITIVE_HELPER_UNION</x:v>
      </x:c>
    </x:row>
    <x:row r="590" ht="42" customHeight="1">
      <x:c r="A590" s="14" t="str">
        <x:v>API-386</x:v>
      </x:c>
      <x:c r="B590" s="6" t="str">
        <x:v>GET</x:v>
      </x:c>
      <x:c r="C590" s="6" t="str">
        <x:v>/api/v1/projects/{project_id}/permit-readiness/refresh-preview</x:v>
      </x:c>
      <x:c r="D590" s="6" t="str">
        <x:v>READ-ONLY SHARED CONTEXT</x:v>
      </x:c>
      <x:c r="E590" s="6" t="str">
        <x:v>permit_readiness</x:v>
      </x:c>
      <x:c r="F590" s="6" t="str">
        <x:v>refresh preview</x:v>
      </x:c>
      <x:c r="G590" s="6" t="str">
        <x:v>permit_readiness.refresh</x:v>
      </x:c>
      <x:c r="H590" s="6" t="str">
        <x:v>LIVE_ROUTER_REGISTERED</x:v>
      </x:c>
      <x:c r="I590" s="6" t="str">
        <x:v>frontend/src/features/permit-readiness/api.ts</x:v>
      </x:c>
      <x:c r="J590" s="6" t="str">
        <x:v>NOT_EXECUTED_BY_INVENTORY. SOURCE_LITERAL_OR_TRANSITIVE_HELPER_UNION</x:v>
      </x:c>
    </x:row>
    <x:row r="591" ht="42" customHeight="1">
      <x:c r="A591" s="15" t="str">
        <x:v>API-387</x:v>
      </x:c>
      <x:c r="B591" s="13" t="str">
        <x:v>GET</x:v>
      </x:c>
      <x:c r="C591" s="13" t="str">
        <x:v>/api/v1/projects/{project_id}/permits</x:v>
      </x:c>
      <x:c r="D591" s="13" t="str">
        <x:v>READ-ONLY SHARED CONTEXT</x:v>
      </x:c>
      <x:c r="E591" s="13" t="str">
        <x:v>permit_readiness</x:v>
      </x:c>
      <x:c r="F591" s="13" t="str">
        <x:v>permits</x:v>
      </x:c>
      <x:c r="G591" s="13" t="str">
        <x:v>permit.read</x:v>
      </x:c>
      <x:c r="H591" s="13" t="str">
        <x:v>LIVE_ROUTER_REGISTERED</x:v>
      </x:c>
      <x:c r="I591" s="13" t="str">
        <x:v>frontend/src/features/permit-readiness/api.ts</x:v>
      </x:c>
      <x:c r="J591" s="13" t="str">
        <x:v>NOT_EXECUTED_BY_INVENTORY. SOURCE_LITERAL_OR_TRANSITIVE_HELPER_UNION</x:v>
      </x:c>
    </x:row>
    <x:row r="592" ht="42" customHeight="1">
      <x:c r="A592" s="14" t="str">
        <x:v>API-388</x:v>
      </x:c>
      <x:c r="B592" s="6" t="str">
        <x:v>POST</x:v>
      </x:c>
      <x:c r="C592" s="6" t="str">
        <x:v>/api/v1/projects/{project_id}/permits</x:v>
      </x:c>
      <x:c r="D592" s="6" t="str">
        <x:v>USER MODE</x:v>
      </x:c>
      <x:c r="E592" s="6" t="str">
        <x:v>permit_readiness</x:v>
      </x:c>
      <x:c r="F592" s="6" t="str">
        <x:v>create permit</x:v>
      </x:c>
      <x:c r="G592" s="6" t="str">
        <x:v>permit.create</x:v>
      </x:c>
      <x:c r="H592" s="6" t="str">
        <x:v>LIVE_ROUTER_REGISTERED</x:v>
      </x:c>
      <x:c r="I592" s="6" t="str">
        <x:v>frontend/src/features/permit-readiness/api.ts</x:v>
      </x:c>
      <x:c r="J592" s="6" t="str">
        <x:v>NOT_EXECUTED_BY_INVENTORY. SOURCE_LITERAL_OR_TRANSITIVE_HELPER_UNION</x:v>
      </x:c>
    </x:row>
    <x:row r="593" ht="42" customHeight="1">
      <x:c r="A593" s="15" t="str">
        <x:v>API-389</x:v>
      </x:c>
      <x:c r="B593" s="13" t="str">
        <x:v>GET</x:v>
      </x:c>
      <x:c r="C593" s="13" t="str">
        <x:v>/api/v1/physical-workspace-creation-requests</x:v>
      </x:c>
      <x:c r="D593" s="13" t="str">
        <x:v>READ-ONLY SHARED CONTEXT</x:v>
      </x:c>
      <x:c r="E593" s="13" t="str">
        <x:v>physical_workspace_creation</x:v>
      </x:c>
      <x:c r="F593" s="13" t="str">
        <x:v>list requests</x:v>
      </x:c>
      <x:c r="G593" s="13" t="str">
        <x:v>physical_workspace_creation.request.read</x:v>
      </x:c>
      <x:c r="H593" s="13" t="str">
        <x:v>LIVE_ROUTER_REGISTERED</x:v>
      </x:c>
      <x:c r="I593" s="13" t="str">
        <x:v>frontend/src/features/enterprise-structure/api/index.ts</x:v>
      </x:c>
      <x:c r="J593" s="13" t="str">
        <x:v>NOT_EXECUTED_BY_INVENTORY. SOURCE_LITERAL_OR_TRANSITIVE_HELPER_UNION</x:v>
      </x:c>
    </x:row>
    <x:row r="594" ht="42" customHeight="1">
      <x:c r="A594" s="14" t="str">
        <x:v>API-390</x:v>
      </x:c>
      <x:c r="B594" s="6" t="str">
        <x:v>POST</x:v>
      </x:c>
      <x:c r="C594" s="6" t="str">
        <x:v>/api/v1/physical-workspace-creation-requests</x:v>
      </x:c>
      <x:c r="D594" s="6" t="str">
        <x:v>USER MODE</x:v>
      </x:c>
      <x:c r="E594" s="6" t="str">
        <x:v>physical_workspace_creation</x:v>
      </x:c>
      <x:c r="F594" s="6" t="str">
        <x:v>create request</x:v>
      </x:c>
      <x:c r="G594" s="6" t="str">
        <x:v>physical_workspace_creation.request.create</x:v>
      </x:c>
      <x:c r="H594" s="6" t="str">
        <x:v>LIVE_ROUTER_REGISTERED</x:v>
      </x:c>
      <x:c r="I594" s="6" t="str">
        <x:v>frontend/src/features/enterprise-structure/api/index.ts</x:v>
      </x:c>
      <x:c r="J594" s="6" t="str">
        <x:v>NOT_EXECUTED_BY_INVENTORY. SOURCE_LITERAL_OR_TRANSITIVE_HELPER_UNION</x:v>
      </x:c>
    </x:row>
    <x:row r="595" ht="42" customHeight="1">
      <x:c r="A595" s="15" t="str">
        <x:v>API-391</x:v>
      </x:c>
      <x:c r="B595" s="13" t="str">
        <x:v>GET</x:v>
      </x:c>
      <x:c r="C595" s="13" t="str">
        <x:v>/api/v1/physical-workspace-creation-requests/options</x:v>
      </x:c>
      <x:c r="D595" s="13" t="str">
        <x:v>READ-ONLY SHARED CONTEXT</x:v>
      </x:c>
      <x:c r="E595" s="13" t="str">
        <x:v>physical_workspace_creation</x:v>
      </x:c>
      <x:c r="F595" s="13" t="str">
        <x:v>options</x:v>
      </x:c>
      <x:c r="G595" s="13" t="str">
        <x:v>physical_workspace_creation.request.create</x:v>
      </x:c>
      <x:c r="H595" s="13" t="str">
        <x:v>LIVE_ROUTER_REGISTERED</x:v>
      </x:c>
      <x:c r="I595" s="13" t="str">
        <x:v>frontend/src/features/enterprise-structure/api/index.ts</x:v>
      </x:c>
      <x:c r="J595" s="13" t="str">
        <x:v>NOT_EXECUTED_BY_INVENTORY. SOURCE_LITERAL_OR_TRANSITIVE_HELPER_UNION</x:v>
      </x:c>
    </x:row>
    <x:row r="596" ht="42" customHeight="1">
      <x:c r="A596" s="14" t="str">
        <x:v>API-392</x:v>
      </x:c>
      <x:c r="B596" s="6" t="str">
        <x:v>GET</x:v>
      </x:c>
      <x:c r="C596" s="6" t="str">
        <x:v>/api/v1/physical-workspace-creation-requests/{request_id}</x:v>
      </x:c>
      <x:c r="D596" s="6" t="str">
        <x:v>READ-ONLY SHARED CONTEXT</x:v>
      </x:c>
      <x:c r="E596" s="6" t="str">
        <x:v>physical_workspace_creation</x:v>
      </x:c>
      <x:c r="F596" s="6" t="str">
        <x:v>get request</x:v>
      </x:c>
      <x:c r="G596" s="6" t="str">
        <x:v>physical_workspace_creation.request.read</x:v>
      </x:c>
      <x:c r="H596" s="6" t="str">
        <x:v>LIVE_ROUTER_REGISTERED</x:v>
      </x:c>
      <x:c r="I596" s="6" t="str">
        <x:v>frontend/src/features/enterprise-structure/api/index.ts</x:v>
      </x:c>
      <x:c r="J596" s="6" t="str">
        <x:v>NOT_EXECUTED_BY_INVENTORY. SOURCE_LITERAL_OR_TRANSITIVE_HELPER_UNION</x:v>
      </x:c>
    </x:row>
    <x:row r="597" ht="42" customHeight="1">
      <x:c r="A597" s="15" t="str">
        <x:v>API-393</x:v>
      </x:c>
      <x:c r="B597" s="13" t="str">
        <x:v>PUT</x:v>
      </x:c>
      <x:c r="C597" s="13" t="str">
        <x:v>/api/v1/physical-workspace-creation-requests/{request_id}</x:v>
      </x:c>
      <x:c r="D597" s="13" t="str">
        <x:v>USER MODE</x:v>
      </x:c>
      <x:c r="E597" s="13" t="str">
        <x:v>physical_workspace_creation</x:v>
      </x:c>
      <x:c r="F597" s="13" t="str">
        <x:v>update request</x:v>
      </x:c>
      <x:c r="G597" s="13" t="str">
        <x:v>physical_workspace_creation.request.edit</x:v>
      </x:c>
      <x:c r="H597" s="13" t="str">
        <x:v>LIVE_ROUTER_REGISTERED</x:v>
      </x:c>
      <x:c r="I597" s="13" t="str">
        <x:v>frontend/src/features/enterprise-structure/api/index.ts</x:v>
      </x:c>
      <x:c r="J597" s="13" t="str">
        <x:v>NOT_EXECUTED_BY_INVENTORY. SOURCE_LITERAL_OR_TRANSITIVE_HELPER_UNION</x:v>
      </x:c>
    </x:row>
    <x:row r="598" ht="42" customHeight="1">
      <x:c r="A598" s="14" t="str">
        <x:v>API-394</x:v>
      </x:c>
      <x:c r="B598" s="6" t="str">
        <x:v>POST</x:v>
      </x:c>
      <x:c r="C598" s="6" t="str">
        <x:v>/api/v1/physical-workspace-creation-requests/{request_id}/approve</x:v>
      </x:c>
      <x:c r="D598" s="6" t="str">
        <x:v>USER MODE</x:v>
      </x:c>
      <x:c r="E598" s="6" t="str">
        <x:v>physical_workspace_creation</x:v>
      </x:c>
      <x:c r="F598" s="6" t="str">
        <x:v>approve request</x:v>
      </x:c>
      <x:c r="G598" s="6" t="str">
        <x:v>HELPER_OR_SERVICE_AUTHORIZATION_REQUIRES_REVIEW</x:v>
      </x:c>
      <x:c r="H598" s="6" t="str">
        <x:v>LIVE_ROUTER_REGISTERED</x:v>
      </x:c>
      <x:c r="I598" s="6" t="str">
        <x:v>NO_DIRECT_LITERAL_MATCH_NOT_PROOF_UNUSED</x:v>
      </x:c>
      <x:c r="J598" s="6" t="str">
        <x:v>NOT_EXECUTED_BY_INVENTORY. SOURCE_LITERAL_OR_TRANSITIVE_HELPER_UNION</x:v>
      </x:c>
    </x:row>
    <x:row r="599" ht="42" customHeight="1">
      <x:c r="A599" s="15" t="str">
        <x:v>API-395</x:v>
      </x:c>
      <x:c r="B599" s="13" t="str">
        <x:v>POST</x:v>
      </x:c>
      <x:c r="C599" s="13" t="str">
        <x:v>/api/v1/physical-workspace-creation-requests/{request_id}/cancel</x:v>
      </x:c>
      <x:c r="D599" s="13" t="str">
        <x:v>USER MODE</x:v>
      </x:c>
      <x:c r="E599" s="13" t="str">
        <x:v>physical_workspace_creation</x:v>
      </x:c>
      <x:c r="F599" s="13" t="str">
        <x:v>cancel request</x:v>
      </x:c>
      <x:c r="G599" s="13" t="str">
        <x:v>HELPER_OR_SERVICE_AUTHORIZATION_REQUIRES_REVIEW</x:v>
      </x:c>
      <x:c r="H599" s="13" t="str">
        <x:v>LIVE_ROUTER_REGISTERED</x:v>
      </x:c>
      <x:c r="I599" s="13" t="str">
        <x:v>NO_DIRECT_LITERAL_MATCH_NOT_PROOF_UNUSED</x:v>
      </x:c>
      <x:c r="J599" s="13" t="str">
        <x:v>NOT_EXECUTED_BY_INVENTORY. SOURCE_LITERAL_OR_TRANSITIVE_HELPER_UNION</x:v>
      </x:c>
    </x:row>
    <x:row r="600" ht="42" customHeight="1">
      <x:c r="A600" s="14" t="str">
        <x:v>API-396</x:v>
      </x:c>
      <x:c r="B600" s="6" t="str">
        <x:v>POST</x:v>
      </x:c>
      <x:c r="C600" s="6" t="str">
        <x:v>/api/v1/physical-workspace-creation-requests/{request_id}/materialize</x:v>
      </x:c>
      <x:c r="D600" s="6" t="str">
        <x:v>USER MODE</x:v>
      </x:c>
      <x:c r="E600" s="6" t="str">
        <x:v>physical_workspace_creation</x:v>
      </x:c>
      <x:c r="F600" s="6" t="str">
        <x:v>materialize request</x:v>
      </x:c>
      <x:c r="G600" s="6" t="str">
        <x:v>physical_workspace_creation.materialize</x:v>
      </x:c>
      <x:c r="H600" s="6" t="str">
        <x:v>LIVE_ROUTER_REGISTERED</x:v>
      </x:c>
      <x:c r="I600" s="6" t="str">
        <x:v>frontend/src/features/enterprise-structure/api/index.ts</x:v>
      </x:c>
      <x:c r="J600" s="6" t="str">
        <x:v>NOT_EXECUTED_BY_INVENTORY. SOURCE_LITERAL_OR_TRANSITIVE_HELPER_UNION</x:v>
      </x:c>
    </x:row>
    <x:row r="601" ht="42" customHeight="1">
      <x:c r="A601" s="15" t="str">
        <x:v>API-397</x:v>
      </x:c>
      <x:c r="B601" s="13" t="str">
        <x:v>POST</x:v>
      </x:c>
      <x:c r="C601" s="13" t="str">
        <x:v>/api/v1/physical-workspace-creation-requests/{request_id}/preview</x:v>
      </x:c>
      <x:c r="D601" s="13" t="str">
        <x:v>USER MODE</x:v>
      </x:c>
      <x:c r="E601" s="13" t="str">
        <x:v>physical_workspace_creation</x:v>
      </x:c>
      <x:c r="F601" s="13" t="str">
        <x:v>preview request</x:v>
      </x:c>
      <x:c r="G601" s="13" t="str">
        <x:v>physical_workspace_creation.request.read</x:v>
      </x:c>
      <x:c r="H601" s="13" t="str">
        <x:v>LIVE_ROUTER_REGISTERED</x:v>
      </x:c>
      <x:c r="I601" s="13" t="str">
        <x:v>frontend/src/features/enterprise-structure/api/index.ts</x:v>
      </x:c>
      <x:c r="J601" s="13" t="str">
        <x:v>NOT_EXECUTED_BY_INVENTORY. SOURCE_LITERAL_OR_TRANSITIVE_HELPER_UNION</x:v>
      </x:c>
    </x:row>
    <x:row r="602" ht="42" customHeight="1">
      <x:c r="A602" s="14" t="str">
        <x:v>API-398</x:v>
      </x:c>
      <x:c r="B602" s="6" t="str">
        <x:v>POST</x:v>
      </x:c>
      <x:c r="C602" s="6" t="str">
        <x:v>/api/v1/physical-workspace-creation-requests/{request_id}/reject</x:v>
      </x:c>
      <x:c r="D602" s="6" t="str">
        <x:v>USER MODE</x:v>
      </x:c>
      <x:c r="E602" s="6" t="str">
        <x:v>physical_workspace_creation</x:v>
      </x:c>
      <x:c r="F602" s="6" t="str">
        <x:v>reject request</x:v>
      </x:c>
      <x:c r="G602" s="6" t="str">
        <x:v>HELPER_OR_SERVICE_AUTHORIZATION_REQUIRES_REVIEW</x:v>
      </x:c>
      <x:c r="H602" s="6" t="str">
        <x:v>LIVE_ROUTER_REGISTERED</x:v>
      </x:c>
      <x:c r="I602" s="6" t="str">
        <x:v>NO_DIRECT_LITERAL_MATCH_NOT_PROOF_UNUSED</x:v>
      </x:c>
      <x:c r="J602" s="6" t="str">
        <x:v>NOT_EXECUTED_BY_INVENTORY. SOURCE_LITERAL_OR_TRANSITIVE_HELPER_UNION</x:v>
      </x:c>
    </x:row>
    <x:row r="603" ht="42" customHeight="1">
      <x:c r="A603" s="15" t="str">
        <x:v>API-399</x:v>
      </x:c>
      <x:c r="B603" s="13" t="str">
        <x:v>POST</x:v>
      </x:c>
      <x:c r="C603" s="13" t="str">
        <x:v>/api/v1/physical-workspace-creation-requests/{request_id}/return</x:v>
      </x:c>
      <x:c r="D603" s="13" t="str">
        <x:v>USER MODE</x:v>
      </x:c>
      <x:c r="E603" s="13" t="str">
        <x:v>physical_workspace_creation</x:v>
      </x:c>
      <x:c r="F603" s="13" t="str">
        <x:v>return request</x:v>
      </x:c>
      <x:c r="G603" s="13" t="str">
        <x:v>HELPER_OR_SERVICE_AUTHORIZATION_REQUIRES_REVIEW</x:v>
      </x:c>
      <x:c r="H603" s="13" t="str">
        <x:v>LIVE_ROUTER_REGISTERED</x:v>
      </x:c>
      <x:c r="I603" s="13" t="str">
        <x:v>NO_DIRECT_LITERAL_MATCH_NOT_PROOF_UNUSED</x:v>
      </x:c>
      <x:c r="J603" s="13" t="str">
        <x:v>NOT_EXECUTED_BY_INVENTORY. SOURCE_LITERAL_OR_TRANSITIVE_HELPER_UNION</x:v>
      </x:c>
    </x:row>
    <x:row r="604" ht="42" customHeight="1">
      <x:c r="A604" s="14" t="str">
        <x:v>API-400</x:v>
      </x:c>
      <x:c r="B604" s="6" t="str">
        <x:v>POST</x:v>
      </x:c>
      <x:c r="C604" s="6" t="str">
        <x:v>/api/v1/physical-workspace-creation-requests/{request_id}/start-review</x:v>
      </x:c>
      <x:c r="D604" s="6" t="str">
        <x:v>USER MODE</x:v>
      </x:c>
      <x:c r="E604" s="6" t="str">
        <x:v>physical_workspace_creation</x:v>
      </x:c>
      <x:c r="F604" s="6" t="str">
        <x:v>start review</x:v>
      </x:c>
      <x:c r="G604" s="6" t="str">
        <x:v>HELPER_OR_SERVICE_AUTHORIZATION_REQUIRES_REVIEW</x:v>
      </x:c>
      <x:c r="H604" s="6" t="str">
        <x:v>LIVE_ROUTER_REGISTERED</x:v>
      </x:c>
      <x:c r="I604" s="6" t="str">
        <x:v>NO_DIRECT_LITERAL_MATCH_NOT_PROOF_UNUSED</x:v>
      </x:c>
      <x:c r="J604" s="6" t="str">
        <x:v>NOT_EXECUTED_BY_INVENTORY. SOURCE_LITERAL_OR_TRANSITIVE_HELPER_UNION</x:v>
      </x:c>
    </x:row>
    <x:row r="605" ht="42" customHeight="1">
      <x:c r="A605" s="15" t="str">
        <x:v>API-401</x:v>
      </x:c>
      <x:c r="B605" s="13" t="str">
        <x:v>POST</x:v>
      </x:c>
      <x:c r="C605" s="13" t="str">
        <x:v>/api/v1/physical-workspace-creation-requests/{request_id}/submit</x:v>
      </x:c>
      <x:c r="D605" s="13" t="str">
        <x:v>USER MODE</x:v>
      </x:c>
      <x:c r="E605" s="13" t="str">
        <x:v>physical_workspace_creation</x:v>
      </x:c>
      <x:c r="F605" s="13" t="str">
        <x:v>submit request</x:v>
      </x:c>
      <x:c r="G605" s="13" t="str">
        <x:v>HELPER_OR_SERVICE_AUTHORIZATION_REQUIRES_REVIEW</x:v>
      </x:c>
      <x:c r="H605" s="13" t="str">
        <x:v>LIVE_ROUTER_REGISTERED</x:v>
      </x:c>
      <x:c r="I605" s="13" t="str">
        <x:v>NO_DIRECT_LITERAL_MATCH_NOT_PROOF_UNUSED</x:v>
      </x:c>
      <x:c r="J605" s="13" t="str">
        <x:v>NOT_EXECUTED_BY_INVENTORY. SOURCE_LITERAL_OR_TRANSITIVE_HELPER_UNION</x:v>
      </x:c>
    </x:row>
    <x:row r="606" ht="42" customHeight="1">
      <x:c r="A606" s="14" t="str">
        <x:v>API-402</x:v>
      </x:c>
      <x:c r="B606" s="6" t="str">
        <x:v>GET</x:v>
      </x:c>
      <x:c r="C606" s="6" t="str">
        <x:v>/api/v1/physical-workspaces/{workspace_id}/overview</x:v>
      </x:c>
      <x:c r="D606" s="6" t="str">
        <x:v>READ-ONLY SHARED CONTEXT</x:v>
      </x:c>
      <x:c r="E606" s="6" t="str">
        <x:v>physical_workspace_creation</x:v>
      </x:c>
      <x:c r="F606" s="6" t="str">
        <x:v>physical workspace overview</x:v>
      </x:c>
      <x:c r="G606" s="6" t="str">
        <x:v>enterprise_structure.read</x:v>
      </x:c>
      <x:c r="H606" s="6" t="str">
        <x:v>LIVE_ROUTER_REGISTERED</x:v>
      </x:c>
      <x:c r="I606" s="6" t="str">
        <x:v>frontend/src/features/enterprise-structure/api/index.ts</x:v>
      </x:c>
      <x:c r="J606" s="6" t="str">
        <x:v>NOT_EXECUTED_BY_INVENTORY. SOURCE_LITERAL_OR_TRANSITIVE_HELPER_UNION</x:v>
      </x:c>
    </x:row>
    <x:row r="607" ht="42" customHeight="1">
      <x:c r="A607" s="15" t="str">
        <x:v>API-403</x:v>
      </x:c>
      <x:c r="B607" s="13" t="str">
        <x:v>GET</x:v>
      </x:c>
      <x:c r="C607" s="13" t="str">
        <x:v>/api/v1/physical-workspaces</x:v>
      </x:c>
      <x:c r="D607" s="13" t="str">
        <x:v>READ-ONLY SHARED CONTEXT</x:v>
      </x:c>
      <x:c r="E607" s="13" t="str">
        <x:v>physical_workspace_initialization</x:v>
      </x:c>
      <x:c r="F607" s="13" t="str">
        <x:v>list physical workspaces</x:v>
      </x:c>
      <x:c r="G607" s="13" t="str">
        <x:v>physical_workspace.initialization.read</x:v>
      </x:c>
      <x:c r="H607" s="13" t="str">
        <x:v>LIVE_ROUTER_REGISTERED</x:v>
      </x:c>
      <x:c r="I607" s="13" t="str">
        <x:v>NO_DIRECT_LITERAL_MATCH_NOT_PROOF_UNUSED</x:v>
      </x:c>
      <x:c r="J607" s="13" t="str">
        <x:v>NOT_EXECUTED_BY_INVENTORY. SOURCE_LITERAL_OR_TRANSITIVE_HELPER_UNION</x:v>
      </x:c>
    </x:row>
    <x:row r="608" ht="42" customHeight="1">
      <x:c r="A608" s="14" t="str">
        <x:v>API-404</x:v>
      </x:c>
      <x:c r="B608" s="6" t="str">
        <x:v>POST</x:v>
      </x:c>
      <x:c r="C608" s="6" t="str">
        <x:v>/api/v1/physical-workspaces/{workspace_id}/activate</x:v>
      </x:c>
      <x:c r="D608" s="6" t="str">
        <x:v>USER MODE</x:v>
      </x:c>
      <x:c r="E608" s="6" t="str">
        <x:v>physical_workspace_initialization</x:v>
      </x:c>
      <x:c r="F608" s="6" t="str">
        <x:v>activate workspace</x:v>
      </x:c>
      <x:c r="G608" s="6" t="str">
        <x:v>physical_workspace.activation.execute</x:v>
      </x:c>
      <x:c r="H608" s="6" t="str">
        <x:v>LIVE_ROUTER_REGISTERED</x:v>
      </x:c>
      <x:c r="I608" s="6" t="str">
        <x:v>frontend/src/features/enterprise-structure/api/index.ts</x:v>
      </x:c>
      <x:c r="J608" s="6" t="str">
        <x:v>NOT_EXECUTED_BY_INVENTORY. SOURCE_LITERAL_OR_TRANSITIVE_HELPER_UNION</x:v>
      </x:c>
    </x:row>
    <x:row r="609" ht="42" customHeight="1">
      <x:c r="A609" s="15" t="str">
        <x:v>API-405</x:v>
      </x:c>
      <x:c r="B609" s="13" t="str">
        <x:v>GET</x:v>
      </x:c>
      <x:c r="C609" s="13" t="str">
        <x:v>/api/v1/physical-workspaces/{workspace_id}/initialization</x:v>
      </x:c>
      <x:c r="D609" s="13" t="str">
        <x:v>READ-ONLY SHARED CONTEXT</x:v>
      </x:c>
      <x:c r="E609" s="13" t="str">
        <x:v>physical_workspace_initialization</x:v>
      </x:c>
      <x:c r="F609" s="13" t="str">
        <x:v>get initialization</x:v>
      </x:c>
      <x:c r="G609" s="13" t="str">
        <x:v>physical_workspace.initialization.read</x:v>
      </x:c>
      <x:c r="H609" s="13" t="str">
        <x:v>LIVE_ROUTER_REGISTERED</x:v>
      </x:c>
      <x:c r="I609" s="13" t="str">
        <x:v>frontend/src/features/enterprise-structure/api/index.ts</x:v>
      </x:c>
      <x:c r="J609" s="13" t="str">
        <x:v>NOT_EXECUTED_BY_INVENTORY. SOURCE_LITERAL_OR_TRANSITIVE_HELPER_UNION</x:v>
      </x:c>
    </x:row>
    <x:row r="610" ht="42" customHeight="1">
      <x:c r="A610" s="14" t="str">
        <x:v>API-406</x:v>
      </x:c>
      <x:c r="B610" s="6" t="str">
        <x:v>POST</x:v>
      </x:c>
      <x:c r="C610" s="6" t="str">
        <x:v>/api/v1/physical-workspaces/{workspace_id}/initialization/preview</x:v>
      </x:c>
      <x:c r="D610" s="6" t="str">
        <x:v>USER MODE</x:v>
      </x:c>
      <x:c r="E610" s="6" t="str">
        <x:v>physical_workspace_initialization</x:v>
      </x:c>
      <x:c r="F610" s="6" t="str">
        <x:v>preview initialization</x:v>
      </x:c>
      <x:c r="G610" s="6" t="str">
        <x:v>physical_workspace.initialization.read</x:v>
      </x:c>
      <x:c r="H610" s="6" t="str">
        <x:v>LIVE_ROUTER_REGISTERED</x:v>
      </x:c>
      <x:c r="I610" s="6" t="str">
        <x:v>frontend/src/features/enterprise-structure/api/index.ts</x:v>
      </x:c>
      <x:c r="J610" s="6" t="str">
        <x:v>NOT_EXECUTED_BY_INVENTORY. SOURCE_LITERAL_OR_TRANSITIVE_HELPER_UNION</x:v>
      </x:c>
    </x:row>
    <x:row r="611" ht="42" customHeight="1">
      <x:c r="A611" s="15" t="str">
        <x:v>API-407</x:v>
      </x:c>
      <x:c r="B611" s="13" t="str">
        <x:v>POST</x:v>
      </x:c>
      <x:c r="C611" s="13" t="str">
        <x:v>/api/v1/physical-workspaces/{workspace_id}/initialization/start</x:v>
      </x:c>
      <x:c r="D611" s="13" t="str">
        <x:v>USER MODE</x:v>
      </x:c>
      <x:c r="E611" s="13" t="str">
        <x:v>physical_workspace_initialization</x:v>
      </x:c>
      <x:c r="F611" s="13" t="str">
        <x:v>start initialization</x:v>
      </x:c>
      <x:c r="G611" s="13" t="str">
        <x:v>physical_workspace.initialization.execute</x:v>
      </x:c>
      <x:c r="H611" s="13" t="str">
        <x:v>LIVE_ROUTER_REGISTERED</x:v>
      </x:c>
      <x:c r="I611" s="13" t="str">
        <x:v>NO_DIRECT_LITERAL_MATCH_NOT_PROOF_UNUSED</x:v>
      </x:c>
      <x:c r="J611" s="13" t="str">
        <x:v>NOT_EXECUTED_BY_INVENTORY. SOURCE_LITERAL_OR_TRANSITIVE_HELPER_UNION</x:v>
      </x:c>
    </x:row>
    <x:row r="612" ht="42" customHeight="1">
      <x:c r="A612" s="14" t="str">
        <x:v>API-408</x:v>
      </x:c>
      <x:c r="B612" s="6" t="str">
        <x:v>POST</x:v>
      </x:c>
      <x:c r="C612" s="6" t="str">
        <x:v>/api/v1/physical-workspaces/{workspace_id}/initialization/validate</x:v>
      </x:c>
      <x:c r="D612" s="6" t="str">
        <x:v>USER MODE</x:v>
      </x:c>
      <x:c r="E612" s="6" t="str">
        <x:v>physical_workspace_initialization</x:v>
      </x:c>
      <x:c r="F612" s="6" t="str">
        <x:v>validate initialization</x:v>
      </x:c>
      <x:c r="G612" s="6" t="str">
        <x:v>physical_workspace.initialization.execute</x:v>
      </x:c>
      <x:c r="H612" s="6" t="str">
        <x:v>LIVE_ROUTER_REGISTERED</x:v>
      </x:c>
      <x:c r="I612" s="6" t="str">
        <x:v>NO_DIRECT_LITERAL_MATCH_NOT_PROOF_UNUSED</x:v>
      </x:c>
      <x:c r="J612" s="6" t="str">
        <x:v>NOT_EXECUTED_BY_INVENTORY. SOURCE_LITERAL_OR_TRANSITIVE_HELPER_UNION</x:v>
      </x:c>
    </x:row>
    <x:row r="613" ht="42" customHeight="1">
      <x:c r="A613" s="15" t="str">
        <x:v>API-409</x:v>
      </x:c>
      <x:c r="B613" s="13" t="str">
        <x:v>GET</x:v>
      </x:c>
      <x:c r="C613" s="13" t="str">
        <x:v>/api/v1/portfolio-analysis/admin/configurations</x:v>
      </x:c>
      <x:c r="D613" s="13" t="str">
        <x:v>ADMIN MODE</x:v>
      </x:c>
      <x:c r="E613" s="13" t="str">
        <x:v>portfolio_analysis</x:v>
      </x:c>
      <x:c r="F613" s="13" t="str">
        <x:v>configurations</x:v>
      </x:c>
      <x:c r="G613" s="13" t="str">
        <x:v>portfolio_analysis.admin.configure</x:v>
      </x:c>
      <x:c r="H613" s="13" t="str">
        <x:v>LIVE_ROUTER_REGISTERED</x:v>
      </x:c>
      <x:c r="I613" s="13" t="str">
        <x:v>frontend/src/features/portfolio-analysis/api.ts</x:v>
      </x:c>
      <x:c r="J613" s="13" t="str">
        <x:v>NOT_EXECUTED_BY_INVENTORY. SOURCE_LITERAL_OR_TRANSITIVE_HELPER_UNION</x:v>
      </x:c>
    </x:row>
    <x:row r="614" ht="42" customHeight="1">
      <x:c r="A614" s="14" t="str">
        <x:v>API-410</x:v>
      </x:c>
      <x:c r="B614" s="6" t="str">
        <x:v>POST</x:v>
      </x:c>
      <x:c r="C614" s="6" t="str">
        <x:v>/api/v1/portfolio-analysis/admin/configurations/preview</x:v>
      </x:c>
      <x:c r="D614" s="6" t="str">
        <x:v>ADMIN MODE</x:v>
      </x:c>
      <x:c r="E614" s="6" t="str">
        <x:v>portfolio_analysis</x:v>
      </x:c>
      <x:c r="F614" s="6" t="str">
        <x:v>configuration preview</x:v>
      </x:c>
      <x:c r="G614" s="6" t="str">
        <x:v>portfolio_analysis.admin.configure</x:v>
      </x:c>
      <x:c r="H614" s="6" t="str">
        <x:v>LIVE_ROUTER_REGISTERED</x:v>
      </x:c>
      <x:c r="I614" s="6" t="str">
        <x:v>frontend/src/features/portfolio-analysis/api.ts</x:v>
      </x:c>
      <x:c r="J614" s="6" t="str">
        <x:v>NOT_EXECUTED_BY_INVENTORY. SOURCE_LITERAL_OR_TRANSITIVE_HELPER_UNION</x:v>
      </x:c>
    </x:row>
    <x:row r="615" ht="42" customHeight="1">
      <x:c r="A615" s="15" t="str">
        <x:v>API-411</x:v>
      </x:c>
      <x:c r="B615" s="13" t="str">
        <x:v>PUT</x:v>
      </x:c>
      <x:c r="C615" s="13" t="str">
        <x:v>/api/v1/portfolio-analysis/admin/configurations/{configuration_id}</x:v>
      </x:c>
      <x:c r="D615" s="13" t="str">
        <x:v>ADMIN MODE</x:v>
      </x:c>
      <x:c r="E615" s="13" t="str">
        <x:v>portfolio_analysis</x:v>
      </x:c>
      <x:c r="F615" s="13" t="str">
        <x:v>update configuration</x:v>
      </x:c>
      <x:c r="G615" s="13" t="str">
        <x:v>portfolio_analysis.admin.configure</x:v>
      </x:c>
      <x:c r="H615" s="13" t="str">
        <x:v>LIVE_ROUTER_REGISTERED</x:v>
      </x:c>
      <x:c r="I615" s="13" t="str">
        <x:v>frontend/src/features/portfolio-analysis/api.ts</x:v>
      </x:c>
      <x:c r="J615" s="13" t="str">
        <x:v>NOT_EXECUTED_BY_INVENTORY. SOURCE_LITERAL_OR_TRANSITIVE_HELPER_UNION</x:v>
      </x:c>
    </x:row>
    <x:row r="616" ht="42" customHeight="1">
      <x:c r="A616" s="14" t="str">
        <x:v>API-412</x:v>
      </x:c>
      <x:c r="B616" s="6" t="str">
        <x:v>POST</x:v>
      </x:c>
      <x:c r="C616" s="6" t="str">
        <x:v>/api/v1/portfolio-analysis/admin/configurations/{configuration_id}/clone</x:v>
      </x:c>
      <x:c r="D616" s="6" t="str">
        <x:v>ADMIN MODE</x:v>
      </x:c>
      <x:c r="E616" s="6" t="str">
        <x:v>portfolio_analysis</x:v>
      </x:c>
      <x:c r="F616" s="6" t="str">
        <x:v>clone configuration</x:v>
      </x:c>
      <x:c r="G616" s="6" t="str">
        <x:v>portfolio_analysis.admin.configure</x:v>
      </x:c>
      <x:c r="H616" s="6" t="str">
        <x:v>LIVE_ROUTER_REGISTERED</x:v>
      </x:c>
      <x:c r="I616" s="6" t="str">
        <x:v>frontend/src/features/portfolio-analysis/api.ts</x:v>
      </x:c>
      <x:c r="J616" s="6" t="str">
        <x:v>NOT_EXECUTED_BY_INVENTORY. SOURCE_LITERAL_OR_TRANSITIVE_HELPER_UNION</x:v>
      </x:c>
    </x:row>
    <x:row r="617" ht="42" customHeight="1">
      <x:c r="A617" s="15" t="str">
        <x:v>API-413</x:v>
      </x:c>
      <x:c r="B617" s="13" t="str">
        <x:v>POST</x:v>
      </x:c>
      <x:c r="C617" s="13" t="str">
        <x:v>/api/v1/portfolio-analysis/admin/configurations/{configuration_id}/publish</x:v>
      </x:c>
      <x:c r="D617" s="13" t="str">
        <x:v>ADMIN MODE</x:v>
      </x:c>
      <x:c r="E617" s="13" t="str">
        <x:v>portfolio_analysis</x:v>
      </x:c>
      <x:c r="F617" s="13" t="str">
        <x:v>publish configuration</x:v>
      </x:c>
      <x:c r="G617" s="13" t="str">
        <x:v>portfolio_analysis.admin.publish</x:v>
      </x:c>
      <x:c r="H617" s="13" t="str">
        <x:v>LIVE_ROUTER_REGISTERED</x:v>
      </x:c>
      <x:c r="I617" s="13" t="str">
        <x:v>frontend/src/features/portfolio-analysis/api.ts</x:v>
      </x:c>
      <x:c r="J617" s="13" t="str">
        <x:v>NOT_EXECUTED_BY_INVENTORY. SOURCE_LITERAL_OR_TRANSITIVE_HELPER_UNION</x:v>
      </x:c>
    </x:row>
    <x:row r="618" ht="42" customHeight="1">
      <x:c r="A618" s="14" t="str">
        <x:v>API-414</x:v>
      </x:c>
      <x:c r="B618" s="6" t="str">
        <x:v>GET</x:v>
      </x:c>
      <x:c r="C618" s="6" t="str">
        <x:v>/api/v1/portfolios/{portfolio_id}/analysis</x:v>
      </x:c>
      <x:c r="D618" s="6" t="str">
        <x:v>READ-ONLY SHARED CONTEXT</x:v>
      </x:c>
      <x:c r="E618" s="6" t="str">
        <x:v>portfolio_analysis</x:v>
      </x:c>
      <x:c r="F618" s="6" t="str">
        <x:v>overview</x:v>
      </x:c>
      <x:c r="G618" s="6" t="str">
        <x:v>portfolio_analysis.read</x:v>
      </x:c>
      <x:c r="H618" s="6" t="str">
        <x:v>LIVE_ROUTER_REGISTERED</x:v>
      </x:c>
      <x:c r="I618" s="6" t="str">
        <x:v>NO_DIRECT_LITERAL_MATCH_NOT_PROOF_UNUSED</x:v>
      </x:c>
      <x:c r="J618" s="6" t="str">
        <x:v>NOT_EXECUTED_BY_INVENTORY. SOURCE_LITERAL_OR_TRANSITIVE_HELPER_UNION</x:v>
      </x:c>
    </x:row>
    <x:row r="619" ht="42" customHeight="1">
      <x:c r="A619" s="15" t="str">
        <x:v>API-415</x:v>
      </x:c>
      <x:c r="B619" s="13" t="str">
        <x:v>GET</x:v>
      </x:c>
      <x:c r="C619" s="13" t="str">
        <x:v>/api/v1/portfolios/{portfolio_id}/analysis/dataset</x:v>
      </x:c>
      <x:c r="D619" s="13" t="str">
        <x:v>READ-ONLY SHARED CONTEXT</x:v>
      </x:c>
      <x:c r="E619" s="13" t="str">
        <x:v>portfolio_analysis</x:v>
      </x:c>
      <x:c r="F619" s="13" t="str">
        <x:v>dataset</x:v>
      </x:c>
      <x:c r="G619" s="13" t="str">
        <x:v>portfolio_analysis.read</x:v>
      </x:c>
      <x:c r="H619" s="13" t="str">
        <x:v>LIVE_ROUTER_REGISTERED</x:v>
      </x:c>
      <x:c r="I619" s="13" t="str">
        <x:v>NO_DIRECT_LITERAL_MATCH_NOT_PROOF_UNUSED</x:v>
      </x:c>
      <x:c r="J619" s="13" t="str">
        <x:v>NOT_EXECUTED_BY_INVENTORY. SOURCE_LITERAL_OR_TRANSITIVE_HELPER_UNION</x:v>
      </x:c>
    </x:row>
    <x:row r="620" ht="42" customHeight="1">
      <x:c r="A620" s="14" t="str">
        <x:v>API-416</x:v>
      </x:c>
      <x:c r="B620" s="6" t="str">
        <x:v>GET</x:v>
      </x:c>
      <x:c r="C620" s="6" t="str">
        <x:v>/api/v1/portfolios/{portfolio_id}/analysis/investor-map</x:v>
      </x:c>
      <x:c r="D620" s="6" t="str">
        <x:v>READ-ONLY SHARED CONTEXT</x:v>
      </x:c>
      <x:c r="E620" s="6" t="str">
        <x:v>portfolio_analysis</x:v>
      </x:c>
      <x:c r="F620" s="6" t="str">
        <x:v>investor map</x:v>
      </x:c>
      <x:c r="G620" s="6" t="str">
        <x:v>portfolio_analysis.read</x:v>
      </x:c>
      <x:c r="H620" s="6" t="str">
        <x:v>LIVE_ROUTER_REGISTERED</x:v>
      </x:c>
      <x:c r="I620" s="6" t="str">
        <x:v>NO_DIRECT_LITERAL_MATCH_NOT_PROOF_UNUSED</x:v>
      </x:c>
      <x:c r="J620" s="6" t="str">
        <x:v>NOT_EXECUTED_BY_INVENTORY. SOURCE_LITERAL_OR_TRANSITIVE_HELPER_UNION</x:v>
      </x:c>
    </x:row>
    <x:row r="621" ht="42" customHeight="1">
      <x:c r="A621" s="15" t="str">
        <x:v>API-417</x:v>
      </x:c>
      <x:c r="B621" s="13" t="str">
        <x:v>POST</x:v>
      </x:c>
      <x:c r="C621" s="13" t="str">
        <x:v>/api/v1/portfolios/{portfolio_id}/analysis/preview</x:v>
      </x:c>
      <x:c r="D621" s="13" t="str">
        <x:v>USER MODE</x:v>
      </x:c>
      <x:c r="E621" s="13" t="str">
        <x:v>portfolio_analysis</x:v>
      </x:c>
      <x:c r="F621" s="13" t="str">
        <x:v>preview</x:v>
      </x:c>
      <x:c r="G621" s="13" t="str">
        <x:v>portfolio_analysis.read</x:v>
      </x:c>
      <x:c r="H621" s="13" t="str">
        <x:v>LIVE_ROUTER_REGISTERED</x:v>
      </x:c>
      <x:c r="I621" s="13" t="str">
        <x:v>frontend/src/features/portfolio-analysis/api.ts</x:v>
      </x:c>
      <x:c r="J621" s="13" t="str">
        <x:v>NOT_EXECUTED_BY_INVENTORY. SOURCE_LITERAL_OR_TRANSITIVE_HELPER_UNION</x:v>
      </x:c>
    </x:row>
    <x:row r="622" ht="42" customHeight="1">
      <x:c r="A622" s="14" t="str">
        <x:v>API-418</x:v>
      </x:c>
      <x:c r="B622" s="6" t="str">
        <x:v>GET</x:v>
      </x:c>
      <x:c r="C622" s="6" t="str">
        <x:v>/api/v1/portfolios/{portfolio_id}/analysis/projects/{project_id}</x:v>
      </x:c>
      <x:c r="D622" s="6" t="str">
        <x:v>READ-ONLY SHARED CONTEXT</x:v>
      </x:c>
      <x:c r="E622" s="6" t="str">
        <x:v>portfolio_analysis</x:v>
      </x:c>
      <x:c r="F622" s="6" t="str">
        <x:v>project detail</x:v>
      </x:c>
      <x:c r="G622" s="6" t="str">
        <x:v>portfolio_analysis.read</x:v>
      </x:c>
      <x:c r="H622" s="6" t="str">
        <x:v>LIVE_ROUTER_REGISTERED</x:v>
      </x:c>
      <x:c r="I622" s="6" t="str">
        <x:v>frontend/src/features/portfolio-analysis/api.ts</x:v>
      </x:c>
      <x:c r="J622" s="6" t="str">
        <x:v>NOT_EXECUTED_BY_INVENTORY. SOURCE_LITERAL_OR_TRANSITIVE_HELPER_UNION</x:v>
      </x:c>
    </x:row>
    <x:row r="623" ht="42" customHeight="1">
      <x:c r="A623" s="15" t="str">
        <x:v>API-419</x:v>
      </x:c>
      <x:c r="B623" s="13" t="str">
        <x:v>GET</x:v>
      </x:c>
      <x:c r="C623" s="13" t="str">
        <x:v>/api/v1/portfolios/{portfolio_id}/analysis/readiness</x:v>
      </x:c>
      <x:c r="D623" s="13" t="str">
        <x:v>READ-ONLY SHARED CONTEXT</x:v>
      </x:c>
      <x:c r="E623" s="13" t="str">
        <x:v>portfolio_analysis</x:v>
      </x:c>
      <x:c r="F623" s="13" t="str">
        <x:v>readiness</x:v>
      </x:c>
      <x:c r="G623" s="13" t="str">
        <x:v>portfolio_analysis.read</x:v>
      </x:c>
      <x:c r="H623" s="13" t="str">
        <x:v>LIVE_ROUTER_REGISTERED</x:v>
      </x:c>
      <x:c r="I623" s="13" t="str">
        <x:v>NO_DIRECT_LITERAL_MATCH_NOT_PROOF_UNUSED</x:v>
      </x:c>
      <x:c r="J623" s="13" t="str">
        <x:v>NOT_EXECUTED_BY_INVENTORY. SOURCE_LITERAL_OR_TRANSITIVE_HELPER_UNION</x:v>
      </x:c>
    </x:row>
    <x:row r="624" ht="42" customHeight="1">
      <x:c r="A624" s="14" t="str">
        <x:v>API-420</x:v>
      </x:c>
      <x:c r="B624" s="6" t="str">
        <x:v>GET</x:v>
      </x:c>
      <x:c r="C624" s="6" t="str">
        <x:v>/api/v1/portfolios/{portfolio_id}/analysis/scorecard</x:v>
      </x:c>
      <x:c r="D624" s="6" t="str">
        <x:v>READ-ONLY SHARED CONTEXT</x:v>
      </x:c>
      <x:c r="E624" s="6" t="str">
        <x:v>portfolio_analysis</x:v>
      </x:c>
      <x:c r="F624" s="6" t="str">
        <x:v>scorecard</x:v>
      </x:c>
      <x:c r="G624" s="6" t="str">
        <x:v>portfolio_analysis.read</x:v>
      </x:c>
      <x:c r="H624" s="6" t="str">
        <x:v>LIVE_ROUTER_REGISTERED</x:v>
      </x:c>
      <x:c r="I624" s="6" t="str">
        <x:v>NO_DIRECT_LITERAL_MATCH_NOT_PROOF_UNUSED</x:v>
      </x:c>
      <x:c r="J624" s="6" t="str">
        <x:v>NOT_EXECUTED_BY_INVENTORY. SOURCE_LITERAL_OR_TRANSITIVE_HELPER_UNION</x:v>
      </x:c>
    </x:row>
    <x:row r="625" ht="42" customHeight="1">
      <x:c r="A625" s="15" t="str">
        <x:v>API-421</x:v>
      </x:c>
      <x:c r="B625" s="13" t="str">
        <x:v>GET</x:v>
      </x:c>
      <x:c r="C625" s="13" t="str">
        <x:v>/api/v1/portfolio-budget-scenarios/{scenario_id}</x:v>
      </x:c>
      <x:c r="D625" s="13" t="str">
        <x:v>READ-ONLY SHARED CONTEXT</x:v>
      </x:c>
      <x:c r="E625" s="13" t="str">
        <x:v>portfolio_budget</x:v>
      </x:c>
      <x:c r="F625" s="13" t="str">
        <x:v>scenario</x:v>
      </x:c>
      <x:c r="G625" s="13" t="str">
        <x:v>portfolio_budget.read</x:v>
      </x:c>
      <x:c r="H625" s="13" t="str">
        <x:v>LIVE_ROUTER_REGISTERED</x:v>
      </x:c>
      <x:c r="I625" s="13" t="str">
        <x:v>NO_DIRECT_LITERAL_MATCH_NOT_PROOF_UNUSED</x:v>
      </x:c>
      <x:c r="J625" s="13" t="str">
        <x:v>NOT_EXECUTED_BY_INVENTORY. SOURCE_LITERAL_OR_TRANSITIVE_HELPER_UNION</x:v>
      </x:c>
    </x:row>
    <x:row r="626" ht="42" customHeight="1">
      <x:c r="A626" s="14" t="str">
        <x:v>API-422</x:v>
      </x:c>
      <x:c r="B626" s="6" t="str">
        <x:v>PUT</x:v>
      </x:c>
      <x:c r="C626" s="6" t="str">
        <x:v>/api/v1/portfolio-budget-scenarios/{scenario_id}</x:v>
      </x:c>
      <x:c r="D626" s="6" t="str">
        <x:v>USER MODE</x:v>
      </x:c>
      <x:c r="E626" s="6" t="str">
        <x:v>portfolio_budget</x:v>
      </x:c>
      <x:c r="F626" s="6" t="str">
        <x:v>update scenario</x:v>
      </x:c>
      <x:c r="G626" s="6" t="str">
        <x:v>portfolio_budget_scenario.edit</x:v>
      </x:c>
      <x:c r="H626" s="6" t="str">
        <x:v>LIVE_ROUTER_REGISTERED</x:v>
      </x:c>
      <x:c r="I626" s="6" t="str">
        <x:v>NO_DIRECT_LITERAL_MATCH_NOT_PROOF_UNUSED</x:v>
      </x:c>
      <x:c r="J626" s="6" t="str">
        <x:v>NOT_EXECUTED_BY_INVENTORY. SOURCE_LITERAL_OR_TRANSITIVE_HELPER_UNION</x:v>
      </x:c>
    </x:row>
    <x:row r="627" ht="42" customHeight="1">
      <x:c r="A627" s="15" t="str">
        <x:v>API-423</x:v>
      </x:c>
      <x:c r="B627" s="13" t="str">
        <x:v>POST</x:v>
      </x:c>
      <x:c r="C627" s="13" t="str">
        <x:v>/api/v1/portfolio-budget-scenarios/{scenario_id}/clone</x:v>
      </x:c>
      <x:c r="D627" s="13" t="str">
        <x:v>USER MODE</x:v>
      </x:c>
      <x:c r="E627" s="13" t="str">
        <x:v>portfolio_budget</x:v>
      </x:c>
      <x:c r="F627" s="13" t="str">
        <x:v>clone scenario</x:v>
      </x:c>
      <x:c r="G627" s="13" t="str">
        <x:v>HELPER_OR_SERVICE_AUTHORIZATION_REQUIRES_REVIEW</x:v>
      </x:c>
      <x:c r="H627" s="13" t="str">
        <x:v>LIVE_ROUTER_REGISTERED</x:v>
      </x:c>
      <x:c r="I627" s="13" t="str">
        <x:v>frontend/src/features/portfolio-budget/api.ts</x:v>
      </x:c>
      <x:c r="J627" s="13" t="str">
        <x:v>NOT_EXECUTED_BY_INVENTORY. SOURCE_LITERAL_OR_TRANSITIVE_HELPER_UNION</x:v>
      </x:c>
    </x:row>
    <x:row r="628" ht="42" customHeight="1">
      <x:c r="A628" s="14" t="str">
        <x:v>API-424</x:v>
      </x:c>
      <x:c r="B628" s="6" t="str">
        <x:v>GET</x:v>
      </x:c>
      <x:c r="C628" s="6" t="str">
        <x:v>/api/v1/portfolio-budget-scenarios/{scenario_id}/dependencies</x:v>
      </x:c>
      <x:c r="D628" s="6" t="str">
        <x:v>READ-ONLY SHARED CONTEXT</x:v>
      </x:c>
      <x:c r="E628" s="6" t="str">
        <x:v>portfolio_budget</x:v>
      </x:c>
      <x:c r="F628" s="6" t="str">
        <x:v>scenario dependencies</x:v>
      </x:c>
      <x:c r="G628" s="6" t="str">
        <x:v>portfolio_dependency.read</x:v>
      </x:c>
      <x:c r="H628" s="6" t="str">
        <x:v>LIVE_ROUTER_REGISTERED</x:v>
      </x:c>
      <x:c r="I628" s="6" t="str">
        <x:v>NO_DIRECT_LITERAL_MATCH_NOT_PROOF_UNUSED</x:v>
      </x:c>
      <x:c r="J628" s="6" t="str">
        <x:v>NOT_EXECUTED_BY_INVENTORY. SOURCE_LITERAL_OR_TRANSITIVE_HELPER_UNION</x:v>
      </x:c>
    </x:row>
    <x:row r="629" ht="42" customHeight="1">
      <x:c r="A629" s="15" t="str">
        <x:v>API-425</x:v>
      </x:c>
      <x:c r="B629" s="13" t="str">
        <x:v>POST</x:v>
      </x:c>
      <x:c r="C629" s="13" t="str">
        <x:v>/api/v1/portfolio-budget-scenarios/{scenario_id}/freeze</x:v>
      </x:c>
      <x:c r="D629" s="13" t="str">
        <x:v>USER MODE</x:v>
      </x:c>
      <x:c r="E629" s="13" t="str">
        <x:v>portfolio_budget</x:v>
      </x:c>
      <x:c r="F629" s="13" t="str">
        <x:v>freeze scenario</x:v>
      </x:c>
      <x:c r="G629" s="13" t="str">
        <x:v>HELPER_OR_SERVICE_AUTHORIZATION_REQUIRES_REVIEW</x:v>
      </x:c>
      <x:c r="H629" s="13" t="str">
        <x:v>LIVE_ROUTER_REGISTERED</x:v>
      </x:c>
      <x:c r="I629" s="13" t="str">
        <x:v>frontend/src/features/portfolio-budget/api.ts</x:v>
      </x:c>
      <x:c r="J629" s="13" t="str">
        <x:v>NOT_EXECUTED_BY_INVENTORY. SOURCE_LITERAL_OR_TRANSITIVE_HELPER_UNION</x:v>
      </x:c>
    </x:row>
    <x:row r="630" ht="42" customHeight="1">
      <x:c r="A630" s="14" t="str">
        <x:v>API-426</x:v>
      </x:c>
      <x:c r="B630" s="6" t="str">
        <x:v>POST</x:v>
      </x:c>
      <x:c r="C630" s="6" t="str">
        <x:v>/api/v1/portfolio-budget-scenarios/{scenario_id}/projects/{project_id}/selection</x:v>
      </x:c>
      <x:c r="D630" s="6" t="str">
        <x:v>USER MODE</x:v>
      </x:c>
      <x:c r="E630" s="6" t="str">
        <x:v>portfolio_budget</x:v>
      </x:c>
      <x:c r="F630" s="6" t="str">
        <x:v>select project</x:v>
      </x:c>
      <x:c r="G630" s="6" t="str">
        <x:v>HELPER_OR_SERVICE_AUTHORIZATION_REQUIRES_REVIEW</x:v>
      </x:c>
      <x:c r="H630" s="6" t="str">
        <x:v>LIVE_ROUTER_REGISTERED</x:v>
      </x:c>
      <x:c r="I630" s="6" t="str">
        <x:v>frontend/src/features/portfolio-budget/api.ts</x:v>
      </x:c>
      <x:c r="J630" s="6" t="str">
        <x:v>NOT_EXECUTED_BY_INVENTORY. SOURCE_LITERAL_OR_TRANSITIVE_HELPER_UNION</x:v>
      </x:c>
    </x:row>
    <x:row r="631" ht="42" customHeight="1">
      <x:c r="A631" s="15" t="str">
        <x:v>API-427</x:v>
      </x:c>
      <x:c r="B631" s="13" t="str">
        <x:v>POST</x:v>
      </x:c>
      <x:c r="C631" s="13" t="str">
        <x:v>/api/v1/portfolio-budget-scenarios/{scenario_id}/refresh</x:v>
      </x:c>
      <x:c r="D631" s="13" t="str">
        <x:v>USER MODE</x:v>
      </x:c>
      <x:c r="E631" s="13" t="str">
        <x:v>portfolio_budget</x:v>
      </x:c>
      <x:c r="F631" s="13" t="str">
        <x:v>apply refresh</x:v>
      </x:c>
      <x:c r="G631" s="13" t="str">
        <x:v>portfolio_budget_scenario.edit</x:v>
      </x:c>
      <x:c r="H631" s="13" t="str">
        <x:v>LIVE_ROUTER_REGISTERED</x:v>
      </x:c>
      <x:c r="I631" s="13" t="str">
        <x:v>NO_DIRECT_LITERAL_MATCH_NOT_PROOF_UNUSED</x:v>
      </x:c>
      <x:c r="J631" s="13" t="str">
        <x:v>NOT_EXECUTED_BY_INVENTORY. SOURCE_LITERAL_OR_TRANSITIVE_HELPER_UNION</x:v>
      </x:c>
    </x:row>
    <x:row r="632" ht="42" customHeight="1">
      <x:c r="A632" s="14" t="str">
        <x:v>API-428</x:v>
      </x:c>
      <x:c r="B632" s="6" t="str">
        <x:v>POST</x:v>
      </x:c>
      <x:c r="C632" s="6" t="str">
        <x:v>/api/v1/portfolio-budget-scenarios/{scenario_id}/refresh/preview</x:v>
      </x:c>
      <x:c r="D632" s="6" t="str">
        <x:v>USER MODE</x:v>
      </x:c>
      <x:c r="E632" s="6" t="str">
        <x:v>portfolio_budget</x:v>
      </x:c>
      <x:c r="F632" s="6" t="str">
        <x:v>refresh preview</x:v>
      </x:c>
      <x:c r="G632" s="6" t="str">
        <x:v>portfolio_budget_scenario.edit</x:v>
      </x:c>
      <x:c r="H632" s="6" t="str">
        <x:v>LIVE_ROUTER_REGISTERED</x:v>
      </x:c>
      <x:c r="I632" s="6" t="str">
        <x:v>frontend/src/features/portfolio-budget/api.ts</x:v>
      </x:c>
      <x:c r="J632" s="6" t="str">
        <x:v>NOT_EXECUTED_BY_INVENTORY. SOURCE_LITERAL_OR_TRANSITIVE_HELPER_UNION</x:v>
      </x:c>
    </x:row>
    <x:row r="633" ht="42" customHeight="1">
      <x:c r="A633" s="15" t="str">
        <x:v>API-429</x:v>
      </x:c>
      <x:c r="B633" s="13" t="str">
        <x:v>POST</x:v>
      </x:c>
      <x:c r="C633" s="13" t="str">
        <x:v>/api/v1/portfolio-budget-scenarios/{scenario_id}/void</x:v>
      </x:c>
      <x:c r="D633" s="13" t="str">
        <x:v>USER MODE</x:v>
      </x:c>
      <x:c r="E633" s="13" t="str">
        <x:v>portfolio_budget</x:v>
      </x:c>
      <x:c r="F633" s="13" t="str">
        <x:v>void scenario</x:v>
      </x:c>
      <x:c r="G633" s="13" t="str">
        <x:v>HELPER_OR_SERVICE_AUTHORIZATION_REQUIRES_REVIEW</x:v>
      </x:c>
      <x:c r="H633" s="13" t="str">
        <x:v>LIVE_ROUTER_REGISTERED</x:v>
      </x:c>
      <x:c r="I633" s="13" t="str">
        <x:v>NO_DIRECT_LITERAL_MATCH_NOT_PROOF_UNUSED</x:v>
      </x:c>
      <x:c r="J633" s="13" t="str">
        <x:v>NOT_EXECUTED_BY_INVENTORY. SOURCE_LITERAL_OR_TRANSITIVE_HELPER_UNION</x:v>
      </x:c>
    </x:row>
    <x:row r="634" ht="42" customHeight="1">
      <x:c r="A634" s="14" t="str">
        <x:v>API-430</x:v>
      </x:c>
      <x:c r="B634" s="6" t="str">
        <x:v>GET</x:v>
      </x:c>
      <x:c r="C634" s="6" t="str">
        <x:v>/api/v1/portfolio-budget-scenarios/{scenario_id}/waterline</x:v>
      </x:c>
      <x:c r="D634" s="6" t="str">
        <x:v>READ-ONLY SHARED CONTEXT</x:v>
      </x:c>
      <x:c r="E634" s="6" t="str">
        <x:v>portfolio_budget</x:v>
      </x:c>
      <x:c r="F634" s="6" t="str">
        <x:v>waterline</x:v>
      </x:c>
      <x:c r="G634" s="6" t="str">
        <x:v>portfolio_budget.read</x:v>
      </x:c>
      <x:c r="H634" s="6" t="str">
        <x:v>LIVE_ROUTER_REGISTERED</x:v>
      </x:c>
      <x:c r="I634" s="6" t="str">
        <x:v>NO_DIRECT_LITERAL_MATCH_NOT_PROOF_UNUSED</x:v>
      </x:c>
      <x:c r="J634" s="6" t="str">
        <x:v>NOT_EXECUTED_BY_INVENTORY. SOURCE_LITERAL_OR_TRANSITIVE_HELPER_UNION</x:v>
      </x:c>
    </x:row>
    <x:row r="635" ht="42" customHeight="1">
      <x:c r="A635" s="15" t="str">
        <x:v>API-431</x:v>
      </x:c>
      <x:c r="B635" s="13" t="str">
        <x:v>GET</x:v>
      </x:c>
      <x:c r="C635" s="13" t="str">
        <x:v>/api/v1/portfolio-budget-targets/{target_id}</x:v>
      </x:c>
      <x:c r="D635" s="13" t="str">
        <x:v>READ-ONLY SHARED CONTEXT</x:v>
      </x:c>
      <x:c r="E635" s="13" t="str">
        <x:v>portfolio_budget</x:v>
      </x:c>
      <x:c r="F635" s="13" t="str">
        <x:v>target</x:v>
      </x:c>
      <x:c r="G635" s="13" t="str">
        <x:v>portfolio_budget.read</x:v>
      </x:c>
      <x:c r="H635" s="13" t="str">
        <x:v>LIVE_ROUTER_REGISTERED</x:v>
      </x:c>
      <x:c r="I635" s="13" t="str">
        <x:v>NO_DIRECT_LITERAL_MATCH_NOT_PROOF_UNUSED</x:v>
      </x:c>
      <x:c r="J635" s="13" t="str">
        <x:v>NOT_EXECUTED_BY_INVENTORY. SOURCE_LITERAL_OR_TRANSITIVE_HELPER_UNION</x:v>
      </x:c>
    </x:row>
    <x:row r="636" ht="42" customHeight="1">
      <x:c r="A636" s="14" t="str">
        <x:v>API-432</x:v>
      </x:c>
      <x:c r="B636" s="6" t="str">
        <x:v>PUT</x:v>
      </x:c>
      <x:c r="C636" s="6" t="str">
        <x:v>/api/v1/portfolio-budget-targets/{target_id}</x:v>
      </x:c>
      <x:c r="D636" s="6" t="str">
        <x:v>USER MODE</x:v>
      </x:c>
      <x:c r="E636" s="6" t="str">
        <x:v>portfolio_budget</x:v>
      </x:c>
      <x:c r="F636" s="6" t="str">
        <x:v>update target</x:v>
      </x:c>
      <x:c r="G636" s="6" t="str">
        <x:v>portfolio_budget_target.create</x:v>
      </x:c>
      <x:c r="H636" s="6" t="str">
        <x:v>LIVE_ROUTER_REGISTERED</x:v>
      </x:c>
      <x:c r="I636" s="6" t="str">
        <x:v>NO_DIRECT_LITERAL_MATCH_NOT_PROOF_UNUSED</x:v>
      </x:c>
      <x:c r="J636" s="6" t="str">
        <x:v>NOT_EXECUTED_BY_INVENTORY. SOURCE_LITERAL_OR_TRANSITIVE_HELPER_UNION</x:v>
      </x:c>
    </x:row>
    <x:row r="637" ht="42" customHeight="1">
      <x:c r="A637" s="15" t="str">
        <x:v>API-433</x:v>
      </x:c>
      <x:c r="B637" s="13" t="str">
        <x:v>POST</x:v>
      </x:c>
      <x:c r="C637" s="13" t="str">
        <x:v>/api/v1/portfolio-budget-targets/{target_id}/publish</x:v>
      </x:c>
      <x:c r="D637" s="13" t="str">
        <x:v>USER MODE</x:v>
      </x:c>
      <x:c r="E637" s="13" t="str">
        <x:v>portfolio_budget</x:v>
      </x:c>
      <x:c r="F637" s="13" t="str">
        <x:v>publish target</x:v>
      </x:c>
      <x:c r="G637" s="13" t="str">
        <x:v>portfolio_budget_target.publish</x:v>
      </x:c>
      <x:c r="H637" s="13" t="str">
        <x:v>LIVE_ROUTER_REGISTERED</x:v>
      </x:c>
      <x:c r="I637" s="13" t="str">
        <x:v>frontend/src/features/portfolio-budget/api.ts</x:v>
      </x:c>
      <x:c r="J637" s="13" t="str">
        <x:v>NOT_EXECUTED_BY_INVENTORY. SOURCE_LITERAL_OR_TRANSITIVE_HELPER_UNION</x:v>
      </x:c>
    </x:row>
    <x:row r="638" ht="42" customHeight="1">
      <x:c r="A638" s="14" t="str">
        <x:v>API-434</x:v>
      </x:c>
      <x:c r="B638" s="6" t="str">
        <x:v>GET</x:v>
      </x:c>
      <x:c r="C638" s="6" t="str">
        <x:v>/api/v1/portfolio-budget/admin/configurations</x:v>
      </x:c>
      <x:c r="D638" s="6" t="str">
        <x:v>ADMIN MODE</x:v>
      </x:c>
      <x:c r="E638" s="6" t="str">
        <x:v>portfolio_budget</x:v>
      </x:c>
      <x:c r="F638" s="6" t="str">
        <x:v>configurations</x:v>
      </x:c>
      <x:c r="G638" s="6" t="str">
        <x:v>portfolio_budget.admin.configure</x:v>
      </x:c>
      <x:c r="H638" s="6" t="str">
        <x:v>LIVE_ROUTER_REGISTERED</x:v>
      </x:c>
      <x:c r="I638" s="6" t="str">
        <x:v>frontend/src/features/portfolio-budget/api.ts</x:v>
      </x:c>
      <x:c r="J638" s="6" t="str">
        <x:v>NOT_EXECUTED_BY_INVENTORY. SOURCE_LITERAL_OR_TRANSITIVE_HELPER_UNION</x:v>
      </x:c>
    </x:row>
    <x:row r="639" ht="42" customHeight="1">
      <x:c r="A639" s="15" t="str">
        <x:v>API-435</x:v>
      </x:c>
      <x:c r="B639" s="13" t="str">
        <x:v>POST</x:v>
      </x:c>
      <x:c r="C639" s="13" t="str">
        <x:v>/api/v1/portfolio-budget/admin/configurations/preview</x:v>
      </x:c>
      <x:c r="D639" s="13" t="str">
        <x:v>ADMIN MODE</x:v>
      </x:c>
      <x:c r="E639" s="13" t="str">
        <x:v>portfolio_budget</x:v>
      </x:c>
      <x:c r="F639" s="13" t="str">
        <x:v>configuration preview</x:v>
      </x:c>
      <x:c r="G639" s="13" t="str">
        <x:v>portfolio_budget.admin.configure</x:v>
      </x:c>
      <x:c r="H639" s="13" t="str">
        <x:v>LIVE_ROUTER_REGISTERED</x:v>
      </x:c>
      <x:c r="I639" s="13" t="str">
        <x:v>frontend/src/features/portfolio-budget/api.ts</x:v>
      </x:c>
      <x:c r="J639" s="13" t="str">
        <x:v>NOT_EXECUTED_BY_INVENTORY. SOURCE_LITERAL_OR_TRANSITIVE_HELPER_UNION</x:v>
      </x:c>
    </x:row>
    <x:row r="640" ht="42" customHeight="1">
      <x:c r="A640" s="14" t="str">
        <x:v>API-436</x:v>
      </x:c>
      <x:c r="B640" s="6" t="str">
        <x:v>PUT</x:v>
      </x:c>
      <x:c r="C640" s="6" t="str">
        <x:v>/api/v1/portfolio-budget/admin/configurations/{configuration_id}</x:v>
      </x:c>
      <x:c r="D640" s="6" t="str">
        <x:v>ADMIN MODE</x:v>
      </x:c>
      <x:c r="E640" s="6" t="str">
        <x:v>portfolio_budget</x:v>
      </x:c>
      <x:c r="F640" s="6" t="str">
        <x:v>update configuration</x:v>
      </x:c>
      <x:c r="G640" s="6" t="str">
        <x:v>portfolio_budget.admin.configure</x:v>
      </x:c>
      <x:c r="H640" s="6" t="str">
        <x:v>LIVE_ROUTER_REGISTERED</x:v>
      </x:c>
      <x:c r="I640" s="6" t="str">
        <x:v>frontend/src/features/portfolio-budget/api.ts</x:v>
      </x:c>
      <x:c r="J640" s="6" t="str">
        <x:v>NOT_EXECUTED_BY_INVENTORY. SOURCE_LITERAL_OR_TRANSITIVE_HELPER_UNION</x:v>
      </x:c>
    </x:row>
    <x:row r="641" ht="42" customHeight="1">
      <x:c r="A641" s="15" t="str">
        <x:v>API-437</x:v>
      </x:c>
      <x:c r="B641" s="13" t="str">
        <x:v>POST</x:v>
      </x:c>
      <x:c r="C641" s="13" t="str">
        <x:v>/api/v1/portfolio-budget/admin/configurations/{configuration_id}/clone</x:v>
      </x:c>
      <x:c r="D641" s="13" t="str">
        <x:v>ADMIN MODE</x:v>
      </x:c>
      <x:c r="E641" s="13" t="str">
        <x:v>portfolio_budget</x:v>
      </x:c>
      <x:c r="F641" s="13" t="str">
        <x:v>clone configuration</x:v>
      </x:c>
      <x:c r="G641" s="13" t="str">
        <x:v>portfolio_budget.admin.configure</x:v>
      </x:c>
      <x:c r="H641" s="13" t="str">
        <x:v>LIVE_ROUTER_REGISTERED</x:v>
      </x:c>
      <x:c r="I641" s="13" t="str">
        <x:v>frontend/src/features/portfolio-budget/api.ts</x:v>
      </x:c>
      <x:c r="J641" s="13" t="str">
        <x:v>NOT_EXECUTED_BY_INVENTORY. SOURCE_LITERAL_OR_TRANSITIVE_HELPER_UNION</x:v>
      </x:c>
    </x:row>
    <x:row r="642" ht="42" customHeight="1">
      <x:c r="A642" s="14" t="str">
        <x:v>API-438</x:v>
      </x:c>
      <x:c r="B642" s="6" t="str">
        <x:v>POST</x:v>
      </x:c>
      <x:c r="C642" s="6" t="str">
        <x:v>/api/v1/portfolio-budget/admin/configurations/{configuration_id}/publish</x:v>
      </x:c>
      <x:c r="D642" s="6" t="str">
        <x:v>ADMIN MODE</x:v>
      </x:c>
      <x:c r="E642" s="6" t="str">
        <x:v>portfolio_budget</x:v>
      </x:c>
      <x:c r="F642" s="6" t="str">
        <x:v>publish configuration</x:v>
      </x:c>
      <x:c r="G642" s="6" t="str">
        <x:v>portfolio_budget.admin.publish</x:v>
      </x:c>
      <x:c r="H642" s="6" t="str">
        <x:v>LIVE_ROUTER_REGISTERED</x:v>
      </x:c>
      <x:c r="I642" s="6" t="str">
        <x:v>frontend/src/features/portfolio-budget/api.ts</x:v>
      </x:c>
      <x:c r="J642" s="6" t="str">
        <x:v>NOT_EXECUTED_BY_INVENTORY. SOURCE_LITERAL_OR_TRANSITIVE_HELPER_UNION</x:v>
      </x:c>
    </x:row>
    <x:row r="643" ht="42" customHeight="1">
      <x:c r="A643" s="15" t="str">
        <x:v>API-439</x:v>
      </x:c>
      <x:c r="B643" s="13" t="str">
        <x:v>GET</x:v>
      </x:c>
      <x:c r="C643" s="13" t="str">
        <x:v>/api/v1/portfolios/{portfolio_id}/budget-planning</x:v>
      </x:c>
      <x:c r="D643" s="13" t="str">
        <x:v>READ-ONLY SHARED CONTEXT</x:v>
      </x:c>
      <x:c r="E643" s="13" t="str">
        <x:v>portfolio_budget</x:v>
      </x:c>
      <x:c r="F643" s="13" t="str">
        <x:v>overview</x:v>
      </x:c>
      <x:c r="G643" s="13" t="str">
        <x:v>portfolio_budget.read</x:v>
      </x:c>
      <x:c r="H643" s="13" t="str">
        <x:v>LIVE_ROUTER_REGISTERED</x:v>
      </x:c>
      <x:c r="I643" s="13" t="str">
        <x:v>frontend/src/features/portfolio-budget/api.ts</x:v>
      </x:c>
      <x:c r="J643" s="13" t="str">
        <x:v>NOT_EXECUTED_BY_INVENTORY. SOURCE_LITERAL_OR_TRANSITIVE_HELPER_UNION</x:v>
      </x:c>
    </x:row>
    <x:row r="644" ht="42" customHeight="1">
      <x:c r="A644" s="14" t="str">
        <x:v>API-440</x:v>
      </x:c>
      <x:c r="B644" s="6" t="str">
        <x:v>GET</x:v>
      </x:c>
      <x:c r="C644" s="6" t="str">
        <x:v>/api/v1/portfolios/{portfolio_id}/budget-planning/readiness</x:v>
      </x:c>
      <x:c r="D644" s="6" t="str">
        <x:v>READ-ONLY SHARED CONTEXT</x:v>
      </x:c>
      <x:c r="E644" s="6" t="str">
        <x:v>portfolio_budget</x:v>
      </x:c>
      <x:c r="F644" s="6" t="str">
        <x:v>readiness</x:v>
      </x:c>
      <x:c r="G644" s="6" t="str">
        <x:v>portfolio_budget.read</x:v>
      </x:c>
      <x:c r="H644" s="6" t="str">
        <x:v>LIVE_ROUTER_REGISTERED</x:v>
      </x:c>
      <x:c r="I644" s="6" t="str">
        <x:v>NO_DIRECT_LITERAL_MATCH_NOT_PROOF_UNUSED</x:v>
      </x:c>
      <x:c r="J644" s="6" t="str">
        <x:v>NOT_EXECUTED_BY_INVENTORY. SOURCE_LITERAL_OR_TRANSITIVE_HELPER_UNION</x:v>
      </x:c>
    </x:row>
    <x:row r="645" ht="42" customHeight="1">
      <x:c r="A645" s="15" t="str">
        <x:v>API-441</x:v>
      </x:c>
      <x:c r="B645" s="13" t="str">
        <x:v>GET</x:v>
      </x:c>
      <x:c r="C645" s="13" t="str">
        <x:v>/api/v1/portfolios/{portfolio_id}/budget-planning/recommendation-contract</x:v>
      </x:c>
      <x:c r="D645" s="13" t="str">
        <x:v>READ-ONLY SHARED CONTEXT</x:v>
      </x:c>
      <x:c r="E645" s="13" t="str">
        <x:v>portfolio_budget</x:v>
      </x:c>
      <x:c r="F645" s="13" t="str">
        <x:v>recommendation contract</x:v>
      </x:c>
      <x:c r="G645" s="13" t="str">
        <x:v>portfolio_budget.read</x:v>
      </x:c>
      <x:c r="H645" s="13" t="str">
        <x:v>LIVE_ROUTER_REGISTERED</x:v>
      </x:c>
      <x:c r="I645" s="13" t="str">
        <x:v>NO_DIRECT_LITERAL_MATCH_NOT_PROOF_UNUSED</x:v>
      </x:c>
      <x:c r="J645" s="13" t="str">
        <x:v>NOT_EXECUTED_BY_INVENTORY. SOURCE_LITERAL_OR_TRANSITIVE_HELPER_UNION</x:v>
      </x:c>
    </x:row>
    <x:row r="646" ht="42" customHeight="1">
      <x:c r="A646" s="14" t="str">
        <x:v>API-442</x:v>
      </x:c>
      <x:c r="B646" s="6" t="str">
        <x:v>GET</x:v>
      </x:c>
      <x:c r="C646" s="6" t="str">
        <x:v>/api/v1/portfolios/{portfolio_id}/budget-scenarios</x:v>
      </x:c>
      <x:c r="D646" s="6" t="str">
        <x:v>READ-ONLY SHARED CONTEXT</x:v>
      </x:c>
      <x:c r="E646" s="6" t="str">
        <x:v>portfolio_budget</x:v>
      </x:c>
      <x:c r="F646" s="6" t="str">
        <x:v>scenarios</x:v>
      </x:c>
      <x:c r="G646" s="6" t="str">
        <x:v>portfolio_budget.read</x:v>
      </x:c>
      <x:c r="H646" s="6" t="str">
        <x:v>LIVE_ROUTER_REGISTERED</x:v>
      </x:c>
      <x:c r="I646" s="6" t="str">
        <x:v>frontend/src/features/portfolio-budget/api.ts</x:v>
      </x:c>
      <x:c r="J646" s="6" t="str">
        <x:v>NOT_EXECUTED_BY_INVENTORY. SOURCE_LITERAL_OR_TRANSITIVE_HELPER_UNION</x:v>
      </x:c>
    </x:row>
    <x:row r="647" ht="42" customHeight="1">
      <x:c r="A647" s="15" t="str">
        <x:v>API-443</x:v>
      </x:c>
      <x:c r="B647" s="13" t="str">
        <x:v>POST</x:v>
      </x:c>
      <x:c r="C647" s="13" t="str">
        <x:v>/api/v1/portfolios/{portfolio_id}/budget-scenarios</x:v>
      </x:c>
      <x:c r="D647" s="13" t="str">
        <x:v>USER MODE</x:v>
      </x:c>
      <x:c r="E647" s="13" t="str">
        <x:v>portfolio_budget</x:v>
      </x:c>
      <x:c r="F647" s="13" t="str">
        <x:v>create scenario</x:v>
      </x:c>
      <x:c r="G647" s="13" t="str">
        <x:v>portfolio_budget_scenario.create</x:v>
      </x:c>
      <x:c r="H647" s="13" t="str">
        <x:v>LIVE_ROUTER_REGISTERED</x:v>
      </x:c>
      <x:c r="I647" s="13" t="str">
        <x:v>frontend/src/features/portfolio-budget/api.ts</x:v>
      </x:c>
      <x:c r="J647" s="13" t="str">
        <x:v>NOT_EXECUTED_BY_INVENTORY. SOURCE_LITERAL_OR_TRANSITIVE_HELPER_UNION</x:v>
      </x:c>
    </x:row>
    <x:row r="648" ht="42" customHeight="1">
      <x:c r="A648" s="14" t="str">
        <x:v>API-444</x:v>
      </x:c>
      <x:c r="B648" s="6" t="str">
        <x:v>POST</x:v>
      </x:c>
      <x:c r="C648" s="6" t="str">
        <x:v>/api/v1/portfolios/{portfolio_id}/budget-scenarios/compare</x:v>
      </x:c>
      <x:c r="D648" s="6" t="str">
        <x:v>USER MODE</x:v>
      </x:c>
      <x:c r="E648" s="6" t="str">
        <x:v>portfolio_budget</x:v>
      </x:c>
      <x:c r="F648" s="6" t="str">
        <x:v>compare</x:v>
      </x:c>
      <x:c r="G648" s="6" t="str">
        <x:v>portfolio_budget_scenario.compare</x:v>
      </x:c>
      <x:c r="H648" s="6" t="str">
        <x:v>LIVE_ROUTER_REGISTERED</x:v>
      </x:c>
      <x:c r="I648" s="6" t="str">
        <x:v>frontend/src/features/portfolio-budget/api.ts</x:v>
      </x:c>
      <x:c r="J648" s="6" t="str">
        <x:v>NOT_EXECUTED_BY_INVENTORY. SOURCE_LITERAL_OR_TRANSITIVE_HELPER_UNION</x:v>
      </x:c>
    </x:row>
    <x:row r="649" ht="42" customHeight="1">
      <x:c r="A649" s="15" t="str">
        <x:v>API-445</x:v>
      </x:c>
      <x:c r="B649" s="13" t="str">
        <x:v>GET</x:v>
      </x:c>
      <x:c r="C649" s="13" t="str">
        <x:v>/api/v1/portfolios/{portfolio_id}/budget-targets</x:v>
      </x:c>
      <x:c r="D649" s="13" t="str">
        <x:v>READ-ONLY SHARED CONTEXT</x:v>
      </x:c>
      <x:c r="E649" s="13" t="str">
        <x:v>portfolio_budget</x:v>
      </x:c>
      <x:c r="F649" s="13" t="str">
        <x:v>targets</x:v>
      </x:c>
      <x:c r="G649" s="13" t="str">
        <x:v>portfolio_budget.read</x:v>
      </x:c>
      <x:c r="H649" s="13" t="str">
        <x:v>LIVE_ROUTER_REGISTERED</x:v>
      </x:c>
      <x:c r="I649" s="13" t="str">
        <x:v>frontend/src/features/portfolio-budget/api.ts</x:v>
      </x:c>
      <x:c r="J649" s="13" t="str">
        <x:v>NOT_EXECUTED_BY_INVENTORY. SOURCE_LITERAL_OR_TRANSITIVE_HELPER_UNION</x:v>
      </x:c>
    </x:row>
    <x:row r="650" ht="42" customHeight="1">
      <x:c r="A650" s="14" t="str">
        <x:v>API-446</x:v>
      </x:c>
      <x:c r="B650" s="6" t="str">
        <x:v>POST</x:v>
      </x:c>
      <x:c r="C650" s="6" t="str">
        <x:v>/api/v1/portfolios/{portfolio_id}/budget-targets</x:v>
      </x:c>
      <x:c r="D650" s="6" t="str">
        <x:v>USER MODE</x:v>
      </x:c>
      <x:c r="E650" s="6" t="str">
        <x:v>portfolio_budget</x:v>
      </x:c>
      <x:c r="F650" s="6" t="str">
        <x:v>create target</x:v>
      </x:c>
      <x:c r="G650" s="6" t="str">
        <x:v>portfolio_budget_target.create</x:v>
      </x:c>
      <x:c r="H650" s="6" t="str">
        <x:v>LIVE_ROUTER_REGISTERED</x:v>
      </x:c>
      <x:c r="I650" s="6" t="str">
        <x:v>frontend/src/features/portfolio-budget/api.ts</x:v>
      </x:c>
      <x:c r="J650" s="6" t="str">
        <x:v>NOT_EXECUTED_BY_INVENTORY. SOURCE_LITERAL_OR_TRANSITIVE_HELPER_UNION</x:v>
      </x:c>
    </x:row>
    <x:row r="651" ht="42" customHeight="1">
      <x:c r="A651" s="15" t="str">
        <x:v>API-447</x:v>
      </x:c>
      <x:c r="B651" s="13" t="str">
        <x:v>GET</x:v>
      </x:c>
      <x:c r="C651" s="13" t="str">
        <x:v>/api/v1/portfolios/{portfolio_id}/project-dependencies</x:v>
      </x:c>
      <x:c r="D651" s="13" t="str">
        <x:v>READ-ONLY SHARED CONTEXT</x:v>
      </x:c>
      <x:c r="E651" s="13" t="str">
        <x:v>portfolio_budget</x:v>
      </x:c>
      <x:c r="F651" s="13" t="str">
        <x:v>project dependencies</x:v>
      </x:c>
      <x:c r="G651" s="13" t="str">
        <x:v>portfolio_dependency.read</x:v>
      </x:c>
      <x:c r="H651" s="13" t="str">
        <x:v>LIVE_ROUTER_REGISTERED</x:v>
      </x:c>
      <x:c r="I651" s="13" t="str">
        <x:v>frontend/src/features/portfolio-budget/api.ts</x:v>
      </x:c>
      <x:c r="J651" s="13" t="str">
        <x:v>NOT_EXECUTED_BY_INVENTORY. SOURCE_LITERAL_OR_TRANSITIVE_HELPER_UNION</x:v>
      </x:c>
    </x:row>
    <x:row r="652" ht="42" customHeight="1">
      <x:c r="A652" s="14" t="str">
        <x:v>API-448</x:v>
      </x:c>
      <x:c r="B652" s="6" t="str">
        <x:v>POST</x:v>
      </x:c>
      <x:c r="C652" s="6" t="str">
        <x:v>/api/v1/portfolios/{portfolio_id}/project-dependencies</x:v>
      </x:c>
      <x:c r="D652" s="6" t="str">
        <x:v>USER MODE</x:v>
      </x:c>
      <x:c r="E652" s="6" t="str">
        <x:v>portfolio_budget</x:v>
      </x:c>
      <x:c r="F652" s="6" t="str">
        <x:v>create project dependency</x:v>
      </x:c>
      <x:c r="G652" s="6" t="str">
        <x:v>portfolio_dependency.manage</x:v>
      </x:c>
      <x:c r="H652" s="6" t="str">
        <x:v>LIVE_ROUTER_REGISTERED</x:v>
      </x:c>
      <x:c r="I652" s="6" t="str">
        <x:v>frontend/src/features/portfolio-budget/api.ts</x:v>
      </x:c>
      <x:c r="J652" s="6" t="str">
        <x:v>NOT_EXECUTED_BY_INVENTORY. SOURCE_LITERAL_OR_TRANSITIVE_HELPER_UNION</x:v>
      </x:c>
    </x:row>
    <x:row r="653" ht="42" customHeight="1">
      <x:c r="A653" s="15" t="str">
        <x:v>API-449</x:v>
      </x:c>
      <x:c r="B653" s="13" t="str">
        <x:v>GET</x:v>
      </x:c>
      <x:c r="C653" s="13" t="str">
        <x:v>/api/v1/project-dependencies/{dependency_id}</x:v>
      </x:c>
      <x:c r="D653" s="13" t="str">
        <x:v>READ-ONLY SHARED CONTEXT</x:v>
      </x:c>
      <x:c r="E653" s="13" t="str">
        <x:v>portfolio_budget</x:v>
      </x:c>
      <x:c r="F653" s="13" t="str">
        <x:v>project dependency</x:v>
      </x:c>
      <x:c r="G653" s="13" t="str">
        <x:v>portfolio_dependency.read</x:v>
      </x:c>
      <x:c r="H653" s="13" t="str">
        <x:v>LIVE_ROUTER_REGISTERED</x:v>
      </x:c>
      <x:c r="I653" s="13" t="str">
        <x:v>frontend/src/features/portfolio-budget/api.ts</x:v>
      </x:c>
      <x:c r="J653" s="13" t="str">
        <x:v>NOT_EXECUTED_BY_INVENTORY. SOURCE_LITERAL_OR_TRANSITIVE_HELPER_UNION</x:v>
      </x:c>
    </x:row>
    <x:row r="654" ht="42" customHeight="1">
      <x:c r="A654" s="14" t="str">
        <x:v>API-450</x:v>
      </x:c>
      <x:c r="B654" s="6" t="str">
        <x:v>PUT</x:v>
      </x:c>
      <x:c r="C654" s="6" t="str">
        <x:v>/api/v1/project-dependencies/{dependency_id}</x:v>
      </x:c>
      <x:c r="D654" s="6" t="str">
        <x:v>USER MODE</x:v>
      </x:c>
      <x:c r="E654" s="6" t="str">
        <x:v>portfolio_budget</x:v>
      </x:c>
      <x:c r="F654" s="6" t="str">
        <x:v>update project dependency</x:v>
      </x:c>
      <x:c r="G654" s="6" t="str">
        <x:v>portfolio_dependency.manage</x:v>
      </x:c>
      <x:c r="H654" s="6" t="str">
        <x:v>LIVE_ROUTER_REGISTERED</x:v>
      </x:c>
      <x:c r="I654" s="6" t="str">
        <x:v>frontend/src/features/portfolio-budget/api.ts</x:v>
      </x:c>
      <x:c r="J654" s="6" t="str">
        <x:v>NOT_EXECUTED_BY_INVENTORY. SOURCE_LITERAL_OR_TRANSITIVE_HELPER_UNION</x:v>
      </x:c>
    </x:row>
    <x:row r="655" ht="42" customHeight="1">
      <x:c r="A655" s="15" t="str">
        <x:v>API-451</x:v>
      </x:c>
      <x:c r="B655" s="13" t="str">
        <x:v>POST</x:v>
      </x:c>
      <x:c r="C655" s="13" t="str">
        <x:v>/api/v1/project-dependencies/{dependency_id}/deactivate</x:v>
      </x:c>
      <x:c r="D655" s="13" t="str">
        <x:v>USER MODE</x:v>
      </x:c>
      <x:c r="E655" s="13" t="str">
        <x:v>portfolio_budget</x:v>
      </x:c>
      <x:c r="F655" s="13" t="str">
        <x:v>deactivate project dependency</x:v>
      </x:c>
      <x:c r="G655" s="13" t="str">
        <x:v>portfolio_dependency.manage</x:v>
      </x:c>
      <x:c r="H655" s="13" t="str">
        <x:v>LIVE_ROUTER_REGISTERED</x:v>
      </x:c>
      <x:c r="I655" s="13" t="str">
        <x:v>frontend/src/features/portfolio-budget/api.ts</x:v>
      </x:c>
      <x:c r="J655" s="13" t="str">
        <x:v>NOT_EXECUTED_BY_INVENTORY. SOURCE_LITERAL_OR_TRANSITIVE_HELPER_UNION</x:v>
      </x:c>
    </x:row>
    <x:row r="656" ht="42" customHeight="1">
      <x:c r="A656" s="14" t="str">
        <x:v>API-452</x:v>
      </x:c>
      <x:c r="B656" s="6" t="str">
        <x:v>GET</x:v>
      </x:c>
      <x:c r="C656" s="6" t="str">
        <x:v>/api/v1/portfolio-convergence/admin/configurations</x:v>
      </x:c>
      <x:c r="D656" s="6" t="str">
        <x:v>ADMIN MODE</x:v>
      </x:c>
      <x:c r="E656" s="6" t="str">
        <x:v>portfolio_convergence</x:v>
      </x:c>
      <x:c r="F656" s="6" t="str">
        <x:v>configurations</x:v>
      </x:c>
      <x:c r="G656" s="6" t="str">
        <x:v>portfolio_convergence.admin.configure</x:v>
      </x:c>
      <x:c r="H656" s="6" t="str">
        <x:v>LIVE_ROUTER_REGISTERED</x:v>
      </x:c>
      <x:c r="I656" s="6" t="str">
        <x:v>frontend/src/features/portfolio-convergence/api.ts</x:v>
      </x:c>
      <x:c r="J656" s="6" t="str">
        <x:v>NOT_EXECUTED_BY_INVENTORY. SOURCE_LITERAL_OR_TRANSITIVE_HELPER_UNION</x:v>
      </x:c>
    </x:row>
    <x:row r="657" ht="42" customHeight="1">
      <x:c r="A657" s="15" t="str">
        <x:v>API-453</x:v>
      </x:c>
      <x:c r="B657" s="13" t="str">
        <x:v>POST</x:v>
      </x:c>
      <x:c r="C657" s="13" t="str">
        <x:v>/api/v1/portfolio-convergence/admin/configurations/preview</x:v>
      </x:c>
      <x:c r="D657" s="13" t="str">
        <x:v>ADMIN MODE</x:v>
      </x:c>
      <x:c r="E657" s="13" t="str">
        <x:v>portfolio_convergence</x:v>
      </x:c>
      <x:c r="F657" s="13" t="str">
        <x:v>configuration preview</x:v>
      </x:c>
      <x:c r="G657" s="13" t="str">
        <x:v>portfolio_convergence.admin.configure</x:v>
      </x:c>
      <x:c r="H657" s="13" t="str">
        <x:v>LIVE_ROUTER_REGISTERED</x:v>
      </x:c>
      <x:c r="I657" s="13" t="str">
        <x:v>frontend/src/features/portfolio-convergence/api.ts</x:v>
      </x:c>
      <x:c r="J657" s="13" t="str">
        <x:v>NOT_EXECUTED_BY_INVENTORY. SOURCE_LITERAL_OR_TRANSITIVE_HELPER_UNION</x:v>
      </x:c>
    </x:row>
    <x:row r="658" ht="42" customHeight="1">
      <x:c r="A658" s="14" t="str">
        <x:v>API-454</x:v>
      </x:c>
      <x:c r="B658" s="6" t="str">
        <x:v>PUT</x:v>
      </x:c>
      <x:c r="C658" s="6" t="str">
        <x:v>/api/v1/portfolio-convergence/admin/configurations/{configuration_id}</x:v>
      </x:c>
      <x:c r="D658" s="6" t="str">
        <x:v>ADMIN MODE</x:v>
      </x:c>
      <x:c r="E658" s="6" t="str">
        <x:v>portfolio_convergence</x:v>
      </x:c>
      <x:c r="F658" s="6" t="str">
        <x:v>update configuration</x:v>
      </x:c>
      <x:c r="G658" s="6" t="str">
        <x:v>portfolio_convergence.admin.configure</x:v>
      </x:c>
      <x:c r="H658" s="6" t="str">
        <x:v>LIVE_ROUTER_REGISTERED</x:v>
      </x:c>
      <x:c r="I658" s="6" t="str">
        <x:v>frontend/src/features/portfolio-convergence/api.ts</x:v>
      </x:c>
      <x:c r="J658" s="6" t="str">
        <x:v>NOT_EXECUTED_BY_INVENTORY. SOURCE_LITERAL_OR_TRANSITIVE_HELPER_UNION</x:v>
      </x:c>
    </x:row>
    <x:row r="659" ht="42" customHeight="1">
      <x:c r="A659" s="15" t="str">
        <x:v>API-455</x:v>
      </x:c>
      <x:c r="B659" s="13" t="str">
        <x:v>POST</x:v>
      </x:c>
      <x:c r="C659" s="13" t="str">
        <x:v>/api/v1/portfolio-convergence/admin/configurations/{configuration_id}/clone</x:v>
      </x:c>
      <x:c r="D659" s="13" t="str">
        <x:v>ADMIN MODE</x:v>
      </x:c>
      <x:c r="E659" s="13" t="str">
        <x:v>portfolio_convergence</x:v>
      </x:c>
      <x:c r="F659" s="13" t="str">
        <x:v>clone configuration</x:v>
      </x:c>
      <x:c r="G659" s="13" t="str">
        <x:v>portfolio_convergence.admin.configure</x:v>
      </x:c>
      <x:c r="H659" s="13" t="str">
        <x:v>LIVE_ROUTER_REGISTERED</x:v>
      </x:c>
      <x:c r="I659" s="13" t="str">
        <x:v>frontend/src/features/portfolio-convergence/api.ts</x:v>
      </x:c>
      <x:c r="J659" s="13" t="str">
        <x:v>NOT_EXECUTED_BY_INVENTORY. SOURCE_LITERAL_OR_TRANSITIVE_HELPER_UNION</x:v>
      </x:c>
    </x:row>
    <x:row r="660" ht="42" customHeight="1">
      <x:c r="A660" s="14" t="str">
        <x:v>API-456</x:v>
      </x:c>
      <x:c r="B660" s="6" t="str">
        <x:v>POST</x:v>
      </x:c>
      <x:c r="C660" s="6" t="str">
        <x:v>/api/v1/portfolio-convergence/admin/configurations/{configuration_id}/publish</x:v>
      </x:c>
      <x:c r="D660" s="6" t="str">
        <x:v>ADMIN MODE</x:v>
      </x:c>
      <x:c r="E660" s="6" t="str">
        <x:v>portfolio_convergence</x:v>
      </x:c>
      <x:c r="F660" s="6" t="str">
        <x:v>publish configuration</x:v>
      </x:c>
      <x:c r="G660" s="6" t="str">
        <x:v>portfolio_convergence.admin.publish</x:v>
      </x:c>
      <x:c r="H660" s="6" t="str">
        <x:v>LIVE_ROUTER_REGISTERED</x:v>
      </x:c>
      <x:c r="I660" s="6" t="str">
        <x:v>frontend/src/features/portfolio-convergence/api.ts</x:v>
      </x:c>
      <x:c r="J660" s="6" t="str">
        <x:v>NOT_EXECUTED_BY_INVENTORY. SOURCE_LITERAL_OR_TRANSITIVE_HELPER_UNION</x:v>
      </x:c>
    </x:row>
    <x:row r="661" ht="42" customHeight="1">
      <x:c r="A661" s="15" t="str">
        <x:v>API-457</x:v>
      </x:c>
      <x:c r="B661" s="13" t="str">
        <x:v>GET</x:v>
      </x:c>
      <x:c r="C661" s="13" t="str">
        <x:v>/api/v1/portfolio-scenario-convergences/{convergence_id}</x:v>
      </x:c>
      <x:c r="D661" s="13" t="str">
        <x:v>READ-ONLY SHARED CONTEXT</x:v>
      </x:c>
      <x:c r="E661" s="13" t="str">
        <x:v>portfolio_convergence</x:v>
      </x:c>
      <x:c r="F661" s="13" t="str">
        <x:v>convergence</x:v>
      </x:c>
      <x:c r="G661" s="13" t="str">
        <x:v>portfolio_convergence.read</x:v>
      </x:c>
      <x:c r="H661" s="13" t="str">
        <x:v>LIVE_ROUTER_REGISTERED</x:v>
      </x:c>
      <x:c r="I661" s="13" t="str">
        <x:v>NO_DIRECT_LITERAL_MATCH_NOT_PROOF_UNUSED</x:v>
      </x:c>
      <x:c r="J661" s="13" t="str">
        <x:v>NOT_EXECUTED_BY_INVENTORY. SOURCE_LITERAL_OR_TRANSITIVE_HELPER_UNION</x:v>
      </x:c>
    </x:row>
    <x:row r="662" ht="42" customHeight="1">
      <x:c r="A662" s="14" t="str">
        <x:v>API-458</x:v>
      </x:c>
      <x:c r="B662" s="6" t="str">
        <x:v>PUT</x:v>
      </x:c>
      <x:c r="C662" s="6" t="str">
        <x:v>/api/v1/portfolio-scenario-convergences/{convergence_id}</x:v>
      </x:c>
      <x:c r="D662" s="6" t="str">
        <x:v>USER MODE</x:v>
      </x:c>
      <x:c r="E662" s="6" t="str">
        <x:v>portfolio_convergence</x:v>
      </x:c>
      <x:c r="F662" s="6" t="str">
        <x:v>update convergence</x:v>
      </x:c>
      <x:c r="G662" s="6" t="str">
        <x:v>portfolio_convergence.edit</x:v>
      </x:c>
      <x:c r="H662" s="6" t="str">
        <x:v>LIVE_ROUTER_REGISTERED</x:v>
      </x:c>
      <x:c r="I662" s="6" t="str">
        <x:v>NO_DIRECT_LITERAL_MATCH_NOT_PROOF_UNUSED</x:v>
      </x:c>
      <x:c r="J662" s="6" t="str">
        <x:v>NOT_EXECUTED_BY_INVENTORY. SOURCE_LITERAL_OR_TRANSITIVE_HELPER_UNION</x:v>
      </x:c>
    </x:row>
    <x:row r="663" ht="42" customHeight="1">
      <x:c r="A663" s="15" t="str">
        <x:v>API-459</x:v>
      </x:c>
      <x:c r="B663" s="13" t="str">
        <x:v>POST</x:v>
      </x:c>
      <x:c r="C663" s="13" t="str">
        <x:v>/api/v1/portfolio-scenario-convergences/{convergence_id}/alternatives</x:v>
      </x:c>
      <x:c r="D663" s="13" t="str">
        <x:v>USER MODE</x:v>
      </x:c>
      <x:c r="E663" s="13" t="str">
        <x:v>portfolio_convergence</x:v>
      </x:c>
      <x:c r="F663" s="13" t="str">
        <x:v>add alternative</x:v>
      </x:c>
      <x:c r="G663" s="13" t="str">
        <x:v>portfolio_convergence.edit</x:v>
      </x:c>
      <x:c r="H663" s="13" t="str">
        <x:v>LIVE_ROUTER_REGISTERED</x:v>
      </x:c>
      <x:c r="I663" s="13" t="str">
        <x:v>frontend/src/features/portfolio-convergence/api.ts</x:v>
      </x:c>
      <x:c r="J663" s="13" t="str">
        <x:v>NOT_EXECUTED_BY_INVENTORY. SOURCE_LITERAL_OR_TRANSITIVE_HELPER_UNION</x:v>
      </x:c>
    </x:row>
    <x:row r="664" ht="42" customHeight="1">
      <x:c r="A664" s="14" t="str">
        <x:v>API-460</x:v>
      </x:c>
      <x:c r="B664" s="6" t="str">
        <x:v>DELETE</x:v>
      </x:c>
      <x:c r="C664" s="6" t="str">
        <x:v>/api/v1/portfolio-scenario-convergences/{convergence_id}/alternatives/{alternative_id}</x:v>
      </x:c>
      <x:c r="D664" s="6" t="str">
        <x:v>USER MODE</x:v>
      </x:c>
      <x:c r="E664" s="6" t="str">
        <x:v>portfolio_convergence</x:v>
      </x:c>
      <x:c r="F664" s="6" t="str">
        <x:v>remove alternative</x:v>
      </x:c>
      <x:c r="G664" s="6" t="str">
        <x:v>portfolio_convergence.edit</x:v>
      </x:c>
      <x:c r="H664" s="6" t="str">
        <x:v>LIVE_ROUTER_REGISTERED</x:v>
      </x:c>
      <x:c r="I664" s="6" t="str">
        <x:v>NO_DIRECT_LITERAL_MATCH_NOT_PROOF_UNUSED</x:v>
      </x:c>
      <x:c r="J664" s="6" t="str">
        <x:v>NOT_EXECUTED_BY_INVENTORY. SOURCE_LITERAL_OR_TRANSITIVE_HELPER_UNION</x:v>
      </x:c>
    </x:row>
    <x:row r="665" ht="53" customHeight="1">
      <x:c r="A665" s="15" t="str">
        <x:v>API-461</x:v>
      </x:c>
      <x:c r="B665" s="13" t="str">
        <x:v>POST</x:v>
      </x:c>
      <x:c r="C665" s="13" t="str">
        <x:v>/api/v1/portfolio-scenario-convergences/{convergence_id}/clone</x:v>
      </x:c>
      <x:c r="D665" s="13" t="str">
        <x:v>USER MODE</x:v>
      </x:c>
      <x:c r="E665" s="13" t="str">
        <x:v>portfolio_convergence</x:v>
      </x:c>
      <x:c r="F665" s="13" t="str">
        <x:v>clone</x:v>
      </x:c>
      <x:c r="G665" s="13" t="str">
        <x:v>portfolio_convergence.create; portfolio_convergence.edit; portfolio_recommendation.return; portfolio_recommendation.submit</x:v>
      </x:c>
      <x:c r="H665" s="13" t="str">
        <x:v>LIVE_ROUTER_REGISTERED</x:v>
      </x:c>
      <x:c r="I665" s="13" t="str">
        <x:v>NO_DIRECT_LITERAL_MATCH_NOT_PROOF_UNUSED</x:v>
      </x:c>
      <x:c r="J665" s="13" t="str">
        <x:v>NOT_EXECUTED_BY_INVENTORY. SOURCE_LITERAL_OR_TRANSITIVE_HELPER_UNION</x:v>
      </x:c>
    </x:row>
    <x:row r="666" ht="42" customHeight="1">
      <x:c r="A666" s="14" t="str">
        <x:v>API-462</x:v>
      </x:c>
      <x:c r="B666" s="6" t="str">
        <x:v>POST</x:v>
      </x:c>
      <x:c r="C666" s="6" t="str">
        <x:v>/api/v1/portfolio-scenario-convergences/{convergence_id}/compare</x:v>
      </x:c>
      <x:c r="D666" s="6" t="str">
        <x:v>USER MODE</x:v>
      </x:c>
      <x:c r="E666" s="6" t="str">
        <x:v>portfolio_convergence</x:v>
      </x:c>
      <x:c r="F666" s="6" t="str">
        <x:v>compare</x:v>
      </x:c>
      <x:c r="G666" s="6" t="str">
        <x:v>portfolio_convergence.compare</x:v>
      </x:c>
      <x:c r="H666" s="6" t="str">
        <x:v>LIVE_ROUTER_REGISTERED</x:v>
      </x:c>
      <x:c r="I666" s="6" t="str">
        <x:v>frontend/src/features/portfolio-convergence/api.ts</x:v>
      </x:c>
      <x:c r="J666" s="6" t="str">
        <x:v>NOT_EXECUTED_BY_INVENTORY. SOURCE_LITERAL_OR_TRANSITIVE_HELPER_UNION</x:v>
      </x:c>
    </x:row>
    <x:row r="667" ht="42" customHeight="1">
      <x:c r="A667" s="15" t="str">
        <x:v>API-463</x:v>
      </x:c>
      <x:c r="B667" s="13" t="str">
        <x:v>POST</x:v>
      </x:c>
      <x:c r="C667" s="13" t="str">
        <x:v>/api/v1/portfolio-scenario-convergences/{convergence_id}/recommend</x:v>
      </x:c>
      <x:c r="D667" s="13" t="str">
        <x:v>USER MODE</x:v>
      </x:c>
      <x:c r="E667" s="13" t="str">
        <x:v>portfolio_convergence</x:v>
      </x:c>
      <x:c r="F667" s="13" t="str">
        <x:v>recommend</x:v>
      </x:c>
      <x:c r="G667" s="13" t="str">
        <x:v>portfolio_recommendation.recommend</x:v>
      </x:c>
      <x:c r="H667" s="13" t="str">
        <x:v>LIVE_ROUTER_REGISTERED</x:v>
      </x:c>
      <x:c r="I667" s="13" t="str">
        <x:v>frontend/src/features/portfolio-convergence/api.ts</x:v>
      </x:c>
      <x:c r="J667" s="13" t="str">
        <x:v>NOT_EXECUTED_BY_INVENTORY. SOURCE_LITERAL_OR_TRANSITIVE_HELPER_UNION</x:v>
      </x:c>
    </x:row>
    <x:row r="668" ht="42" customHeight="1">
      <x:c r="A668" s="14" t="str">
        <x:v>API-464</x:v>
      </x:c>
      <x:c r="B668" s="6" t="str">
        <x:v>POST</x:v>
      </x:c>
      <x:c r="C668" s="6" t="str">
        <x:v>/api/v1/portfolio-scenario-convergences/{convergence_id}/refresh</x:v>
      </x:c>
      <x:c r="D668" s="6" t="str">
        <x:v>USER MODE</x:v>
      </x:c>
      <x:c r="E668" s="6" t="str">
        <x:v>portfolio_convergence</x:v>
      </x:c>
      <x:c r="F668" s="6" t="str">
        <x:v>apply refresh</x:v>
      </x:c>
      <x:c r="G668" s="6" t="str">
        <x:v>portfolio_convergence.refresh</x:v>
      </x:c>
      <x:c r="H668" s="6" t="str">
        <x:v>LIVE_ROUTER_REGISTERED</x:v>
      </x:c>
      <x:c r="I668" s="6" t="str">
        <x:v>NO_DIRECT_LITERAL_MATCH_NOT_PROOF_UNUSED</x:v>
      </x:c>
      <x:c r="J668" s="6" t="str">
        <x:v>NOT_EXECUTED_BY_INVENTORY. SOURCE_LITERAL_OR_TRANSITIVE_HELPER_UNION</x:v>
      </x:c>
    </x:row>
    <x:row r="669" ht="42" customHeight="1">
      <x:c r="A669" s="15" t="str">
        <x:v>API-465</x:v>
      </x:c>
      <x:c r="B669" s="13" t="str">
        <x:v>POST</x:v>
      </x:c>
      <x:c r="C669" s="13" t="str">
        <x:v>/api/v1/portfolio-scenario-convergences/{convergence_id}/refresh-preview</x:v>
      </x:c>
      <x:c r="D669" s="13" t="str">
        <x:v>USER MODE</x:v>
      </x:c>
      <x:c r="E669" s="13" t="str">
        <x:v>portfolio_convergence</x:v>
      </x:c>
      <x:c r="F669" s="13" t="str">
        <x:v>refresh preview</x:v>
      </x:c>
      <x:c r="G669" s="13" t="str">
        <x:v>portfolio_convergence.refresh</x:v>
      </x:c>
      <x:c r="H669" s="13" t="str">
        <x:v>LIVE_ROUTER_REGISTERED</x:v>
      </x:c>
      <x:c r="I669" s="13" t="str">
        <x:v>frontend/src/features/portfolio-convergence/api.ts</x:v>
      </x:c>
      <x:c r="J669" s="13" t="str">
        <x:v>NOT_EXECUTED_BY_INVENTORY. SOURCE_LITERAL_OR_TRANSITIVE_HELPER_UNION</x:v>
      </x:c>
    </x:row>
    <x:row r="670" ht="53" customHeight="1">
      <x:c r="A670" s="14" t="str">
        <x:v>API-466</x:v>
      </x:c>
      <x:c r="B670" s="6" t="str">
        <x:v>POST</x:v>
      </x:c>
      <x:c r="C670" s="6" t="str">
        <x:v>/api/v1/portfolio-scenario-convergences/{convergence_id}/return-to-draft</x:v>
      </x:c>
      <x:c r="D670" s="6" t="str">
        <x:v>USER MODE</x:v>
      </x:c>
      <x:c r="E670" s="6" t="str">
        <x:v>portfolio_convergence</x:v>
      </x:c>
      <x:c r="F670" s="6" t="str">
        <x:v>return to draft</x:v>
      </x:c>
      <x:c r="G670" s="6" t="str">
        <x:v>portfolio_convergence.create; portfolio_convergence.edit; portfolio_recommendation.return; portfolio_recommendation.submit</x:v>
      </x:c>
      <x:c r="H670" s="6" t="str">
        <x:v>LIVE_ROUTER_REGISTERED</x:v>
      </x:c>
      <x:c r="I670" s="6" t="str">
        <x:v>frontend/src/features/portfolio-convergence/api.ts</x:v>
      </x:c>
      <x:c r="J670" s="6" t="str">
        <x:v>NOT_EXECUTED_BY_INVENTORY. SOURCE_LITERAL_OR_TRANSITIVE_HELPER_UNION</x:v>
      </x:c>
    </x:row>
    <x:row r="671" ht="53" customHeight="1">
      <x:c r="A671" s="15" t="str">
        <x:v>API-467</x:v>
      </x:c>
      <x:c r="B671" s="13" t="str">
        <x:v>POST</x:v>
      </x:c>
      <x:c r="C671" s="13" t="str">
        <x:v>/api/v1/portfolio-scenario-convergences/{convergence_id}/submit-review</x:v>
      </x:c>
      <x:c r="D671" s="13" t="str">
        <x:v>USER MODE</x:v>
      </x:c>
      <x:c r="E671" s="13" t="str">
        <x:v>portfolio_convergence</x:v>
      </x:c>
      <x:c r="F671" s="13" t="str">
        <x:v>submit review</x:v>
      </x:c>
      <x:c r="G671" s="13" t="str">
        <x:v>portfolio_convergence.create; portfolio_convergence.edit; portfolio_recommendation.return; portfolio_recommendation.submit</x:v>
      </x:c>
      <x:c r="H671" s="13" t="str">
        <x:v>LIVE_ROUTER_REGISTERED</x:v>
      </x:c>
      <x:c r="I671" s="13" t="str">
        <x:v>frontend/src/features/portfolio-convergence/api.ts</x:v>
      </x:c>
      <x:c r="J671" s="13" t="str">
        <x:v>NOT_EXECUTED_BY_INVENTORY. SOURCE_LITERAL_OR_TRANSITIVE_HELPER_UNION</x:v>
      </x:c>
    </x:row>
    <x:row r="672" ht="53" customHeight="1">
      <x:c r="A672" s="14" t="str">
        <x:v>API-468</x:v>
      </x:c>
      <x:c r="B672" s="6" t="str">
        <x:v>POST</x:v>
      </x:c>
      <x:c r="C672" s="6" t="str">
        <x:v>/api/v1/portfolio-scenario-convergences/{convergence_id}/void</x:v>
      </x:c>
      <x:c r="D672" s="6" t="str">
        <x:v>USER MODE</x:v>
      </x:c>
      <x:c r="E672" s="6" t="str">
        <x:v>portfolio_convergence</x:v>
      </x:c>
      <x:c r="F672" s="6" t="str">
        <x:v>void</x:v>
      </x:c>
      <x:c r="G672" s="6" t="str">
        <x:v>portfolio_convergence.create; portfolio_convergence.edit; portfolio_recommendation.return; portfolio_recommendation.submit</x:v>
      </x:c>
      <x:c r="H672" s="6" t="str">
        <x:v>LIVE_ROUTER_REGISTERED</x:v>
      </x:c>
      <x:c r="I672" s="6" t="str">
        <x:v>NO_DIRECT_LITERAL_MATCH_NOT_PROOF_UNUSED</x:v>
      </x:c>
      <x:c r="J672" s="6" t="str">
        <x:v>NOT_EXECUTED_BY_INVENTORY. SOURCE_LITERAL_OR_TRANSITIVE_HELPER_UNION</x:v>
      </x:c>
    </x:row>
    <x:row r="673" ht="42" customHeight="1">
      <x:c r="A673" s="15" t="str">
        <x:v>API-469</x:v>
      </x:c>
      <x:c r="B673" s="13" t="str">
        <x:v>GET</x:v>
      </x:c>
      <x:c r="C673" s="13" t="str">
        <x:v>/api/v1/portfolios/{portfolio_id}/investment-gate-preparation-contract</x:v>
      </x:c>
      <x:c r="D673" s="13" t="str">
        <x:v>READ-ONLY SHARED CONTEXT</x:v>
      </x:c>
      <x:c r="E673" s="13" t="str">
        <x:v>portfolio_convergence</x:v>
      </x:c>
      <x:c r="F673" s="13" t="str">
        <x:v>preparation contract</x:v>
      </x:c>
      <x:c r="G673" s="13" t="str">
        <x:v>portfolio_convergence.read</x:v>
      </x:c>
      <x:c r="H673" s="13" t="str">
        <x:v>LIVE_ROUTER_REGISTERED</x:v>
      </x:c>
      <x:c r="I673" s="13" t="str">
        <x:v>NO_DIRECT_LITERAL_MATCH_NOT_PROOF_UNUSED</x:v>
      </x:c>
      <x:c r="J673" s="13" t="str">
        <x:v>NOT_EXECUTED_BY_INVENTORY. SOURCE_LITERAL_OR_TRANSITIVE_HELPER_UNION</x:v>
      </x:c>
    </x:row>
    <x:row r="674" ht="42" customHeight="1">
      <x:c r="A674" s="14" t="str">
        <x:v>API-470</x:v>
      </x:c>
      <x:c r="B674" s="6" t="str">
        <x:v>GET</x:v>
      </x:c>
      <x:c r="C674" s="6" t="str">
        <x:v>/api/v1/portfolios/{portfolio_id}/recommendation-readiness</x:v>
      </x:c>
      <x:c r="D674" s="6" t="str">
        <x:v>READ-ONLY SHARED CONTEXT</x:v>
      </x:c>
      <x:c r="E674" s="6" t="str">
        <x:v>portfolio_convergence</x:v>
      </x:c>
      <x:c r="F674" s="6" t="str">
        <x:v>readiness</x:v>
      </x:c>
      <x:c r="G674" s="6" t="str">
        <x:v>portfolio_convergence.read</x:v>
      </x:c>
      <x:c r="H674" s="6" t="str">
        <x:v>LIVE_ROUTER_REGISTERED</x:v>
      </x:c>
      <x:c r="I674" s="6" t="str">
        <x:v>NO_DIRECT_LITERAL_MATCH_NOT_PROOF_UNUSED</x:v>
      </x:c>
      <x:c r="J674" s="6" t="str">
        <x:v>NOT_EXECUTED_BY_INVENTORY. SOURCE_LITERAL_OR_TRANSITIVE_HELPER_UNION</x:v>
      </x:c>
    </x:row>
    <x:row r="675" ht="42" customHeight="1">
      <x:c r="A675" s="15" t="str">
        <x:v>API-471</x:v>
      </x:c>
      <x:c r="B675" s="13" t="str">
        <x:v>GET</x:v>
      </x:c>
      <x:c r="C675" s="13" t="str">
        <x:v>/api/v1/portfolios/{portfolio_id}/scenario-convergence</x:v>
      </x:c>
      <x:c r="D675" s="13" t="str">
        <x:v>READ-ONLY SHARED CONTEXT</x:v>
      </x:c>
      <x:c r="E675" s="13" t="str">
        <x:v>portfolio_convergence</x:v>
      </x:c>
      <x:c r="F675" s="13" t="str">
        <x:v>overview</x:v>
      </x:c>
      <x:c r="G675" s="13" t="str">
        <x:v>portfolio_convergence.read</x:v>
      </x:c>
      <x:c r="H675" s="13" t="str">
        <x:v>LIVE_ROUTER_REGISTERED</x:v>
      </x:c>
      <x:c r="I675" s="13" t="str">
        <x:v>frontend/src/features/portfolio-convergence/api.ts</x:v>
      </x:c>
      <x:c r="J675" s="13" t="str">
        <x:v>NOT_EXECUTED_BY_INVENTORY. SOURCE_LITERAL_OR_TRANSITIVE_HELPER_UNION</x:v>
      </x:c>
    </x:row>
    <x:row r="676" ht="42" customHeight="1">
      <x:c r="A676" s="14" t="str">
        <x:v>API-472</x:v>
      </x:c>
      <x:c r="B676" s="6" t="str">
        <x:v>GET</x:v>
      </x:c>
      <x:c r="C676" s="6" t="str">
        <x:v>/api/v1/portfolios/{portfolio_id}/scenario-convergences</x:v>
      </x:c>
      <x:c r="D676" s="6" t="str">
        <x:v>READ-ONLY SHARED CONTEXT</x:v>
      </x:c>
      <x:c r="E676" s="6" t="str">
        <x:v>portfolio_convergence</x:v>
      </x:c>
      <x:c r="F676" s="6" t="str">
        <x:v>convergences</x:v>
      </x:c>
      <x:c r="G676" s="6" t="str">
        <x:v>portfolio_convergence.read</x:v>
      </x:c>
      <x:c r="H676" s="6" t="str">
        <x:v>LIVE_ROUTER_REGISTERED</x:v>
      </x:c>
      <x:c r="I676" s="6" t="str">
        <x:v>frontend/src/features/portfolio-convergence/api.ts</x:v>
      </x:c>
      <x:c r="J676" s="6" t="str">
        <x:v>NOT_EXECUTED_BY_INVENTORY. SOURCE_LITERAL_OR_TRANSITIVE_HELPER_UNION</x:v>
      </x:c>
    </x:row>
    <x:row r="677" ht="42" customHeight="1">
      <x:c r="A677" s="15" t="str">
        <x:v>API-473</x:v>
      </x:c>
      <x:c r="B677" s="13" t="str">
        <x:v>POST</x:v>
      </x:c>
      <x:c r="C677" s="13" t="str">
        <x:v>/api/v1/portfolios/{portfolio_id}/scenario-convergences</x:v>
      </x:c>
      <x:c r="D677" s="13" t="str">
        <x:v>USER MODE</x:v>
      </x:c>
      <x:c r="E677" s="13" t="str">
        <x:v>portfolio_convergence</x:v>
      </x:c>
      <x:c r="F677" s="13" t="str">
        <x:v>create convergence</x:v>
      </x:c>
      <x:c r="G677" s="13" t="str">
        <x:v>portfolio_convergence.create</x:v>
      </x:c>
      <x:c r="H677" s="13" t="str">
        <x:v>LIVE_ROUTER_REGISTERED</x:v>
      </x:c>
      <x:c r="I677" s="13" t="str">
        <x:v>frontend/src/features/portfolio-convergence/api.ts</x:v>
      </x:c>
      <x:c r="J677" s="13" t="str">
        <x:v>NOT_EXECUTED_BY_INVENTORY. SOURCE_LITERAL_OR_TRANSITIVE_HELPER_UNION</x:v>
      </x:c>
    </x:row>
    <x:row r="678" ht="42" customHeight="1">
      <x:c r="A678" s="14" t="str">
        <x:v>API-474</x:v>
      </x:c>
      <x:c r="B678" s="6" t="str">
        <x:v>GET</x:v>
      </x:c>
      <x:c r="C678" s="6" t="str">
        <x:v>/api/v1/portfolio-evaluation/admin/configurations</x:v>
      </x:c>
      <x:c r="D678" s="6" t="str">
        <x:v>ADMIN MODE</x:v>
      </x:c>
      <x:c r="E678" s="6" t="str">
        <x:v>portfolio_evaluation</x:v>
      </x:c>
      <x:c r="F678" s="6" t="str">
        <x:v>configurations</x:v>
      </x:c>
      <x:c r="G678" s="6" t="str">
        <x:v>portfolio_evaluation.admin.configure</x:v>
      </x:c>
      <x:c r="H678" s="6" t="str">
        <x:v>LIVE_ROUTER_REGISTERED</x:v>
      </x:c>
      <x:c r="I678" s="6" t="str">
        <x:v>frontend/src/features/portfolio-evaluation/api.ts</x:v>
      </x:c>
      <x:c r="J678" s="6" t="str">
        <x:v>NOT_EXECUTED_BY_INVENTORY. SOURCE_LITERAL_OR_TRANSITIVE_HELPER_UNION</x:v>
      </x:c>
    </x:row>
    <x:row r="679" ht="42" customHeight="1">
      <x:c r="A679" s="15" t="str">
        <x:v>API-475</x:v>
      </x:c>
      <x:c r="B679" s="13" t="str">
        <x:v>POST</x:v>
      </x:c>
      <x:c r="C679" s="13" t="str">
        <x:v>/api/v1/portfolio-evaluation/admin/configurations/preview</x:v>
      </x:c>
      <x:c r="D679" s="13" t="str">
        <x:v>ADMIN MODE</x:v>
      </x:c>
      <x:c r="E679" s="13" t="str">
        <x:v>portfolio_evaluation</x:v>
      </x:c>
      <x:c r="F679" s="13" t="str">
        <x:v>configuration preview</x:v>
      </x:c>
      <x:c r="G679" s="13" t="str">
        <x:v>portfolio_evaluation.admin.configure</x:v>
      </x:c>
      <x:c r="H679" s="13" t="str">
        <x:v>LIVE_ROUTER_REGISTERED</x:v>
      </x:c>
      <x:c r="I679" s="13" t="str">
        <x:v>frontend/src/features/portfolio-evaluation/api.ts</x:v>
      </x:c>
      <x:c r="J679" s="13" t="str">
        <x:v>NOT_EXECUTED_BY_INVENTORY. SOURCE_LITERAL_OR_TRANSITIVE_HELPER_UNION</x:v>
      </x:c>
    </x:row>
    <x:row r="680" ht="42" customHeight="1">
      <x:c r="A680" s="14" t="str">
        <x:v>API-476</x:v>
      </x:c>
      <x:c r="B680" s="6" t="str">
        <x:v>PUT</x:v>
      </x:c>
      <x:c r="C680" s="6" t="str">
        <x:v>/api/v1/portfolio-evaluation/admin/configurations/{configuration_id}</x:v>
      </x:c>
      <x:c r="D680" s="6" t="str">
        <x:v>ADMIN MODE</x:v>
      </x:c>
      <x:c r="E680" s="6" t="str">
        <x:v>portfolio_evaluation</x:v>
      </x:c>
      <x:c r="F680" s="6" t="str">
        <x:v>update configuration</x:v>
      </x:c>
      <x:c r="G680" s="6" t="str">
        <x:v>portfolio_evaluation.admin.configure</x:v>
      </x:c>
      <x:c r="H680" s="6" t="str">
        <x:v>LIVE_ROUTER_REGISTERED</x:v>
      </x:c>
      <x:c r="I680" s="6" t="str">
        <x:v>frontend/src/features/portfolio-evaluation/api.ts</x:v>
      </x:c>
      <x:c r="J680" s="6" t="str">
        <x:v>NOT_EXECUTED_BY_INVENTORY. SOURCE_LITERAL_OR_TRANSITIVE_HELPER_UNION</x:v>
      </x:c>
    </x:row>
    <x:row r="681" ht="42" customHeight="1">
      <x:c r="A681" s="15" t="str">
        <x:v>API-477</x:v>
      </x:c>
      <x:c r="B681" s="13" t="str">
        <x:v>POST</x:v>
      </x:c>
      <x:c r="C681" s="13" t="str">
        <x:v>/api/v1/portfolio-evaluation/admin/configurations/{configuration_id}/clone</x:v>
      </x:c>
      <x:c r="D681" s="13" t="str">
        <x:v>ADMIN MODE</x:v>
      </x:c>
      <x:c r="E681" s="13" t="str">
        <x:v>portfolio_evaluation</x:v>
      </x:c>
      <x:c r="F681" s="13" t="str">
        <x:v>clone configuration</x:v>
      </x:c>
      <x:c r="G681" s="13" t="str">
        <x:v>portfolio_evaluation.admin.configure</x:v>
      </x:c>
      <x:c r="H681" s="13" t="str">
        <x:v>LIVE_ROUTER_REGISTERED</x:v>
      </x:c>
      <x:c r="I681" s="13" t="str">
        <x:v>frontend/src/features/portfolio-evaluation/api.ts</x:v>
      </x:c>
      <x:c r="J681" s="13" t="str">
        <x:v>NOT_EXECUTED_BY_INVENTORY. SOURCE_LITERAL_OR_TRANSITIVE_HELPER_UNION</x:v>
      </x:c>
    </x:row>
    <x:row r="682" ht="42" customHeight="1">
      <x:c r="A682" s="14" t="str">
        <x:v>API-478</x:v>
      </x:c>
      <x:c r="B682" s="6" t="str">
        <x:v>POST</x:v>
      </x:c>
      <x:c r="C682" s="6" t="str">
        <x:v>/api/v1/portfolio-evaluation/admin/configurations/{configuration_id}/publish</x:v>
      </x:c>
      <x:c r="D682" s="6" t="str">
        <x:v>ADMIN MODE</x:v>
      </x:c>
      <x:c r="E682" s="6" t="str">
        <x:v>portfolio_evaluation</x:v>
      </x:c>
      <x:c r="F682" s="6" t="str">
        <x:v>publish configuration</x:v>
      </x:c>
      <x:c r="G682" s="6" t="str">
        <x:v>portfolio_evaluation.admin.publish</x:v>
      </x:c>
      <x:c r="H682" s="6" t="str">
        <x:v>LIVE_ROUTER_REGISTERED</x:v>
      </x:c>
      <x:c r="I682" s="6" t="str">
        <x:v>frontend/src/features/portfolio-evaluation/api.ts</x:v>
      </x:c>
      <x:c r="J682" s="6" t="str">
        <x:v>NOT_EXECUTED_BY_INVENTORY. SOURCE_LITERAL_OR_TRANSITIVE_HELPER_UNION</x:v>
      </x:c>
    </x:row>
    <x:row r="683" ht="42" customHeight="1">
      <x:c r="A683" s="15" t="str">
        <x:v>API-479</x:v>
      </x:c>
      <x:c r="B683" s="13" t="str">
        <x:v>GET</x:v>
      </x:c>
      <x:c r="C683" s="13" t="str">
        <x:v>/api/v1/portfolio-evaluations/{evaluation_id}</x:v>
      </x:c>
      <x:c r="D683" s="13" t="str">
        <x:v>READ-ONLY SHARED CONTEXT</x:v>
      </x:c>
      <x:c r="E683" s="13" t="str">
        <x:v>portfolio_evaluation</x:v>
      </x:c>
      <x:c r="F683" s="13" t="str">
        <x:v>get evaluation</x:v>
      </x:c>
      <x:c r="G683" s="13" t="str">
        <x:v>portfolio_evaluation.read</x:v>
      </x:c>
      <x:c r="H683" s="13" t="str">
        <x:v>LIVE_ROUTER_REGISTERED</x:v>
      </x:c>
      <x:c r="I683" s="13" t="str">
        <x:v>frontend/src/features/portfolio-evaluation/api.ts</x:v>
      </x:c>
      <x:c r="J683" s="13" t="str">
        <x:v>NOT_EXECUTED_BY_INVENTORY. SOURCE_LITERAL_OR_TRANSITIVE_HELPER_UNION</x:v>
      </x:c>
    </x:row>
    <x:row r="684" ht="42" customHeight="1">
      <x:c r="A684" s="14" t="str">
        <x:v>API-480</x:v>
      </x:c>
      <x:c r="B684" s="6" t="str">
        <x:v>PUT</x:v>
      </x:c>
      <x:c r="C684" s="6" t="str">
        <x:v>/api/v1/portfolio-evaluations/{evaluation_id}</x:v>
      </x:c>
      <x:c r="D684" s="6" t="str">
        <x:v>USER MODE</x:v>
      </x:c>
      <x:c r="E684" s="6" t="str">
        <x:v>portfolio_evaluation</x:v>
      </x:c>
      <x:c r="F684" s="6" t="str">
        <x:v>update evaluation</x:v>
      </x:c>
      <x:c r="G684" s="6" t="str">
        <x:v>portfolio_evaluation.edit</x:v>
      </x:c>
      <x:c r="H684" s="6" t="str">
        <x:v>LIVE_ROUTER_REGISTERED</x:v>
      </x:c>
      <x:c r="I684" s="6" t="str">
        <x:v>frontend/src/features/portfolio-evaluation/api.ts</x:v>
      </x:c>
      <x:c r="J684" s="6" t="str">
        <x:v>NOT_EXECUTED_BY_INVENTORY. SOURCE_LITERAL_OR_TRANSITIVE_HELPER_UNION</x:v>
      </x:c>
    </x:row>
    <x:row r="685" ht="42" customHeight="1">
      <x:c r="A685" s="15" t="str">
        <x:v>API-481</x:v>
      </x:c>
      <x:c r="B685" s="13" t="str">
        <x:v>POST</x:v>
      </x:c>
      <x:c r="C685" s="13" t="str">
        <x:v>/api/v1/portfolio-evaluations/{evaluation_id}/complete</x:v>
      </x:c>
      <x:c r="D685" s="13" t="str">
        <x:v>USER MODE</x:v>
      </x:c>
      <x:c r="E685" s="13" t="str">
        <x:v>portfolio_evaluation</x:v>
      </x:c>
      <x:c r="F685" s="13" t="str">
        <x:v>complete evaluation</x:v>
      </x:c>
      <x:c r="G685" s="13" t="str">
        <x:v>portfolio_evaluation.complete</x:v>
      </x:c>
      <x:c r="H685" s="13" t="str">
        <x:v>LIVE_ROUTER_REGISTERED</x:v>
      </x:c>
      <x:c r="I685" s="13" t="str">
        <x:v>frontend/src/features/portfolio-evaluation/api.ts</x:v>
      </x:c>
      <x:c r="J685" s="13" t="str">
        <x:v>NOT_EXECUTED_BY_INVENTORY. SOURCE_LITERAL_OR_TRANSITIVE_HELPER_UNION</x:v>
      </x:c>
    </x:row>
    <x:row r="686" ht="42" customHeight="1">
      <x:c r="A686" s="14" t="str">
        <x:v>API-482</x:v>
      </x:c>
      <x:c r="B686" s="6" t="str">
        <x:v>POST</x:v>
      </x:c>
      <x:c r="C686" s="6" t="str">
        <x:v>/api/v1/portfolio-evaluations/{evaluation_id}/reevaluate</x:v>
      </x:c>
      <x:c r="D686" s="6" t="str">
        <x:v>USER MODE</x:v>
      </x:c>
      <x:c r="E686" s="6" t="str">
        <x:v>portfolio_evaluation</x:v>
      </x:c>
      <x:c r="F686" s="6" t="str">
        <x:v>reevaluate</x:v>
      </x:c>
      <x:c r="G686" s="6" t="str">
        <x:v>portfolio_evaluation.reevaluate</x:v>
      </x:c>
      <x:c r="H686" s="6" t="str">
        <x:v>LIVE_ROUTER_REGISTERED</x:v>
      </x:c>
      <x:c r="I686" s="6" t="str">
        <x:v>frontend/src/features/portfolio-evaluation/api.ts</x:v>
      </x:c>
      <x:c r="J686" s="6" t="str">
        <x:v>NOT_EXECUTED_BY_INVENTORY. SOURCE_LITERAL_OR_TRANSITIVE_HELPER_UNION</x:v>
      </x:c>
    </x:row>
    <x:row r="687" ht="42" customHeight="1">
      <x:c r="A687" s="15" t="str">
        <x:v>API-483</x:v>
      </x:c>
      <x:c r="B687" s="13" t="str">
        <x:v>GET</x:v>
      </x:c>
      <x:c r="C687" s="13" t="str">
        <x:v>/api/v1/portfolios/{portfolio_id}/evaluations</x:v>
      </x:c>
      <x:c r="D687" s="13" t="str">
        <x:v>READ-ONLY SHARED CONTEXT</x:v>
      </x:c>
      <x:c r="E687" s="13" t="str">
        <x:v>portfolio_evaluation</x:v>
      </x:c>
      <x:c r="F687" s="13" t="str">
        <x:v>evaluations</x:v>
      </x:c>
      <x:c r="G687" s="13" t="str">
        <x:v>portfolio_evaluation.read</x:v>
      </x:c>
      <x:c r="H687" s="13" t="str">
        <x:v>LIVE_ROUTER_REGISTERED</x:v>
      </x:c>
      <x:c r="I687" s="13" t="str">
        <x:v>frontend/src/features/portfolio-evaluation/api.ts</x:v>
      </x:c>
      <x:c r="J687" s="13" t="str">
        <x:v>NOT_EXECUTED_BY_INVENTORY. SOURCE_LITERAL_OR_TRANSITIVE_HELPER_UNION</x:v>
      </x:c>
    </x:row>
    <x:row r="688" ht="42" customHeight="1">
      <x:c r="A688" s="14" t="str">
        <x:v>API-484</x:v>
      </x:c>
      <x:c r="B688" s="6" t="str">
        <x:v>GET</x:v>
      </x:c>
      <x:c r="C688" s="6" t="str">
        <x:v>/api/v1/portfolios/{portfolio_id}/prioritization</x:v>
      </x:c>
      <x:c r="D688" s="6" t="str">
        <x:v>READ-ONLY SHARED CONTEXT</x:v>
      </x:c>
      <x:c r="E688" s="6" t="str">
        <x:v>portfolio_evaluation</x:v>
      </x:c>
      <x:c r="F688" s="6" t="str">
        <x:v>prioritization</x:v>
      </x:c>
      <x:c r="G688" s="6" t="str">
        <x:v>portfolio_prioritization.read</x:v>
      </x:c>
      <x:c r="H688" s="6" t="str">
        <x:v>LIVE_ROUTER_REGISTERED</x:v>
      </x:c>
      <x:c r="I688" s="6" t="str">
        <x:v>frontend/src/features/portfolio-evaluation/api.ts</x:v>
      </x:c>
      <x:c r="J688" s="6" t="str">
        <x:v>NOT_EXECUTED_BY_INVENTORY. SOURCE_LITERAL_OR_TRANSITIVE_HELPER_UNION</x:v>
      </x:c>
    </x:row>
    <x:row r="689" ht="42" customHeight="1">
      <x:c r="A689" s="15" t="str">
        <x:v>API-485</x:v>
      </x:c>
      <x:c r="B689" s="13" t="str">
        <x:v>POST</x:v>
      </x:c>
      <x:c r="C689" s="13" t="str">
        <x:v>/api/v1/portfolios/{portfolio_id}/prioritization/preview</x:v>
      </x:c>
      <x:c r="D689" s="13" t="str">
        <x:v>USER MODE</x:v>
      </x:c>
      <x:c r="E689" s="13" t="str">
        <x:v>portfolio_evaluation</x:v>
      </x:c>
      <x:c r="F689" s="13" t="str">
        <x:v>prioritization preview</x:v>
      </x:c>
      <x:c r="G689" s="13" t="str">
        <x:v>portfolio_prioritization.read</x:v>
      </x:c>
      <x:c r="H689" s="13" t="str">
        <x:v>LIVE_ROUTER_REGISTERED</x:v>
      </x:c>
      <x:c r="I689" s="13" t="str">
        <x:v>NO_DIRECT_LITERAL_MATCH_NOT_PROOF_UNUSED</x:v>
      </x:c>
      <x:c r="J689" s="13" t="str">
        <x:v>NOT_EXECUTED_BY_INVENTORY. SOURCE_LITERAL_OR_TRANSITIVE_HELPER_UNION</x:v>
      </x:c>
    </x:row>
    <x:row r="690" ht="42" customHeight="1">
      <x:c r="A690" s="14" t="str">
        <x:v>API-486</x:v>
      </x:c>
      <x:c r="B690" s="6" t="str">
        <x:v>GET</x:v>
      </x:c>
      <x:c r="C690" s="6" t="str">
        <x:v>/api/v1/portfolios/{portfolio_id}/prioritization/readiness</x:v>
      </x:c>
      <x:c r="D690" s="6" t="str">
        <x:v>READ-ONLY SHARED CONTEXT</x:v>
      </x:c>
      <x:c r="E690" s="6" t="str">
        <x:v>portfolio_evaluation</x:v>
      </x:c>
      <x:c r="F690" s="6" t="str">
        <x:v>readiness</x:v>
      </x:c>
      <x:c r="G690" s="6" t="str">
        <x:v>portfolio_prioritization.read</x:v>
      </x:c>
      <x:c r="H690" s="6" t="str">
        <x:v>LIVE_ROUTER_REGISTERED</x:v>
      </x:c>
      <x:c r="I690" s="6" t="str">
        <x:v>frontend/src/features/portfolio-evaluation/api.ts</x:v>
      </x:c>
      <x:c r="J690" s="6" t="str">
        <x:v>NOT_EXECUTED_BY_INVENTORY. SOURCE_LITERAL_OR_TRANSITIVE_HELPER_UNION</x:v>
      </x:c>
    </x:row>
    <x:row r="691" ht="42" customHeight="1">
      <x:c r="A691" s="15" t="str">
        <x:v>API-487</x:v>
      </x:c>
      <x:c r="B691" s="13" t="str">
        <x:v>POST</x:v>
      </x:c>
      <x:c r="C691" s="13" t="str">
        <x:v>/api/v1/portfolios/{portfolio_id}/projects/{project_id}/evaluations</x:v>
      </x:c>
      <x:c r="D691" s="13" t="str">
        <x:v>USER MODE</x:v>
      </x:c>
      <x:c r="E691" s="13" t="str">
        <x:v>portfolio_evaluation</x:v>
      </x:c>
      <x:c r="F691" s="13" t="str">
        <x:v>start evaluation</x:v>
      </x:c>
      <x:c r="G691" s="13" t="str">
        <x:v>portfolio_evaluation.create</x:v>
      </x:c>
      <x:c r="H691" s="13" t="str">
        <x:v>LIVE_ROUTER_REGISTERED</x:v>
      </x:c>
      <x:c r="I691" s="13" t="str">
        <x:v>frontend/src/features/portfolio-evaluation/api.ts</x:v>
      </x:c>
      <x:c r="J691" s="13" t="str">
        <x:v>NOT_EXECUTED_BY_INVENTORY. SOURCE_LITERAL_OR_TRANSITIVE_HELPER_UNION</x:v>
      </x:c>
    </x:row>
    <x:row r="692" ht="42" customHeight="1">
      <x:c r="A692" s="14" t="str">
        <x:v>API-488</x:v>
      </x:c>
      <x:c r="B692" s="6" t="str">
        <x:v>GET</x:v>
      </x:c>
      <x:c r="C692" s="6" t="str">
        <x:v>/api/v1/portfolios/{portfolio_id}/projects</x:v>
      </x:c>
      <x:c r="D692" s="6" t="str">
        <x:v>READ-ONLY SHARED CONTEXT</x:v>
      </x:c>
      <x:c r="E692" s="6" t="str">
        <x:v>portfolio_planning</x:v>
      </x:c>
      <x:c r="F692" s="6" t="str">
        <x:v>portfolio projects</x:v>
      </x:c>
      <x:c r="G692" s="6" t="str">
        <x:v>portfolio_project.read</x:v>
      </x:c>
      <x:c r="H692" s="6" t="str">
        <x:v>LIVE_ROUTER_REGISTERED</x:v>
      </x:c>
      <x:c r="I692" s="6" t="str">
        <x:v>frontend/src/features/portfolio-planning/api.ts</x:v>
      </x:c>
      <x:c r="J692" s="6" t="str">
        <x:v>NOT_EXECUTED_BY_INVENTORY. SOURCE_LITERAL_OR_TRANSITIVE_HELPER_UNION</x:v>
      </x:c>
    </x:row>
    <x:row r="693" ht="42" customHeight="1">
      <x:c r="A693" s="15" t="str">
        <x:v>API-489</x:v>
      </x:c>
      <x:c r="B693" s="13" t="str">
        <x:v>GET</x:v>
      </x:c>
      <x:c r="C693" s="13" t="str">
        <x:v>/api/v1/projects/{project_id}/portfolio-evaluation-readiness</x:v>
      </x:c>
      <x:c r="D693" s="13" t="str">
        <x:v>READ-ONLY SHARED CONTEXT</x:v>
      </x:c>
      <x:c r="E693" s="13" t="str">
        <x:v>portfolio_planning</x:v>
      </x:c>
      <x:c r="F693" s="13" t="str">
        <x:v>portfolio evaluation readiness</x:v>
      </x:c>
      <x:c r="G693" s="13" t="str">
        <x:v>portfolio_planning.readiness.read</x:v>
      </x:c>
      <x:c r="H693" s="13" t="str">
        <x:v>LIVE_ROUTER_REGISTERED</x:v>
      </x:c>
      <x:c r="I693" s="13" t="str">
        <x:v>frontend/src/features/portfolio-planning/api.ts</x:v>
      </x:c>
      <x:c r="J693" s="13" t="str">
        <x:v>NOT_EXECUTED_BY_INVENTORY. SOURCE_LITERAL_OR_TRANSITIVE_HELPER_UNION</x:v>
      </x:c>
    </x:row>
    <x:row r="694" ht="42" customHeight="1">
      <x:c r="A694" s="14" t="str">
        <x:v>API-490</x:v>
      </x:c>
      <x:c r="B694" s="6" t="str">
        <x:v>GET</x:v>
      </x:c>
      <x:c r="C694" s="6" t="str">
        <x:v>/api/v1/projects/{project_id}/portfolio-memberships</x:v>
      </x:c>
      <x:c r="D694" s="6" t="str">
        <x:v>READ-ONLY SHARED CONTEXT</x:v>
      </x:c>
      <x:c r="E694" s="6" t="str">
        <x:v>portfolio_planning</x:v>
      </x:c>
      <x:c r="F694" s="6" t="str">
        <x:v>project memberships</x:v>
      </x:c>
      <x:c r="G694" s="6" t="str">
        <x:v>portfolio_project.read</x:v>
      </x:c>
      <x:c r="H694" s="6" t="str">
        <x:v>LIVE_ROUTER_REGISTERED</x:v>
      </x:c>
      <x:c r="I694" s="6" t="str">
        <x:v>frontend/src/features/portfolio-planning/api.ts</x:v>
      </x:c>
      <x:c r="J694" s="6" t="str">
        <x:v>NOT_EXECUTED_BY_INVENTORY. SOURCE_LITERAL_OR_TRANSITIVE_HELPER_UNION</x:v>
      </x:c>
    </x:row>
    <x:row r="695" ht="42" customHeight="1">
      <x:c r="A695" s="15" t="str">
        <x:v>API-491</x:v>
      </x:c>
      <x:c r="B695" s="13" t="str">
        <x:v>POST</x:v>
      </x:c>
      <x:c r="C695" s="13" t="str">
        <x:v>/api/v1/projects/{project_id}/portfolio-memberships</x:v>
      </x:c>
      <x:c r="D695" s="13" t="str">
        <x:v>USER MODE</x:v>
      </x:c>
      <x:c r="E695" s="13" t="str">
        <x:v>portfolio_planning</x:v>
      </x:c>
      <x:c r="F695" s="13" t="str">
        <x:v>add project membership</x:v>
      </x:c>
      <x:c r="G695" s="13" t="str">
        <x:v>portfolio_project.membership.manage</x:v>
      </x:c>
      <x:c r="H695" s="13" t="str">
        <x:v>LIVE_ROUTER_REGISTERED</x:v>
      </x:c>
      <x:c r="I695" s="13" t="str">
        <x:v>frontend/src/features/portfolio-planning/api.ts</x:v>
      </x:c>
      <x:c r="J695" s="13" t="str">
        <x:v>NOT_EXECUTED_BY_INVENTORY. SOURCE_LITERAL_OR_TRANSITIVE_HELPER_UNION</x:v>
      </x:c>
    </x:row>
    <x:row r="696" ht="42" customHeight="1">
      <x:c r="A696" s="14" t="str">
        <x:v>API-492</x:v>
      </x:c>
      <x:c r="B696" s="6" t="str">
        <x:v>POST</x:v>
      </x:c>
      <x:c r="C696" s="6" t="str">
        <x:v>/api/v1/projects/{project_id}/portfolio-memberships/{membership_id}/remove</x:v>
      </x:c>
      <x:c r="D696" s="6" t="str">
        <x:v>USER MODE</x:v>
      </x:c>
      <x:c r="E696" s="6" t="str">
        <x:v>portfolio_planning</x:v>
      </x:c>
      <x:c r="F696" s="6" t="str">
        <x:v>remove project membership</x:v>
      </x:c>
      <x:c r="G696" s="6" t="str">
        <x:v>portfolio_project.membership.manage</x:v>
      </x:c>
      <x:c r="H696" s="6" t="str">
        <x:v>LIVE_ROUTER_REGISTERED</x:v>
      </x:c>
      <x:c r="I696" s="6" t="str">
        <x:v>NO_DIRECT_LITERAL_MATCH_NOT_PROOF_UNUSED</x:v>
      </x:c>
      <x:c r="J696" s="6" t="str">
        <x:v>NOT_EXECUTED_BY_INVENTORY. SOURCE_LITERAL_OR_TRANSITIVE_HELPER_UNION</x:v>
      </x:c>
    </x:row>
    <x:row r="697" ht="42" customHeight="1">
      <x:c r="A697" s="15" t="str">
        <x:v>API-493</x:v>
      </x:c>
      <x:c r="B697" s="13" t="str">
        <x:v>GET</x:v>
      </x:c>
      <x:c r="C697" s="13" t="str">
        <x:v>/api/v1/projects/{project_id}/portfolio-planning-readiness</x:v>
      </x:c>
      <x:c r="D697" s="13" t="str">
        <x:v>READ-ONLY SHARED CONTEXT</x:v>
      </x:c>
      <x:c r="E697" s="13" t="str">
        <x:v>portfolio_planning</x:v>
      </x:c>
      <x:c r="F697" s="13" t="str">
        <x:v>project planning readiness</x:v>
      </x:c>
      <x:c r="G697" s="13" t="str">
        <x:v>portfolio_planning.readiness.read</x:v>
      </x:c>
      <x:c r="H697" s="13" t="str">
        <x:v>LIVE_ROUTER_REGISTERED</x:v>
      </x:c>
      <x:c r="I697" s="13" t="str">
        <x:v>frontend/src/features/portfolio-planning/api.ts</x:v>
      </x:c>
      <x:c r="J697" s="13" t="str">
        <x:v>NOT_EXECUTED_BY_INVENTORY. SOURCE_LITERAL_OR_TRANSITIVE_HELPER_UNION</x:v>
      </x:c>
    </x:row>
    <x:row r="698" ht="42" customHeight="1">
      <x:c r="A698" s="14" t="str">
        <x:v>API-494</x:v>
      </x:c>
      <x:c r="B698" s="6" t="str">
        <x:v>GET</x:v>
      </x:c>
      <x:c r="C698" s="6" t="str">
        <x:v>/api/v1/projects/{project_id}/project-definition-readiness</x:v>
      </x:c>
      <x:c r="D698" s="6" t="str">
        <x:v>READ-ONLY SHARED CONTEXT</x:v>
      </x:c>
      <x:c r="E698" s="6" t="str">
        <x:v>portfolio_planning</x:v>
      </x:c>
      <x:c r="F698" s="6" t="str">
        <x:v>project definition readiness</x:v>
      </x:c>
      <x:c r="G698" s="6" t="str">
        <x:v>project_definition.readiness.read</x:v>
      </x:c>
      <x:c r="H698" s="6" t="str">
        <x:v>LIVE_ROUTER_REGISTERED</x:v>
      </x:c>
      <x:c r="I698" s="6" t="str">
        <x:v>frontend/src/features/portfolio-planning/api.ts</x:v>
      </x:c>
      <x:c r="J698" s="6" t="str">
        <x:v>NOT_EXECUTED_BY_INVENTORY. SOURCE_LITERAL_OR_TRANSITIVE_HELPER_UNION</x:v>
      </x:c>
    </x:row>
    <x:row r="699" ht="42" customHeight="1">
      <x:c r="A699" s="15" t="str">
        <x:v>API-495</x:v>
      </x:c>
      <x:c r="B699" s="13" t="str">
        <x:v>POST</x:v>
      </x:c>
      <x:c r="C699" s="13" t="str">
        <x:v>/api/v1/strategic-project-planning</x:v>
      </x:c>
      <x:c r="D699" s="13" t="str">
        <x:v>USER MODE</x:v>
      </x:c>
      <x:c r="E699" s="13" t="str">
        <x:v>portfolio_planning</x:v>
      </x:c>
      <x:c r="F699" s="13" t="str">
        <x:v>create</x:v>
      </x:c>
      <x:c r="G699" s="13" t="str">
        <x:v>portfolio_project.intake</x:v>
      </x:c>
      <x:c r="H699" s="13" t="str">
        <x:v>LIVE_ROUTER_REGISTERED</x:v>
      </x:c>
      <x:c r="I699" s="13" t="str">
        <x:v>frontend/src/features/portfolio-planning/api.ts</x:v>
      </x:c>
      <x:c r="J699" s="13" t="str">
        <x:v>NOT_EXECUTED_BY_INVENTORY. SOURCE_LITERAL_OR_TRANSITIVE_HELPER_UNION</x:v>
      </x:c>
    </x:row>
    <x:row r="700" ht="42" customHeight="1">
      <x:c r="A700" s="14" t="str">
        <x:v>API-496</x:v>
      </x:c>
      <x:c r="B700" s="6" t="str">
        <x:v>POST</x:v>
      </x:c>
      <x:c r="C700" s="6" t="str">
        <x:v>/api/v1/strategic-project-planning/admin/configuration/preview</x:v>
      </x:c>
      <x:c r="D700" s="6" t="str">
        <x:v>ADMIN MODE</x:v>
      </x:c>
      <x:c r="E700" s="6" t="str">
        <x:v>portfolio_planning</x:v>
      </x:c>
      <x:c r="F700" s="6" t="str">
        <x:v>configuration preview</x:v>
      </x:c>
      <x:c r="G700" s="6" t="str">
        <x:v>portfolio_project.admin.configure</x:v>
      </x:c>
      <x:c r="H700" s="6" t="str">
        <x:v>LIVE_ROUTER_REGISTERED</x:v>
      </x:c>
      <x:c r="I700" s="6" t="str">
        <x:v>NO_DIRECT_LITERAL_MATCH_NOT_PROOF_UNUSED</x:v>
      </x:c>
      <x:c r="J700" s="6" t="str">
        <x:v>NOT_EXECUTED_BY_INVENTORY. SOURCE_LITERAL_OR_TRANSITIVE_HELPER_UNION</x:v>
      </x:c>
    </x:row>
    <x:row r="701" ht="42" customHeight="1">
      <x:c r="A701" s="15" t="str">
        <x:v>API-497</x:v>
      </x:c>
      <x:c r="B701" s="13" t="str">
        <x:v>GET</x:v>
      </x:c>
      <x:c r="C701" s="13" t="str">
        <x:v>/api/v1/strategic-project-planning/admin/configurations</x:v>
      </x:c>
      <x:c r="D701" s="13" t="str">
        <x:v>ADMIN MODE</x:v>
      </x:c>
      <x:c r="E701" s="13" t="str">
        <x:v>portfolio_planning</x:v>
      </x:c>
      <x:c r="F701" s="13" t="str">
        <x:v>configurations</x:v>
      </x:c>
      <x:c r="G701" s="13" t="str">
        <x:v>portfolio_project.admin.configure</x:v>
      </x:c>
      <x:c r="H701" s="13" t="str">
        <x:v>LIVE_ROUTER_REGISTERED</x:v>
      </x:c>
      <x:c r="I701" s="13" t="str">
        <x:v>frontend/src/features/portfolio-planning/api.ts</x:v>
      </x:c>
      <x:c r="J701" s="13" t="str">
        <x:v>NOT_EXECUTED_BY_INVENTORY. SOURCE_LITERAL_OR_TRANSITIVE_HELPER_UNION</x:v>
      </x:c>
    </x:row>
    <x:row r="702" ht="42" customHeight="1">
      <x:c r="A702" s="14" t="str">
        <x:v>API-498</x:v>
      </x:c>
      <x:c r="B702" s="6" t="str">
        <x:v>PUT</x:v>
      </x:c>
      <x:c r="C702" s="6" t="str">
        <x:v>/api/v1/strategic-project-planning/admin/configurations/{configuration_id}</x:v>
      </x:c>
      <x:c r="D702" s="6" t="str">
        <x:v>ADMIN MODE</x:v>
      </x:c>
      <x:c r="E702" s="6" t="str">
        <x:v>portfolio_planning</x:v>
      </x:c>
      <x:c r="F702" s="6" t="str">
        <x:v>update configuration</x:v>
      </x:c>
      <x:c r="G702" s="6" t="str">
        <x:v>portfolio_project.admin.configure</x:v>
      </x:c>
      <x:c r="H702" s="6" t="str">
        <x:v>LIVE_ROUTER_REGISTERED</x:v>
      </x:c>
      <x:c r="I702" s="6" t="str">
        <x:v>frontend/src/features/portfolio-planning/api.ts</x:v>
      </x:c>
      <x:c r="J702" s="6" t="str">
        <x:v>NOT_EXECUTED_BY_INVENTORY. SOURCE_LITERAL_OR_TRANSITIVE_HELPER_UNION</x:v>
      </x:c>
    </x:row>
    <x:row r="703" ht="42" customHeight="1">
      <x:c r="A703" s="15" t="str">
        <x:v>API-499</x:v>
      </x:c>
      <x:c r="B703" s="13" t="str">
        <x:v>POST</x:v>
      </x:c>
      <x:c r="C703" s="13" t="str">
        <x:v>/api/v1/strategic-project-planning/admin/configurations/{configuration_id}/clone</x:v>
      </x:c>
      <x:c r="D703" s="13" t="str">
        <x:v>ADMIN MODE</x:v>
      </x:c>
      <x:c r="E703" s="13" t="str">
        <x:v>portfolio_planning</x:v>
      </x:c>
      <x:c r="F703" s="13" t="str">
        <x:v>clone configuration</x:v>
      </x:c>
      <x:c r="G703" s="13" t="str">
        <x:v>portfolio_project.admin.configure</x:v>
      </x:c>
      <x:c r="H703" s="13" t="str">
        <x:v>LIVE_ROUTER_REGISTERED</x:v>
      </x:c>
      <x:c r="I703" s="13" t="str">
        <x:v>frontend/src/features/portfolio-planning/api.ts</x:v>
      </x:c>
      <x:c r="J703" s="13" t="str">
        <x:v>NOT_EXECUTED_BY_INVENTORY. SOURCE_LITERAL_OR_TRANSITIVE_HELPER_UNION</x:v>
      </x:c>
    </x:row>
    <x:row r="704" ht="42" customHeight="1">
      <x:c r="A704" s="14" t="str">
        <x:v>API-500</x:v>
      </x:c>
      <x:c r="B704" s="6" t="str">
        <x:v>POST</x:v>
      </x:c>
      <x:c r="C704" s="6" t="str">
        <x:v>/api/v1/strategic-project-planning/admin/configurations/{configuration_id}/publish</x:v>
      </x:c>
      <x:c r="D704" s="6" t="str">
        <x:v>ADMIN MODE</x:v>
      </x:c>
      <x:c r="E704" s="6" t="str">
        <x:v>portfolio_planning</x:v>
      </x:c>
      <x:c r="F704" s="6" t="str">
        <x:v>publish configuration</x:v>
      </x:c>
      <x:c r="G704" s="6" t="str">
        <x:v>portfolio_project.admin.publish</x:v>
      </x:c>
      <x:c r="H704" s="6" t="str">
        <x:v>LIVE_ROUTER_REGISTERED</x:v>
      </x:c>
      <x:c r="I704" s="6" t="str">
        <x:v>frontend/src/features/portfolio-planning/api.ts</x:v>
      </x:c>
      <x:c r="J704" s="6" t="str">
        <x:v>NOT_EXECUTED_BY_INVENTORY. SOURCE_LITERAL_OR_TRANSITIVE_HELPER_UNION</x:v>
      </x:c>
    </x:row>
    <x:row r="705" ht="42" customHeight="1">
      <x:c r="A705" s="15" t="str">
        <x:v>API-501</x:v>
      </x:c>
      <x:c r="B705" s="13" t="str">
        <x:v>GET</x:v>
      </x:c>
      <x:c r="C705" s="13" t="str">
        <x:v>/api/v1/strategic-project-planning/options</x:v>
      </x:c>
      <x:c r="D705" s="13" t="str">
        <x:v>READ-ONLY SHARED CONTEXT</x:v>
      </x:c>
      <x:c r="E705" s="13" t="str">
        <x:v>portfolio_planning</x:v>
      </x:c>
      <x:c r="F705" s="13" t="str">
        <x:v>options</x:v>
      </x:c>
      <x:c r="G705" s="13" t="str">
        <x:v>portfolio_project.read</x:v>
      </x:c>
      <x:c r="H705" s="13" t="str">
        <x:v>LIVE_ROUTER_REGISTERED</x:v>
      </x:c>
      <x:c r="I705" s="13" t="str">
        <x:v>frontend/src/features/portfolio-planning/api.ts</x:v>
      </x:c>
      <x:c r="J705" s="13" t="str">
        <x:v>NOT_EXECUTED_BY_INVENTORY. SOURCE_LITERAL_OR_TRANSITIVE_HELPER_UNION</x:v>
      </x:c>
    </x:row>
    <x:row r="706" ht="42" customHeight="1">
      <x:c r="A706" s="14" t="str">
        <x:v>API-502</x:v>
      </x:c>
      <x:c r="B706" s="6" t="str">
        <x:v>GET</x:v>
      </x:c>
      <x:c r="C706" s="6" t="str">
        <x:v>/api/v1/strategic-project-planning/portfolio-options</x:v>
      </x:c>
      <x:c r="D706" s="6" t="str">
        <x:v>READ-ONLY SHARED CONTEXT</x:v>
      </x:c>
      <x:c r="E706" s="6" t="str">
        <x:v>portfolio_planning</x:v>
      </x:c>
      <x:c r="F706" s="6" t="str">
        <x:v>portfolio options</x:v>
      </x:c>
      <x:c r="G706" s="6" t="str">
        <x:v>portfolio_project.read</x:v>
      </x:c>
      <x:c r="H706" s="6" t="str">
        <x:v>LIVE_ROUTER_REGISTERED</x:v>
      </x:c>
      <x:c r="I706" s="6" t="str">
        <x:v>frontend/src/features/portfolio-planning/api.ts</x:v>
      </x:c>
      <x:c r="J706" s="6" t="str">
        <x:v>NOT_EXECUTED_BY_INVENTORY. SOURCE_LITERAL_OR_TRANSITIVE_HELPER_UNION</x:v>
      </x:c>
    </x:row>
    <x:row r="707" ht="42" customHeight="1">
      <x:c r="A707" s="15" t="str">
        <x:v>API-503</x:v>
      </x:c>
      <x:c r="B707" s="13" t="str">
        <x:v>POST</x:v>
      </x:c>
      <x:c r="C707" s="13" t="str">
        <x:v>/api/v1/strategic-project-planning/preview</x:v>
      </x:c>
      <x:c r="D707" s="13" t="str">
        <x:v>USER MODE</x:v>
      </x:c>
      <x:c r="E707" s="13" t="str">
        <x:v>portfolio_planning</x:v>
      </x:c>
      <x:c r="F707" s="13" t="str">
        <x:v>preview</x:v>
      </x:c>
      <x:c r="G707" s="13" t="str">
        <x:v>portfolio_project.intake</x:v>
      </x:c>
      <x:c r="H707" s="13" t="str">
        <x:v>LIVE_ROUTER_REGISTERED</x:v>
      </x:c>
      <x:c r="I707" s="13" t="str">
        <x:v>frontend/src/features/portfolio-planning/api.ts</x:v>
      </x:c>
      <x:c r="J707" s="13" t="str">
        <x:v>NOT_EXECUTED_BY_INVENTORY. SOURCE_LITERAL_OR_TRANSITIVE_HELPER_UNION</x:v>
      </x:c>
    </x:row>
    <x:row r="708" ht="42" customHeight="1">
      <x:c r="A708" s="14" t="str">
        <x:v>API-504</x:v>
      </x:c>
      <x:c r="B708" s="6" t="str">
        <x:v>GET</x:v>
      </x:c>
      <x:c r="C708" s="6" t="str">
        <x:v>/api/v1/strategic-project-planning/{decision_id}</x:v>
      </x:c>
      <x:c r="D708" s="6" t="str">
        <x:v>READ-ONLY SHARED CONTEXT</x:v>
      </x:c>
      <x:c r="E708" s="6" t="str">
        <x:v>portfolio_planning</x:v>
      </x:c>
      <x:c r="F708" s="6" t="str">
        <x:v>get entry</x:v>
      </x:c>
      <x:c r="G708" s="6" t="str">
        <x:v>portfolio_project.read</x:v>
      </x:c>
      <x:c r="H708" s="6" t="str">
        <x:v>LIVE_ROUTER_REGISTERED</x:v>
      </x:c>
      <x:c r="I708" s="6" t="str">
        <x:v>frontend/src/features/portfolio-planning/api.ts</x:v>
      </x:c>
      <x:c r="J708" s="6" t="str">
        <x:v>NOT_EXECUTED_BY_INVENTORY. SOURCE_LITERAL_OR_TRANSITIVE_HELPER_UNION</x:v>
      </x:c>
    </x:row>
    <x:row r="709" ht="42" customHeight="1">
      <x:c r="A709" s="15" t="str">
        <x:v>API-505</x:v>
      </x:c>
      <x:c r="B709" s="13" t="str">
        <x:v>GET</x:v>
      </x:c>
      <x:c r="C709" s="13" t="str">
        <x:v>/api/v1/strategic-project-planning/{decision_id}/readiness</x:v>
      </x:c>
      <x:c r="D709" s="13" t="str">
        <x:v>READ-ONLY SHARED CONTEXT</x:v>
      </x:c>
      <x:c r="E709" s="13" t="str">
        <x:v>portfolio_planning</x:v>
      </x:c>
      <x:c r="F709" s="13" t="str">
        <x:v>get entry readiness</x:v>
      </x:c>
      <x:c r="G709" s="13" t="str">
        <x:v>portfolio_planning.readiness.read</x:v>
      </x:c>
      <x:c r="H709" s="13" t="str">
        <x:v>LIVE_ROUTER_REGISTERED</x:v>
      </x:c>
      <x:c r="I709" s="13" t="str">
        <x:v>NO_DIRECT_LITERAL_MATCH_NOT_PROOF_UNUSED</x:v>
      </x:c>
      <x:c r="J709" s="13" t="str">
        <x:v>NOT_EXECUTED_BY_INVENTORY. SOURCE_LITERAL_OR_TRANSITIVE_HELPER_UNION</x:v>
      </x:c>
    </x:row>
    <x:row r="710" ht="42" customHeight="1">
      <x:c r="A710" s="14" t="str">
        <x:v>API-506</x:v>
      </x:c>
      <x:c r="B710" s="6" t="str">
        <x:v>GET</x:v>
      </x:c>
      <x:c r="C710" s="6" t="str">
        <x:v>/api/v1/portfolio-resource-capacity-plans/{plan_id}</x:v>
      </x:c>
      <x:c r="D710" s="6" t="str">
        <x:v>READ-ONLY SHARED CONTEXT</x:v>
      </x:c>
      <x:c r="E710" s="6" t="str">
        <x:v>portfolio_resource</x:v>
      </x:c>
      <x:c r="F710" s="6" t="str">
        <x:v>capacity plan</x:v>
      </x:c>
      <x:c r="G710" s="6" t="str">
        <x:v>portfolio_resource.read</x:v>
      </x:c>
      <x:c r="H710" s="6" t="str">
        <x:v>LIVE_ROUTER_REGISTERED</x:v>
      </x:c>
      <x:c r="I710" s="6" t="str">
        <x:v>NO_DIRECT_LITERAL_MATCH_NOT_PROOF_UNUSED</x:v>
      </x:c>
      <x:c r="J710" s="6" t="str">
        <x:v>NOT_EXECUTED_BY_INVENTORY. SOURCE_LITERAL_OR_TRANSITIVE_HELPER_UNION</x:v>
      </x:c>
    </x:row>
    <x:row r="711" ht="42" customHeight="1">
      <x:c r="A711" s="15" t="str">
        <x:v>API-507</x:v>
      </x:c>
      <x:c r="B711" s="13" t="str">
        <x:v>PUT</x:v>
      </x:c>
      <x:c r="C711" s="13" t="str">
        <x:v>/api/v1/portfolio-resource-capacity-plans/{plan_id}</x:v>
      </x:c>
      <x:c r="D711" s="13" t="str">
        <x:v>USER MODE</x:v>
      </x:c>
      <x:c r="E711" s="13" t="str">
        <x:v>portfolio_resource</x:v>
      </x:c>
      <x:c r="F711" s="13" t="str">
        <x:v>update capacity plan</x:v>
      </x:c>
      <x:c r="G711" s="13" t="str">
        <x:v>portfolio_resource_capacity.create</x:v>
      </x:c>
      <x:c r="H711" s="13" t="str">
        <x:v>LIVE_ROUTER_REGISTERED</x:v>
      </x:c>
      <x:c r="I711" s="13" t="str">
        <x:v>NO_DIRECT_LITERAL_MATCH_NOT_PROOF_UNUSED</x:v>
      </x:c>
      <x:c r="J711" s="13" t="str">
        <x:v>NOT_EXECUTED_BY_INVENTORY. SOURCE_LITERAL_OR_TRANSITIVE_HELPER_UNION</x:v>
      </x:c>
    </x:row>
    <x:row r="712" ht="42" customHeight="1">
      <x:c r="A712" s="14" t="str">
        <x:v>API-508</x:v>
      </x:c>
      <x:c r="B712" s="6" t="str">
        <x:v>POST</x:v>
      </x:c>
      <x:c r="C712" s="6" t="str">
        <x:v>/api/v1/portfolio-resource-capacity-plans/{plan_id}/publish</x:v>
      </x:c>
      <x:c r="D712" s="6" t="str">
        <x:v>USER MODE</x:v>
      </x:c>
      <x:c r="E712" s="6" t="str">
        <x:v>portfolio_resource</x:v>
      </x:c>
      <x:c r="F712" s="6" t="str">
        <x:v>publish capacity plan</x:v>
      </x:c>
      <x:c r="G712" s="6" t="str">
        <x:v>portfolio_resource_capacity.publish</x:v>
      </x:c>
      <x:c r="H712" s="6" t="str">
        <x:v>LIVE_ROUTER_REGISTERED</x:v>
      </x:c>
      <x:c r="I712" s="6" t="str">
        <x:v>frontend/src/features/portfolio-resource/api.ts</x:v>
      </x:c>
      <x:c r="J712" s="6" t="str">
        <x:v>NOT_EXECUTED_BY_INVENTORY. SOURCE_LITERAL_OR_TRANSITIVE_HELPER_UNION</x:v>
      </x:c>
    </x:row>
    <x:row r="713" ht="42" customHeight="1">
      <x:c r="A713" s="15" t="str">
        <x:v>API-509</x:v>
      </x:c>
      <x:c r="B713" s="13" t="str">
        <x:v>GET</x:v>
      </x:c>
      <x:c r="C713" s="13" t="str">
        <x:v>/api/v1/portfolio-resource-scenarios/{scenario_id}</x:v>
      </x:c>
      <x:c r="D713" s="13" t="str">
        <x:v>READ-ONLY SHARED CONTEXT</x:v>
      </x:c>
      <x:c r="E713" s="13" t="str">
        <x:v>portfolio_resource</x:v>
      </x:c>
      <x:c r="F713" s="13" t="str">
        <x:v>scenario</x:v>
      </x:c>
      <x:c r="G713" s="13" t="str">
        <x:v>portfolio_resource.read</x:v>
      </x:c>
      <x:c r="H713" s="13" t="str">
        <x:v>LIVE_ROUTER_REGISTERED</x:v>
      </x:c>
      <x:c r="I713" s="13" t="str">
        <x:v>NO_DIRECT_LITERAL_MATCH_NOT_PROOF_UNUSED</x:v>
      </x:c>
      <x:c r="J713" s="13" t="str">
        <x:v>NOT_EXECUTED_BY_INVENTORY. SOURCE_LITERAL_OR_TRANSITIVE_HELPER_UNION</x:v>
      </x:c>
    </x:row>
    <x:row r="714" ht="42" customHeight="1">
      <x:c r="A714" s="14" t="str">
        <x:v>API-510</x:v>
      </x:c>
      <x:c r="B714" s="6" t="str">
        <x:v>PUT</x:v>
      </x:c>
      <x:c r="C714" s="6" t="str">
        <x:v>/api/v1/portfolio-resource-scenarios/{scenario_id}</x:v>
      </x:c>
      <x:c r="D714" s="6" t="str">
        <x:v>USER MODE</x:v>
      </x:c>
      <x:c r="E714" s="6" t="str">
        <x:v>portfolio_resource</x:v>
      </x:c>
      <x:c r="F714" s="6" t="str">
        <x:v>update scenario</x:v>
      </x:c>
      <x:c r="G714" s="6" t="str">
        <x:v>portfolio_resource_scenario.edit</x:v>
      </x:c>
      <x:c r="H714" s="6" t="str">
        <x:v>LIVE_ROUTER_REGISTERED</x:v>
      </x:c>
      <x:c r="I714" s="6" t="str">
        <x:v>NO_DIRECT_LITERAL_MATCH_NOT_PROOF_UNUSED</x:v>
      </x:c>
      <x:c r="J714" s="6" t="str">
        <x:v>NOT_EXECUTED_BY_INVENTORY. SOURCE_LITERAL_OR_TRANSITIVE_HELPER_UNION</x:v>
      </x:c>
    </x:row>
    <x:row r="715" ht="42" customHeight="1">
      <x:c r="A715" s="15" t="str">
        <x:v>API-511</x:v>
      </x:c>
      <x:c r="B715" s="13" t="str">
        <x:v>GET</x:v>
      </x:c>
      <x:c r="C715" s="13" t="str">
        <x:v>/api/v1/portfolio-resource-scenarios/{scenario_id}/capacity-demand</x:v>
      </x:c>
      <x:c r="D715" s="13" t="str">
        <x:v>READ-ONLY SHARED CONTEXT</x:v>
      </x:c>
      <x:c r="E715" s="13" t="str">
        <x:v>portfolio_resource</x:v>
      </x:c>
      <x:c r="F715" s="13" t="str">
        <x:v>heatmap</x:v>
      </x:c>
      <x:c r="G715" s="13" t="str">
        <x:v>portfolio_resource.read</x:v>
      </x:c>
      <x:c r="H715" s="13" t="str">
        <x:v>LIVE_ROUTER_REGISTERED</x:v>
      </x:c>
      <x:c r="I715" s="13" t="str">
        <x:v>NO_DIRECT_LITERAL_MATCH_NOT_PROOF_UNUSED</x:v>
      </x:c>
      <x:c r="J715" s="13" t="str">
        <x:v>NOT_EXECUTED_BY_INVENTORY. SOURCE_LITERAL_OR_TRANSITIVE_HELPER_UNION</x:v>
      </x:c>
    </x:row>
    <x:row r="716" ht="42" customHeight="1">
      <x:c r="A716" s="14" t="str">
        <x:v>API-512</x:v>
      </x:c>
      <x:c r="B716" s="6" t="str">
        <x:v>POST</x:v>
      </x:c>
      <x:c r="C716" s="6" t="str">
        <x:v>/api/v1/portfolio-resource-scenarios/{scenario_id}/clone</x:v>
      </x:c>
      <x:c r="D716" s="6" t="str">
        <x:v>USER MODE</x:v>
      </x:c>
      <x:c r="E716" s="6" t="str">
        <x:v>portfolio_resource</x:v>
      </x:c>
      <x:c r="F716" s="6" t="str">
        <x:v>clone scenario</x:v>
      </x:c>
      <x:c r="G716" s="6" t="str">
        <x:v>HELPER_OR_SERVICE_AUTHORIZATION_REQUIRES_REVIEW</x:v>
      </x:c>
      <x:c r="H716" s="6" t="str">
        <x:v>LIVE_ROUTER_REGISTERED</x:v>
      </x:c>
      <x:c r="I716" s="6" t="str">
        <x:v>frontend/src/features/portfolio-resource/api.ts</x:v>
      </x:c>
      <x:c r="J716" s="6" t="str">
        <x:v>NOT_EXECUTED_BY_INVENTORY. SOURCE_LITERAL_OR_TRANSITIVE_HELPER_UNION</x:v>
      </x:c>
    </x:row>
    <x:row r="717" ht="42" customHeight="1">
      <x:c r="A717" s="15" t="str">
        <x:v>API-513</x:v>
      </x:c>
      <x:c r="B717" s="13" t="str">
        <x:v>POST</x:v>
      </x:c>
      <x:c r="C717" s="13" t="str">
        <x:v>/api/v1/portfolio-resource-scenarios/{scenario_id}/freeze</x:v>
      </x:c>
      <x:c r="D717" s="13" t="str">
        <x:v>USER MODE</x:v>
      </x:c>
      <x:c r="E717" s="13" t="str">
        <x:v>portfolio_resource</x:v>
      </x:c>
      <x:c r="F717" s="13" t="str">
        <x:v>freeze scenario</x:v>
      </x:c>
      <x:c r="G717" s="13" t="str">
        <x:v>HELPER_OR_SERVICE_AUTHORIZATION_REQUIRES_REVIEW</x:v>
      </x:c>
      <x:c r="H717" s="13" t="str">
        <x:v>LIVE_ROUTER_REGISTERED</x:v>
      </x:c>
      <x:c r="I717" s="13" t="str">
        <x:v>frontend/src/features/portfolio-resource/api.ts</x:v>
      </x:c>
      <x:c r="J717" s="13" t="str">
        <x:v>NOT_EXECUTED_BY_INVENTORY. SOURCE_LITERAL_OR_TRANSITIVE_HELPER_UNION</x:v>
      </x:c>
    </x:row>
    <x:row r="718" ht="42" customHeight="1">
      <x:c r="A718" s="14" t="str">
        <x:v>API-514</x:v>
      </x:c>
      <x:c r="B718" s="6" t="str">
        <x:v>GET</x:v>
      </x:c>
      <x:c r="C718" s="6" t="str">
        <x:v>/api/v1/portfolio-resource-scenarios/{scenario_id}/heatmap</x:v>
      </x:c>
      <x:c r="D718" s="6" t="str">
        <x:v>READ-ONLY SHARED CONTEXT</x:v>
      </x:c>
      <x:c r="E718" s="6" t="str">
        <x:v>portfolio_resource</x:v>
      </x:c>
      <x:c r="F718" s="6" t="str">
        <x:v>heatmap</x:v>
      </x:c>
      <x:c r="G718" s="6" t="str">
        <x:v>portfolio_resource.read</x:v>
      </x:c>
      <x:c r="H718" s="6" t="str">
        <x:v>LIVE_ROUTER_REGISTERED</x:v>
      </x:c>
      <x:c r="I718" s="6" t="str">
        <x:v>NO_DIRECT_LITERAL_MATCH_NOT_PROOF_UNUSED</x:v>
      </x:c>
      <x:c r="J718" s="6" t="str">
        <x:v>NOT_EXECUTED_BY_INVENTORY. SOURCE_LITERAL_OR_TRANSITIVE_HELPER_UNION</x:v>
      </x:c>
    </x:row>
    <x:row r="719" ht="42" customHeight="1">
      <x:c r="A719" s="15" t="str">
        <x:v>API-515</x:v>
      </x:c>
      <x:c r="B719" s="13" t="str">
        <x:v>POST</x:v>
      </x:c>
      <x:c r="C719" s="13" t="str">
        <x:v>/api/v1/portfolio-resource-scenarios/{scenario_id}/projects/{project_id}/selection</x:v>
      </x:c>
      <x:c r="D719" s="13" t="str">
        <x:v>USER MODE</x:v>
      </x:c>
      <x:c r="E719" s="13" t="str">
        <x:v>portfolio_resource</x:v>
      </x:c>
      <x:c r="F719" s="13" t="str">
        <x:v>select project</x:v>
      </x:c>
      <x:c r="G719" s="13" t="str">
        <x:v>portfolio_resource_scenario.force</x:v>
      </x:c>
      <x:c r="H719" s="13" t="str">
        <x:v>LIVE_ROUTER_REGISTERED</x:v>
      </x:c>
      <x:c r="I719" s="13" t="str">
        <x:v>frontend/src/features/portfolio-resource/api.ts</x:v>
      </x:c>
      <x:c r="J719" s="13" t="str">
        <x:v>NOT_EXECUTED_BY_INVENTORY. SOURCE_LITERAL_OR_TRANSITIVE_HELPER_UNION</x:v>
      </x:c>
    </x:row>
    <x:row r="720" ht="42" customHeight="1">
      <x:c r="A720" s="14" t="str">
        <x:v>API-516</x:v>
      </x:c>
      <x:c r="B720" s="6" t="str">
        <x:v>POST</x:v>
      </x:c>
      <x:c r="C720" s="6" t="str">
        <x:v>/api/v1/portfolio-resource-scenarios/{scenario_id}/projects/{project_id}/timing</x:v>
      </x:c>
      <x:c r="D720" s="6" t="str">
        <x:v>USER MODE</x:v>
      </x:c>
      <x:c r="E720" s="6" t="str">
        <x:v>portfolio_resource</x:v>
      </x:c>
      <x:c r="F720" s="6" t="str">
        <x:v>adjust timing</x:v>
      </x:c>
      <x:c r="G720" s="6" t="str">
        <x:v>portfolio_resource_scenario.edit</x:v>
      </x:c>
      <x:c r="H720" s="6" t="str">
        <x:v>LIVE_ROUTER_REGISTERED</x:v>
      </x:c>
      <x:c r="I720" s="6" t="str">
        <x:v>frontend/src/features/portfolio-resource/api.ts</x:v>
      </x:c>
      <x:c r="J720" s="6" t="str">
        <x:v>NOT_EXECUTED_BY_INVENTORY. SOURCE_LITERAL_OR_TRANSITIVE_HELPER_UNION</x:v>
      </x:c>
    </x:row>
    <x:row r="721" ht="42" customHeight="1">
      <x:c r="A721" s="15" t="str">
        <x:v>API-517</x:v>
      </x:c>
      <x:c r="B721" s="13" t="str">
        <x:v>POST</x:v>
      </x:c>
      <x:c r="C721" s="13" t="str">
        <x:v>/api/v1/portfolio-resource-scenarios/{scenario_id}/refresh</x:v>
      </x:c>
      <x:c r="D721" s="13" t="str">
        <x:v>USER MODE</x:v>
      </x:c>
      <x:c r="E721" s="13" t="str">
        <x:v>portfolio_resource</x:v>
      </x:c>
      <x:c r="F721" s="13" t="str">
        <x:v>apply refresh</x:v>
      </x:c>
      <x:c r="G721" s="13" t="str">
        <x:v>portfolio_resource_scenario.edit</x:v>
      </x:c>
      <x:c r="H721" s="13" t="str">
        <x:v>LIVE_ROUTER_REGISTERED</x:v>
      </x:c>
      <x:c r="I721" s="13" t="str">
        <x:v>NO_DIRECT_LITERAL_MATCH_NOT_PROOF_UNUSED</x:v>
      </x:c>
      <x:c r="J721" s="13" t="str">
        <x:v>NOT_EXECUTED_BY_INVENTORY. SOURCE_LITERAL_OR_TRANSITIVE_HELPER_UNION</x:v>
      </x:c>
    </x:row>
    <x:row r="722" ht="42" customHeight="1">
      <x:c r="A722" s="14" t="str">
        <x:v>API-518</x:v>
      </x:c>
      <x:c r="B722" s="6" t="str">
        <x:v>POST</x:v>
      </x:c>
      <x:c r="C722" s="6" t="str">
        <x:v>/api/v1/portfolio-resource-scenarios/{scenario_id}/refresh/preview</x:v>
      </x:c>
      <x:c r="D722" s="6" t="str">
        <x:v>USER MODE</x:v>
      </x:c>
      <x:c r="E722" s="6" t="str">
        <x:v>portfolio_resource</x:v>
      </x:c>
      <x:c r="F722" s="6" t="str">
        <x:v>refresh preview</x:v>
      </x:c>
      <x:c r="G722" s="6" t="str">
        <x:v>portfolio_resource_scenario.edit</x:v>
      </x:c>
      <x:c r="H722" s="6" t="str">
        <x:v>LIVE_ROUTER_REGISTERED</x:v>
      </x:c>
      <x:c r="I722" s="6" t="str">
        <x:v>frontend/src/features/portfolio-resource/api.ts</x:v>
      </x:c>
      <x:c r="J722" s="6" t="str">
        <x:v>NOT_EXECUTED_BY_INVENTORY. SOURCE_LITERAL_OR_TRANSITIVE_HELPER_UNION</x:v>
      </x:c>
    </x:row>
    <x:row r="723" ht="42" customHeight="1">
      <x:c r="A723" s="15" t="str">
        <x:v>API-519</x:v>
      </x:c>
      <x:c r="B723" s="13" t="str">
        <x:v>POST</x:v>
      </x:c>
      <x:c r="C723" s="13" t="str">
        <x:v>/api/v1/portfolio-resource-scenarios/{scenario_id}/void</x:v>
      </x:c>
      <x:c r="D723" s="13" t="str">
        <x:v>USER MODE</x:v>
      </x:c>
      <x:c r="E723" s="13" t="str">
        <x:v>portfolio_resource</x:v>
      </x:c>
      <x:c r="F723" s="13" t="str">
        <x:v>void scenario</x:v>
      </x:c>
      <x:c r="G723" s="13" t="str">
        <x:v>HELPER_OR_SERVICE_AUTHORIZATION_REQUIRES_REVIEW</x:v>
      </x:c>
      <x:c r="H723" s="13" t="str">
        <x:v>LIVE_ROUTER_REGISTERED</x:v>
      </x:c>
      <x:c r="I723" s="13" t="str">
        <x:v>NO_DIRECT_LITERAL_MATCH_NOT_PROOF_UNUSED</x:v>
      </x:c>
      <x:c r="J723" s="13" t="str">
        <x:v>NOT_EXECUTED_BY_INVENTORY. SOURCE_LITERAL_OR_TRANSITIVE_HELPER_UNION</x:v>
      </x:c>
    </x:row>
    <x:row r="724" ht="42" customHeight="1">
      <x:c r="A724" s="14" t="str">
        <x:v>API-520</x:v>
      </x:c>
      <x:c r="B724" s="6" t="str">
        <x:v>GET</x:v>
      </x:c>
      <x:c r="C724" s="6" t="str">
        <x:v>/api/v1/portfolio-resource/admin/configurations</x:v>
      </x:c>
      <x:c r="D724" s="6" t="str">
        <x:v>ADMIN MODE</x:v>
      </x:c>
      <x:c r="E724" s="6" t="str">
        <x:v>portfolio_resource</x:v>
      </x:c>
      <x:c r="F724" s="6" t="str">
        <x:v>configurations</x:v>
      </x:c>
      <x:c r="G724" s="6" t="str">
        <x:v>portfolio_resource.admin.configure</x:v>
      </x:c>
      <x:c r="H724" s="6" t="str">
        <x:v>LIVE_ROUTER_REGISTERED</x:v>
      </x:c>
      <x:c r="I724" s="6" t="str">
        <x:v>frontend/src/features/portfolio-resource/api.ts</x:v>
      </x:c>
      <x:c r="J724" s="6" t="str">
        <x:v>NOT_EXECUTED_BY_INVENTORY. SOURCE_LITERAL_OR_TRANSITIVE_HELPER_UNION</x:v>
      </x:c>
    </x:row>
    <x:row r="725" ht="42" customHeight="1">
      <x:c r="A725" s="15" t="str">
        <x:v>API-521</x:v>
      </x:c>
      <x:c r="B725" s="13" t="str">
        <x:v>POST</x:v>
      </x:c>
      <x:c r="C725" s="13" t="str">
        <x:v>/api/v1/portfolio-resource/admin/configurations/preview</x:v>
      </x:c>
      <x:c r="D725" s="13" t="str">
        <x:v>ADMIN MODE</x:v>
      </x:c>
      <x:c r="E725" s="13" t="str">
        <x:v>portfolio_resource</x:v>
      </x:c>
      <x:c r="F725" s="13" t="str">
        <x:v>configuration preview</x:v>
      </x:c>
      <x:c r="G725" s="13" t="str">
        <x:v>portfolio_resource.admin.configure</x:v>
      </x:c>
      <x:c r="H725" s="13" t="str">
        <x:v>LIVE_ROUTER_REGISTERED</x:v>
      </x:c>
      <x:c r="I725" s="13" t="str">
        <x:v>frontend/src/features/portfolio-resource/api.ts</x:v>
      </x:c>
      <x:c r="J725" s="13" t="str">
        <x:v>NOT_EXECUTED_BY_INVENTORY. SOURCE_LITERAL_OR_TRANSITIVE_HELPER_UNION</x:v>
      </x:c>
    </x:row>
    <x:row r="726" ht="42" customHeight="1">
      <x:c r="A726" s="14" t="str">
        <x:v>API-522</x:v>
      </x:c>
      <x:c r="B726" s="6" t="str">
        <x:v>PUT</x:v>
      </x:c>
      <x:c r="C726" s="6" t="str">
        <x:v>/api/v1/portfolio-resource/admin/configurations/{configuration_id}</x:v>
      </x:c>
      <x:c r="D726" s="6" t="str">
        <x:v>ADMIN MODE</x:v>
      </x:c>
      <x:c r="E726" s="6" t="str">
        <x:v>portfolio_resource</x:v>
      </x:c>
      <x:c r="F726" s="6" t="str">
        <x:v>update configuration</x:v>
      </x:c>
      <x:c r="G726" s="6" t="str">
        <x:v>portfolio_resource.admin.configure</x:v>
      </x:c>
      <x:c r="H726" s="6" t="str">
        <x:v>LIVE_ROUTER_REGISTERED</x:v>
      </x:c>
      <x:c r="I726" s="6" t="str">
        <x:v>frontend/src/features/portfolio-resource/api.ts</x:v>
      </x:c>
      <x:c r="J726" s="6" t="str">
        <x:v>NOT_EXECUTED_BY_INVENTORY. SOURCE_LITERAL_OR_TRANSITIVE_HELPER_UNION</x:v>
      </x:c>
    </x:row>
    <x:row r="727" ht="42" customHeight="1">
      <x:c r="A727" s="15" t="str">
        <x:v>API-523</x:v>
      </x:c>
      <x:c r="B727" s="13" t="str">
        <x:v>POST</x:v>
      </x:c>
      <x:c r="C727" s="13" t="str">
        <x:v>/api/v1/portfolio-resource/admin/configurations/{configuration_id}/clone</x:v>
      </x:c>
      <x:c r="D727" s="13" t="str">
        <x:v>ADMIN MODE</x:v>
      </x:c>
      <x:c r="E727" s="13" t="str">
        <x:v>portfolio_resource</x:v>
      </x:c>
      <x:c r="F727" s="13" t="str">
        <x:v>clone configuration</x:v>
      </x:c>
      <x:c r="G727" s="13" t="str">
        <x:v>portfolio_resource.admin.configure</x:v>
      </x:c>
      <x:c r="H727" s="13" t="str">
        <x:v>LIVE_ROUTER_REGISTERED</x:v>
      </x:c>
      <x:c r="I727" s="13" t="str">
        <x:v>frontend/src/features/portfolio-resource/api.ts</x:v>
      </x:c>
      <x:c r="J727" s="13" t="str">
        <x:v>NOT_EXECUTED_BY_INVENTORY. SOURCE_LITERAL_OR_TRANSITIVE_HELPER_UNION</x:v>
      </x:c>
    </x:row>
    <x:row r="728" ht="42" customHeight="1">
      <x:c r="A728" s="14" t="str">
        <x:v>API-524</x:v>
      </x:c>
      <x:c r="B728" s="6" t="str">
        <x:v>POST</x:v>
      </x:c>
      <x:c r="C728" s="6" t="str">
        <x:v>/api/v1/portfolio-resource/admin/configurations/{configuration_id}/publish</x:v>
      </x:c>
      <x:c r="D728" s="6" t="str">
        <x:v>ADMIN MODE</x:v>
      </x:c>
      <x:c r="E728" s="6" t="str">
        <x:v>portfolio_resource</x:v>
      </x:c>
      <x:c r="F728" s="6" t="str">
        <x:v>publish configuration</x:v>
      </x:c>
      <x:c r="G728" s="6" t="str">
        <x:v>portfolio_resource.admin.publish</x:v>
      </x:c>
      <x:c r="H728" s="6" t="str">
        <x:v>LIVE_ROUTER_REGISTERED</x:v>
      </x:c>
      <x:c r="I728" s="6" t="str">
        <x:v>frontend/src/features/portfolio-resource/api.ts</x:v>
      </x:c>
      <x:c r="J728" s="6" t="str">
        <x:v>NOT_EXECUTED_BY_INVENTORY. SOURCE_LITERAL_OR_TRANSITIVE_HELPER_UNION</x:v>
      </x:c>
    </x:row>
    <x:row r="729" ht="42" customHeight="1">
      <x:c r="A729" s="15" t="str">
        <x:v>API-525</x:v>
      </x:c>
      <x:c r="B729" s="13" t="str">
        <x:v>GET</x:v>
      </x:c>
      <x:c r="C729" s="13" t="str">
        <x:v>/api/v1/portfolios/{portfolio_id}/resource-capacity-plans</x:v>
      </x:c>
      <x:c r="D729" s="13" t="str">
        <x:v>READ-ONLY SHARED CONTEXT</x:v>
      </x:c>
      <x:c r="E729" s="13" t="str">
        <x:v>portfolio_resource</x:v>
      </x:c>
      <x:c r="F729" s="13" t="str">
        <x:v>capacity plans</x:v>
      </x:c>
      <x:c r="G729" s="13" t="str">
        <x:v>portfolio_resource.read</x:v>
      </x:c>
      <x:c r="H729" s="13" t="str">
        <x:v>LIVE_ROUTER_REGISTERED</x:v>
      </x:c>
      <x:c r="I729" s="13" t="str">
        <x:v>frontend/src/features/portfolio-resource/api.ts</x:v>
      </x:c>
      <x:c r="J729" s="13" t="str">
        <x:v>NOT_EXECUTED_BY_INVENTORY. SOURCE_LITERAL_OR_TRANSITIVE_HELPER_UNION</x:v>
      </x:c>
    </x:row>
    <x:row r="730" ht="42" customHeight="1">
      <x:c r="A730" s="14" t="str">
        <x:v>API-526</x:v>
      </x:c>
      <x:c r="B730" s="6" t="str">
        <x:v>POST</x:v>
      </x:c>
      <x:c r="C730" s="6" t="str">
        <x:v>/api/v1/portfolios/{portfolio_id}/resource-capacity-plans</x:v>
      </x:c>
      <x:c r="D730" s="6" t="str">
        <x:v>USER MODE</x:v>
      </x:c>
      <x:c r="E730" s="6" t="str">
        <x:v>portfolio_resource</x:v>
      </x:c>
      <x:c r="F730" s="6" t="str">
        <x:v>create capacity plan</x:v>
      </x:c>
      <x:c r="G730" s="6" t="str">
        <x:v>portfolio_resource_capacity.create</x:v>
      </x:c>
      <x:c r="H730" s="6" t="str">
        <x:v>LIVE_ROUTER_REGISTERED</x:v>
      </x:c>
      <x:c r="I730" s="6" t="str">
        <x:v>frontend/src/features/portfolio-resource/api.ts</x:v>
      </x:c>
      <x:c r="J730" s="6" t="str">
        <x:v>NOT_EXECUTED_BY_INVENTORY. SOURCE_LITERAL_OR_TRANSITIVE_HELPER_UNION</x:v>
      </x:c>
    </x:row>
    <x:row r="731" ht="42" customHeight="1">
      <x:c r="A731" s="15" t="str">
        <x:v>API-527</x:v>
      </x:c>
      <x:c r="B731" s="13" t="str">
        <x:v>GET</x:v>
      </x:c>
      <x:c r="C731" s="13" t="str">
        <x:v>/api/v1/portfolios/{portfolio_id}/resource-planning</x:v>
      </x:c>
      <x:c r="D731" s="13" t="str">
        <x:v>READ-ONLY SHARED CONTEXT</x:v>
      </x:c>
      <x:c r="E731" s="13" t="str">
        <x:v>portfolio_resource</x:v>
      </x:c>
      <x:c r="F731" s="13" t="str">
        <x:v>overview</x:v>
      </x:c>
      <x:c r="G731" s="13" t="str">
        <x:v>portfolio_resource.read</x:v>
      </x:c>
      <x:c r="H731" s="13" t="str">
        <x:v>LIVE_ROUTER_REGISTERED</x:v>
      </x:c>
      <x:c r="I731" s="13" t="str">
        <x:v>frontend/src/features/portfolio-resource/api.ts</x:v>
      </x:c>
      <x:c r="J731" s="13" t="str">
        <x:v>NOT_EXECUTED_BY_INVENTORY. SOURCE_LITERAL_OR_TRANSITIVE_HELPER_UNION</x:v>
      </x:c>
    </x:row>
    <x:row r="732" ht="42" customHeight="1">
      <x:c r="A732" s="14" t="str">
        <x:v>API-528</x:v>
      </x:c>
      <x:c r="B732" s="6" t="str">
        <x:v>GET</x:v>
      </x:c>
      <x:c r="C732" s="6" t="str">
        <x:v>/api/v1/portfolios/{portfolio_id}/resource-planning/readiness</x:v>
      </x:c>
      <x:c r="D732" s="6" t="str">
        <x:v>READ-ONLY SHARED CONTEXT</x:v>
      </x:c>
      <x:c r="E732" s="6" t="str">
        <x:v>portfolio_resource</x:v>
      </x:c>
      <x:c r="F732" s="6" t="str">
        <x:v>readiness</x:v>
      </x:c>
      <x:c r="G732" s="6" t="str">
        <x:v>portfolio_resource.read</x:v>
      </x:c>
      <x:c r="H732" s="6" t="str">
        <x:v>LIVE_ROUTER_REGISTERED</x:v>
      </x:c>
      <x:c r="I732" s="6" t="str">
        <x:v>NO_DIRECT_LITERAL_MATCH_NOT_PROOF_UNUSED</x:v>
      </x:c>
      <x:c r="J732" s="6" t="str">
        <x:v>NOT_EXECUTED_BY_INVENTORY. SOURCE_LITERAL_OR_TRANSITIVE_HELPER_UNION</x:v>
      </x:c>
    </x:row>
    <x:row r="733" ht="42" customHeight="1">
      <x:c r="A733" s="15" t="str">
        <x:v>API-529</x:v>
      </x:c>
      <x:c r="B733" s="13" t="str">
        <x:v>GET</x:v>
      </x:c>
      <x:c r="C733" s="13" t="str">
        <x:v>/api/v1/portfolios/{portfolio_id}/resource-planning/recommendation-contract</x:v>
      </x:c>
      <x:c r="D733" s="13" t="str">
        <x:v>READ-ONLY SHARED CONTEXT</x:v>
      </x:c>
      <x:c r="E733" s="13" t="str">
        <x:v>portfolio_resource</x:v>
      </x:c>
      <x:c r="F733" s="13" t="str">
        <x:v>recommendation contract</x:v>
      </x:c>
      <x:c r="G733" s="13" t="str">
        <x:v>portfolio_resource.read</x:v>
      </x:c>
      <x:c r="H733" s="13" t="str">
        <x:v>LIVE_ROUTER_REGISTERED</x:v>
      </x:c>
      <x:c r="I733" s="13" t="str">
        <x:v>NO_DIRECT_LITERAL_MATCH_NOT_PROOF_UNUSED</x:v>
      </x:c>
      <x:c r="J733" s="13" t="str">
        <x:v>NOT_EXECUTED_BY_INVENTORY. SOURCE_LITERAL_OR_TRANSITIVE_HELPER_UNION</x:v>
      </x:c>
    </x:row>
    <x:row r="734" ht="42" customHeight="1">
      <x:c r="A734" s="14" t="str">
        <x:v>API-530</x:v>
      </x:c>
      <x:c r="B734" s="6" t="str">
        <x:v>GET</x:v>
      </x:c>
      <x:c r="C734" s="6" t="str">
        <x:v>/api/v1/portfolios/{portfolio_id}/resource-scenarios</x:v>
      </x:c>
      <x:c r="D734" s="6" t="str">
        <x:v>READ-ONLY SHARED CONTEXT</x:v>
      </x:c>
      <x:c r="E734" s="6" t="str">
        <x:v>portfolio_resource</x:v>
      </x:c>
      <x:c r="F734" s="6" t="str">
        <x:v>scenarios</x:v>
      </x:c>
      <x:c r="G734" s="6" t="str">
        <x:v>portfolio_resource.read</x:v>
      </x:c>
      <x:c r="H734" s="6" t="str">
        <x:v>LIVE_ROUTER_REGISTERED</x:v>
      </x:c>
      <x:c r="I734" s="6" t="str">
        <x:v>frontend/src/features/portfolio-resource/api.ts</x:v>
      </x:c>
      <x:c r="J734" s="6" t="str">
        <x:v>NOT_EXECUTED_BY_INVENTORY. SOURCE_LITERAL_OR_TRANSITIVE_HELPER_UNION</x:v>
      </x:c>
    </x:row>
    <x:row r="735" ht="42" customHeight="1">
      <x:c r="A735" s="15" t="str">
        <x:v>API-531</x:v>
      </x:c>
      <x:c r="B735" s="13" t="str">
        <x:v>POST</x:v>
      </x:c>
      <x:c r="C735" s="13" t="str">
        <x:v>/api/v1/portfolios/{portfolio_id}/resource-scenarios</x:v>
      </x:c>
      <x:c r="D735" s="13" t="str">
        <x:v>USER MODE</x:v>
      </x:c>
      <x:c r="E735" s="13" t="str">
        <x:v>portfolio_resource</x:v>
      </x:c>
      <x:c r="F735" s="13" t="str">
        <x:v>create scenario</x:v>
      </x:c>
      <x:c r="G735" s="13" t="str">
        <x:v>portfolio_resource_scenario.create</x:v>
      </x:c>
      <x:c r="H735" s="13" t="str">
        <x:v>LIVE_ROUTER_REGISTERED</x:v>
      </x:c>
      <x:c r="I735" s="13" t="str">
        <x:v>frontend/src/features/portfolio-resource/api.ts</x:v>
      </x:c>
      <x:c r="J735" s="13" t="str">
        <x:v>NOT_EXECUTED_BY_INVENTORY. SOURCE_LITERAL_OR_TRANSITIVE_HELPER_UNION</x:v>
      </x:c>
    </x:row>
    <x:row r="736" ht="42" customHeight="1">
      <x:c r="A736" s="14" t="str">
        <x:v>API-532</x:v>
      </x:c>
      <x:c r="B736" s="6" t="str">
        <x:v>POST</x:v>
      </x:c>
      <x:c r="C736" s="6" t="str">
        <x:v>/api/v1/portfolios/{portfolio_id}/resource-scenarios/compare</x:v>
      </x:c>
      <x:c r="D736" s="6" t="str">
        <x:v>USER MODE</x:v>
      </x:c>
      <x:c r="E736" s="6" t="str">
        <x:v>portfolio_resource</x:v>
      </x:c>
      <x:c r="F736" s="6" t="str">
        <x:v>compare</x:v>
      </x:c>
      <x:c r="G736" s="6" t="str">
        <x:v>portfolio_resource_scenario.compare</x:v>
      </x:c>
      <x:c r="H736" s="6" t="str">
        <x:v>LIVE_ROUTER_REGISTERED</x:v>
      </x:c>
      <x:c r="I736" s="6" t="str">
        <x:v>frontend/src/features/portfolio-resource/api.ts</x:v>
      </x:c>
      <x:c r="J736" s="6" t="str">
        <x:v>NOT_EXECUTED_BY_INVENTORY. SOURCE_LITERAL_OR_TRANSITIVE_HELPER_UNION</x:v>
      </x:c>
    </x:row>
    <x:row r="737" ht="42" customHeight="1">
      <x:c r="A737" s="15" t="str">
        <x:v>API-533</x:v>
      </x:c>
      <x:c r="B737" s="13" t="str">
        <x:v>GET</x:v>
      </x:c>
      <x:c r="C737" s="13" t="str">
        <x:v>/api/v1/project-resource-demand-profiles/{profile_id}</x:v>
      </x:c>
      <x:c r="D737" s="13" t="str">
        <x:v>READ-ONLY SHARED CONTEXT</x:v>
      </x:c>
      <x:c r="E737" s="13" t="str">
        <x:v>portfolio_resource</x:v>
      </x:c>
      <x:c r="F737" s="13" t="str">
        <x:v>demand profile</x:v>
      </x:c>
      <x:c r="G737" s="13" t="str">
        <x:v>portfolio_resource_demand.read</x:v>
      </x:c>
      <x:c r="H737" s="13" t="str">
        <x:v>LIVE_ROUTER_REGISTERED</x:v>
      </x:c>
      <x:c r="I737" s="13" t="str">
        <x:v>NO_DIRECT_LITERAL_MATCH_NOT_PROOF_UNUSED</x:v>
      </x:c>
      <x:c r="J737" s="13" t="str">
        <x:v>NOT_EXECUTED_BY_INVENTORY. SOURCE_LITERAL_OR_TRANSITIVE_HELPER_UNION</x:v>
      </x:c>
    </x:row>
    <x:row r="738" ht="42" customHeight="1">
      <x:c r="A738" s="14" t="str">
        <x:v>API-534</x:v>
      </x:c>
      <x:c r="B738" s="6" t="str">
        <x:v>PUT</x:v>
      </x:c>
      <x:c r="C738" s="6" t="str">
        <x:v>/api/v1/project-resource-demand-profiles/{profile_id}</x:v>
      </x:c>
      <x:c r="D738" s="6" t="str">
        <x:v>USER MODE</x:v>
      </x:c>
      <x:c r="E738" s="6" t="str">
        <x:v>portfolio_resource</x:v>
      </x:c>
      <x:c r="F738" s="6" t="str">
        <x:v>update demand profile</x:v>
      </x:c>
      <x:c r="G738" s="6" t="str">
        <x:v>portfolio_resource_demand.create</x:v>
      </x:c>
      <x:c r="H738" s="6" t="str">
        <x:v>LIVE_ROUTER_REGISTERED</x:v>
      </x:c>
      <x:c r="I738" s="6" t="str">
        <x:v>NO_DIRECT_LITERAL_MATCH_NOT_PROOF_UNUSED</x:v>
      </x:c>
      <x:c r="J738" s="6" t="str">
        <x:v>NOT_EXECUTED_BY_INVENTORY. SOURCE_LITERAL_OR_TRANSITIVE_HELPER_UNION</x:v>
      </x:c>
    </x:row>
    <x:row r="739" ht="42" customHeight="1">
      <x:c r="A739" s="15" t="str">
        <x:v>API-535</x:v>
      </x:c>
      <x:c r="B739" s="13" t="str">
        <x:v>POST</x:v>
      </x:c>
      <x:c r="C739" s="13" t="str">
        <x:v>/api/v1/project-resource-demand-profiles/{profile_id}/publish</x:v>
      </x:c>
      <x:c r="D739" s="13" t="str">
        <x:v>USER MODE</x:v>
      </x:c>
      <x:c r="E739" s="13" t="str">
        <x:v>portfolio_resource</x:v>
      </x:c>
      <x:c r="F739" s="13" t="str">
        <x:v>publish demand profile</x:v>
      </x:c>
      <x:c r="G739" s="13" t="str">
        <x:v>portfolio_resource_demand.publish</x:v>
      </x:c>
      <x:c r="H739" s="13" t="str">
        <x:v>LIVE_ROUTER_REGISTERED</x:v>
      </x:c>
      <x:c r="I739" s="13" t="str">
        <x:v>frontend/src/features/portfolio-resource/api.ts</x:v>
      </x:c>
      <x:c r="J739" s="13" t="str">
        <x:v>NOT_EXECUTED_BY_INVENTORY. SOURCE_LITERAL_OR_TRANSITIVE_HELPER_UNION</x:v>
      </x:c>
    </x:row>
    <x:row r="740" ht="42" customHeight="1">
      <x:c r="A740" s="14" t="str">
        <x:v>API-536</x:v>
      </x:c>
      <x:c r="B740" s="6" t="str">
        <x:v>GET</x:v>
      </x:c>
      <x:c r="C740" s="6" t="str">
        <x:v>/api/v1/projects/{project_id}/resource-demand-profiles</x:v>
      </x:c>
      <x:c r="D740" s="6" t="str">
        <x:v>READ-ONLY SHARED CONTEXT</x:v>
      </x:c>
      <x:c r="E740" s="6" t="str">
        <x:v>portfolio_resource</x:v>
      </x:c>
      <x:c r="F740" s="6" t="str">
        <x:v>demand profiles</x:v>
      </x:c>
      <x:c r="G740" s="6" t="str">
        <x:v>portfolio_resource_demand.read</x:v>
      </x:c>
      <x:c r="H740" s="6" t="str">
        <x:v>LIVE_ROUTER_REGISTERED</x:v>
      </x:c>
      <x:c r="I740" s="6" t="str">
        <x:v>frontend/src/features/portfolio-resource/api.ts</x:v>
      </x:c>
      <x:c r="J740" s="6" t="str">
        <x:v>NOT_EXECUTED_BY_INVENTORY. SOURCE_LITERAL_OR_TRANSITIVE_HELPER_UNION</x:v>
      </x:c>
    </x:row>
    <x:row r="741" ht="42" customHeight="1">
      <x:c r="A741" s="15" t="str">
        <x:v>API-537</x:v>
      </x:c>
      <x:c r="B741" s="13" t="str">
        <x:v>POST</x:v>
      </x:c>
      <x:c r="C741" s="13" t="str">
        <x:v>/api/v1/projects/{project_id}/resource-demand-profiles</x:v>
      </x:c>
      <x:c r="D741" s="13" t="str">
        <x:v>USER MODE</x:v>
      </x:c>
      <x:c r="E741" s="13" t="str">
        <x:v>portfolio_resource</x:v>
      </x:c>
      <x:c r="F741" s="13" t="str">
        <x:v>create demand profile</x:v>
      </x:c>
      <x:c r="G741" s="13" t="str">
        <x:v>portfolio_resource_demand.create</x:v>
      </x:c>
      <x:c r="H741" s="13" t="str">
        <x:v>LIVE_ROUTER_REGISTERED</x:v>
      </x:c>
      <x:c r="I741" s="13" t="str">
        <x:v>frontend/src/features/portfolio-resource/api.ts</x:v>
      </x:c>
      <x:c r="J741" s="13" t="str">
        <x:v>NOT_EXECUTED_BY_INVENTORY. SOURCE_LITERAL_OR_TRANSITIVE_HELPER_UNION</x:v>
      </x:c>
    </x:row>
    <x:row r="742" ht="42" customHeight="1">
      <x:c r="A742" s="14" t="str">
        <x:v>API-538</x:v>
      </x:c>
      <x:c r="B742" s="6" t="str">
        <x:v>GET</x:v>
      </x:c>
      <x:c r="C742" s="6" t="str">
        <x:v>/api/v1/portfolio-review-actions</x:v>
      </x:c>
      <x:c r="D742" s="6" t="str">
        <x:v>READ-ONLY SHARED CONTEXT</x:v>
      </x:c>
      <x:c r="E742" s="6" t="str">
        <x:v>portfolio_review</x:v>
      </x:c>
      <x:c r="F742" s="6" t="str">
        <x:v>list actions</x:v>
      </x:c>
      <x:c r="G742" s="6" t="str">
        <x:v>portfolio_review.read</x:v>
      </x:c>
      <x:c r="H742" s="6" t="str">
        <x:v>LIVE_ROUTER_REGISTERED</x:v>
      </x:c>
      <x:c r="I742" s="6" t="str">
        <x:v>frontend/src/features/portfolio-review/api.ts</x:v>
      </x:c>
      <x:c r="J742" s="6" t="str">
        <x:v>NOT_EXECUTED_BY_INVENTORY. SOURCE_LITERAL_OR_TRANSITIVE_HELPER_UNION</x:v>
      </x:c>
    </x:row>
    <x:row r="743" ht="42" customHeight="1">
      <x:c r="A743" s="15" t="str">
        <x:v>API-539</x:v>
      </x:c>
      <x:c r="B743" s="13" t="str">
        <x:v>PUT</x:v>
      </x:c>
      <x:c r="C743" s="13" t="str">
        <x:v>/api/v1/portfolio-review-actions/{action_id}</x:v>
      </x:c>
      <x:c r="D743" s="13" t="str">
        <x:v>USER MODE</x:v>
      </x:c>
      <x:c r="E743" s="13" t="str">
        <x:v>portfolio_review</x:v>
      </x:c>
      <x:c r="F743" s="13" t="str">
        <x:v>update action</x:v>
      </x:c>
      <x:c r="G743" s="13" t="str">
        <x:v>portfolio_review.action.update</x:v>
      </x:c>
      <x:c r="H743" s="13" t="str">
        <x:v>LIVE_ROUTER_REGISTERED</x:v>
      </x:c>
      <x:c r="I743" s="13" t="str">
        <x:v>frontend/src/features/portfolio-review/api.ts</x:v>
      </x:c>
      <x:c r="J743" s="13" t="str">
        <x:v>NOT_EXECUTED_BY_INVENTORY. SOURCE_LITERAL_OR_TRANSITIVE_HELPER_UNION</x:v>
      </x:c>
    </x:row>
    <x:row r="744" ht="42" customHeight="1">
      <x:c r="A744" s="14" t="str">
        <x:v>API-540</x:v>
      </x:c>
      <x:c r="B744" s="6" t="str">
        <x:v>POST</x:v>
      </x:c>
      <x:c r="C744" s="6" t="str">
        <x:v>/api/v1/portfolio-review-actions/{action_id}/approve</x:v>
      </x:c>
      <x:c r="D744" s="6" t="str">
        <x:v>USER MODE</x:v>
      </x:c>
      <x:c r="E744" s="6" t="str">
        <x:v>portfolio_review</x:v>
      </x:c>
      <x:c r="F744" s="6" t="str">
        <x:v>approve action</x:v>
      </x:c>
      <x:c r="G744" s="6" t="str">
        <x:v>portfolio_review.action.approve</x:v>
      </x:c>
      <x:c r="H744" s="6" t="str">
        <x:v>LIVE_ROUTER_REGISTERED</x:v>
      </x:c>
      <x:c r="I744" s="6" t="str">
        <x:v>frontend/src/features/portfolio-review/api.ts</x:v>
      </x:c>
      <x:c r="J744" s="6" t="str">
        <x:v>NOT_EXECUTED_BY_INVENTORY. SOURCE_LITERAL_OR_TRANSITIVE_HELPER_UNION</x:v>
      </x:c>
    </x:row>
    <x:row r="745" ht="42" customHeight="1">
      <x:c r="A745" s="15" t="str">
        <x:v>API-541</x:v>
      </x:c>
      <x:c r="B745" s="13" t="str">
        <x:v>POST</x:v>
      </x:c>
      <x:c r="C745" s="13" t="str">
        <x:v>/api/v1/portfolio-review-actions/{action_id}/dispatch</x:v>
      </x:c>
      <x:c r="D745" s="13" t="str">
        <x:v>USER MODE</x:v>
      </x:c>
      <x:c r="E745" s="13" t="str">
        <x:v>portfolio_review</x:v>
      </x:c>
      <x:c r="F745" s="13" t="str">
        <x:v>dispatch action</x:v>
      </x:c>
      <x:c r="G745" s="13" t="str">
        <x:v>portfolio_review.action.dispatch</x:v>
      </x:c>
      <x:c r="H745" s="13" t="str">
        <x:v>LIVE_ROUTER_REGISTERED</x:v>
      </x:c>
      <x:c r="I745" s="13" t="str">
        <x:v>frontend/src/features/portfolio-review/api.ts</x:v>
      </x:c>
      <x:c r="J745" s="13" t="str">
        <x:v>NOT_EXECUTED_BY_INVENTORY. SOURCE_LITERAL_OR_TRANSITIVE_HELPER_UNION</x:v>
      </x:c>
    </x:row>
    <x:row r="746" ht="42" customHeight="1">
      <x:c r="A746" s="14" t="str">
        <x:v>API-542</x:v>
      </x:c>
      <x:c r="B746" s="6" t="str">
        <x:v>PUT</x:v>
      </x:c>
      <x:c r="C746" s="6" t="str">
        <x:v>/api/v1/portfolio-review-conclusions/{conclusion_id}</x:v>
      </x:c>
      <x:c r="D746" s="6" t="str">
        <x:v>USER MODE</x:v>
      </x:c>
      <x:c r="E746" s="6" t="str">
        <x:v>portfolio_review</x:v>
      </x:c>
      <x:c r="F746" s="6" t="str">
        <x:v>update conclusion</x:v>
      </x:c>
      <x:c r="G746" s="6" t="str">
        <x:v>portfolio_review.conduct</x:v>
      </x:c>
      <x:c r="H746" s="6" t="str">
        <x:v>LIVE_ROUTER_REGISTERED</x:v>
      </x:c>
      <x:c r="I746" s="6" t="str">
        <x:v>NO_DIRECT_LITERAL_MATCH_NOT_PROOF_UNUSED</x:v>
      </x:c>
      <x:c r="J746" s="6" t="str">
        <x:v>NOT_EXECUTED_BY_INVENTORY. SOURCE_LITERAL_OR_TRANSITIVE_HELPER_UNION</x:v>
      </x:c>
    </x:row>
    <x:row r="747" ht="42" customHeight="1">
      <x:c r="A747" s="15" t="str">
        <x:v>API-543</x:v>
      </x:c>
      <x:c r="B747" s="13" t="str">
        <x:v>GET</x:v>
      </x:c>
      <x:c r="C747" s="13" t="str">
        <x:v>/api/v1/portfolio-reviews</x:v>
      </x:c>
      <x:c r="D747" s="13" t="str">
        <x:v>READ-ONLY SHARED CONTEXT</x:v>
      </x:c>
      <x:c r="E747" s="13" t="str">
        <x:v>portfolio_review</x:v>
      </x:c>
      <x:c r="F747" s="13" t="str">
        <x:v>list reviews</x:v>
      </x:c>
      <x:c r="G747" s="13" t="str">
        <x:v>portfolio_review.read</x:v>
      </x:c>
      <x:c r="H747" s="13" t="str">
        <x:v>LIVE_ROUTER_REGISTERED</x:v>
      </x:c>
      <x:c r="I747" s="13" t="str">
        <x:v>frontend/src/features/portfolio-review/api.ts</x:v>
      </x:c>
      <x:c r="J747" s="13" t="str">
        <x:v>NOT_EXECUTED_BY_INVENTORY. SOURCE_LITERAL_OR_TRANSITIVE_HELPER_UNION</x:v>
      </x:c>
    </x:row>
    <x:row r="748" ht="42" customHeight="1">
      <x:c r="A748" s="14" t="str">
        <x:v>API-544</x:v>
      </x:c>
      <x:c r="B748" s="6" t="str">
        <x:v>POST</x:v>
      </x:c>
      <x:c r="C748" s="6" t="str">
        <x:v>/api/v1/portfolio-reviews</x:v>
      </x:c>
      <x:c r="D748" s="6" t="str">
        <x:v>USER MODE</x:v>
      </x:c>
      <x:c r="E748" s="6" t="str">
        <x:v>portfolio_review</x:v>
      </x:c>
      <x:c r="F748" s="6" t="str">
        <x:v>create review</x:v>
      </x:c>
      <x:c r="G748" s="6" t="str">
        <x:v>portfolio_review.create</x:v>
      </x:c>
      <x:c r="H748" s="6" t="str">
        <x:v>LIVE_ROUTER_REGISTERED</x:v>
      </x:c>
      <x:c r="I748" s="6" t="str">
        <x:v>frontend/src/features/portfolio-review/api.ts</x:v>
      </x:c>
      <x:c r="J748" s="6" t="str">
        <x:v>NOT_EXECUTED_BY_INVENTORY. SOURCE_LITERAL_OR_TRANSITIVE_HELPER_UNION</x:v>
      </x:c>
    </x:row>
    <x:row r="749" ht="42" customHeight="1">
      <x:c r="A749" s="15" t="str">
        <x:v>API-545</x:v>
      </x:c>
      <x:c r="B749" s="13" t="str">
        <x:v>GET</x:v>
      </x:c>
      <x:c r="C749" s="13" t="str">
        <x:v>/api/v1/portfolio-reviews/admin/configurations</x:v>
      </x:c>
      <x:c r="D749" s="13" t="str">
        <x:v>ADMIN MODE</x:v>
      </x:c>
      <x:c r="E749" s="13" t="str">
        <x:v>portfolio_review</x:v>
      </x:c>
      <x:c r="F749" s="13" t="str">
        <x:v>configurations</x:v>
      </x:c>
      <x:c r="G749" s="13" t="str">
        <x:v>portfolio_review.admin.configure</x:v>
      </x:c>
      <x:c r="H749" s="13" t="str">
        <x:v>LIVE_ROUTER_REGISTERED</x:v>
      </x:c>
      <x:c r="I749" s="13" t="str">
        <x:v>frontend/src/features/portfolio-review/api.ts</x:v>
      </x:c>
      <x:c r="J749" s="13" t="str">
        <x:v>NOT_EXECUTED_BY_INVENTORY. SOURCE_LITERAL_OR_TRANSITIVE_HELPER_UNION</x:v>
      </x:c>
    </x:row>
    <x:row r="750" ht="42" customHeight="1">
      <x:c r="A750" s="14" t="str">
        <x:v>API-546</x:v>
      </x:c>
      <x:c r="B750" s="6" t="str">
        <x:v>PUT</x:v>
      </x:c>
      <x:c r="C750" s="6" t="str">
        <x:v>/api/v1/portfolio-reviews/admin/configurations/{configuration_id}</x:v>
      </x:c>
      <x:c r="D750" s="6" t="str">
        <x:v>ADMIN MODE</x:v>
      </x:c>
      <x:c r="E750" s="6" t="str">
        <x:v>portfolio_review</x:v>
      </x:c>
      <x:c r="F750" s="6" t="str">
        <x:v>update configuration</x:v>
      </x:c>
      <x:c r="G750" s="6" t="str">
        <x:v>portfolio_review.admin.configure</x:v>
      </x:c>
      <x:c r="H750" s="6" t="str">
        <x:v>LIVE_ROUTER_REGISTERED</x:v>
      </x:c>
      <x:c r="I750" s="6" t="str">
        <x:v>frontend/src/features/portfolio-review/api.ts</x:v>
      </x:c>
      <x:c r="J750" s="6" t="str">
        <x:v>NOT_EXECUTED_BY_INVENTORY. SOURCE_LITERAL_OR_TRANSITIVE_HELPER_UNION</x:v>
      </x:c>
    </x:row>
    <x:row r="751" ht="42" customHeight="1">
      <x:c r="A751" s="15" t="str">
        <x:v>API-547</x:v>
      </x:c>
      <x:c r="B751" s="13" t="str">
        <x:v>POST</x:v>
      </x:c>
      <x:c r="C751" s="13" t="str">
        <x:v>/api/v1/portfolio-reviews/admin/configurations/{configuration_id}/clone</x:v>
      </x:c>
      <x:c r="D751" s="13" t="str">
        <x:v>ADMIN MODE</x:v>
      </x:c>
      <x:c r="E751" s="13" t="str">
        <x:v>portfolio_review</x:v>
      </x:c>
      <x:c r="F751" s="13" t="str">
        <x:v>clone configuration</x:v>
      </x:c>
      <x:c r="G751" s="13" t="str">
        <x:v>portfolio_review.admin.configure</x:v>
      </x:c>
      <x:c r="H751" s="13" t="str">
        <x:v>LIVE_ROUTER_REGISTERED</x:v>
      </x:c>
      <x:c r="I751" s="13" t="str">
        <x:v>frontend/src/features/portfolio-review/api.ts</x:v>
      </x:c>
      <x:c r="J751" s="13" t="str">
        <x:v>NOT_EXECUTED_BY_INVENTORY. SOURCE_LITERAL_OR_TRANSITIVE_HELPER_UNION</x:v>
      </x:c>
    </x:row>
    <x:row r="752" ht="42" customHeight="1">
      <x:c r="A752" s="14" t="str">
        <x:v>API-548</x:v>
      </x:c>
      <x:c r="B752" s="6" t="str">
        <x:v>POST</x:v>
      </x:c>
      <x:c r="C752" s="6" t="str">
        <x:v>/api/v1/portfolio-reviews/admin/preview</x:v>
      </x:c>
      <x:c r="D752" s="6" t="str">
        <x:v>ADMIN MODE</x:v>
      </x:c>
      <x:c r="E752" s="6" t="str">
        <x:v>portfolio_review</x:v>
      </x:c>
      <x:c r="F752" s="6" t="str">
        <x:v>configuration preview</x:v>
      </x:c>
      <x:c r="G752" s="6" t="str">
        <x:v>portfolio_review.admin.configure</x:v>
      </x:c>
      <x:c r="H752" s="6" t="str">
        <x:v>LIVE_ROUTER_REGISTERED</x:v>
      </x:c>
      <x:c r="I752" s="6" t="str">
        <x:v>frontend/src/features/portfolio-review/api.ts</x:v>
      </x:c>
      <x:c r="J752" s="6" t="str">
        <x:v>NOT_EXECUTED_BY_INVENTORY. SOURCE_LITERAL_OR_TRANSITIVE_HELPER_UNION</x:v>
      </x:c>
    </x:row>
    <x:row r="753" ht="42" customHeight="1">
      <x:c r="A753" s="15" t="str">
        <x:v>API-549</x:v>
      </x:c>
      <x:c r="B753" s="13" t="str">
        <x:v>GET</x:v>
      </x:c>
      <x:c r="C753" s="13" t="str">
        <x:v>/api/v1/portfolio-reviews/options</x:v>
      </x:c>
      <x:c r="D753" s="13" t="str">
        <x:v>READ-ONLY SHARED CONTEXT</x:v>
      </x:c>
      <x:c r="E753" s="13" t="str">
        <x:v>portfolio_review</x:v>
      </x:c>
      <x:c r="F753" s="13" t="str">
        <x:v>options</x:v>
      </x:c>
      <x:c r="G753" s="13" t="str">
        <x:v>portfolio_review.read</x:v>
      </x:c>
      <x:c r="H753" s="13" t="str">
        <x:v>LIVE_ROUTER_REGISTERED</x:v>
      </x:c>
      <x:c r="I753" s="13" t="str">
        <x:v>NO_DIRECT_LITERAL_MATCH_NOT_PROOF_UNUSED</x:v>
      </x:c>
      <x:c r="J753" s="13" t="str">
        <x:v>NOT_EXECUTED_BY_INVENTORY. SOURCE_LITERAL_OR_TRANSITIVE_HELPER_UNION</x:v>
      </x:c>
    </x:row>
    <x:row r="754" ht="42" customHeight="1">
      <x:c r="A754" s="14" t="str">
        <x:v>API-550</x:v>
      </x:c>
      <x:c r="B754" s="6" t="str">
        <x:v>GET</x:v>
      </x:c>
      <x:c r="C754" s="6" t="str">
        <x:v>/api/v1/portfolio-reviews/trends</x:v>
      </x:c>
      <x:c r="D754" s="6" t="str">
        <x:v>READ-ONLY SHARED CONTEXT</x:v>
      </x:c>
      <x:c r="E754" s="6" t="str">
        <x:v>portfolio_review</x:v>
      </x:c>
      <x:c r="F754" s="6" t="str">
        <x:v>trends</x:v>
      </x:c>
      <x:c r="G754" s="6" t="str">
        <x:v>portfolio_review.read</x:v>
      </x:c>
      <x:c r="H754" s="6" t="str">
        <x:v>LIVE_ROUTER_REGISTERED</x:v>
      </x:c>
      <x:c r="I754" s="6" t="str">
        <x:v>NO_DIRECT_LITERAL_MATCH_NOT_PROOF_UNUSED</x:v>
      </x:c>
      <x:c r="J754" s="6" t="str">
        <x:v>NOT_EXECUTED_BY_INVENTORY. SOURCE_LITERAL_OR_TRANSITIVE_HELPER_UNION</x:v>
      </x:c>
    </x:row>
    <x:row r="755" ht="42" customHeight="1">
      <x:c r="A755" s="15" t="str">
        <x:v>API-551</x:v>
      </x:c>
      <x:c r="B755" s="13" t="str">
        <x:v>GET</x:v>
      </x:c>
      <x:c r="C755" s="13" t="str">
        <x:v>/api/v1/portfolio-reviews/{review_session_id}</x:v>
      </x:c>
      <x:c r="D755" s="13" t="str">
        <x:v>READ-ONLY SHARED CONTEXT</x:v>
      </x:c>
      <x:c r="E755" s="13" t="str">
        <x:v>portfolio_review</x:v>
      </x:c>
      <x:c r="F755" s="13" t="str">
        <x:v>get review</x:v>
      </x:c>
      <x:c r="G755" s="13" t="str">
        <x:v>portfolio_review.read</x:v>
      </x:c>
      <x:c r="H755" s="13" t="str">
        <x:v>LIVE_ROUTER_REGISTERED</x:v>
      </x:c>
      <x:c r="I755" s="13" t="str">
        <x:v>frontend/src/features/portfolio-review/api.ts</x:v>
      </x:c>
      <x:c r="J755" s="13" t="str">
        <x:v>NOT_EXECUTED_BY_INVENTORY. SOURCE_LITERAL_OR_TRANSITIVE_HELPER_UNION</x:v>
      </x:c>
    </x:row>
    <x:row r="756" ht="42" customHeight="1">
      <x:c r="A756" s="14" t="str">
        <x:v>API-552</x:v>
      </x:c>
      <x:c r="B756" s="6" t="str">
        <x:v>PUT</x:v>
      </x:c>
      <x:c r="C756" s="6" t="str">
        <x:v>/api/v1/portfolio-reviews/{review_session_id}</x:v>
      </x:c>
      <x:c r="D756" s="6" t="str">
        <x:v>USER MODE</x:v>
      </x:c>
      <x:c r="E756" s="6" t="str">
        <x:v>portfolio_review</x:v>
      </x:c>
      <x:c r="F756" s="6" t="str">
        <x:v>update review</x:v>
      </x:c>
      <x:c r="G756" s="6" t="str">
        <x:v>portfolio_review.prepare</x:v>
      </x:c>
      <x:c r="H756" s="6" t="str">
        <x:v>LIVE_ROUTER_REGISTERED</x:v>
      </x:c>
      <x:c r="I756" s="6" t="str">
        <x:v>frontend/src/features/portfolio-review/api.ts</x:v>
      </x:c>
      <x:c r="J756" s="6" t="str">
        <x:v>NOT_EXECUTED_BY_INVENTORY. SOURCE_LITERAL_OR_TRANSITIVE_HELPER_UNION</x:v>
      </x:c>
    </x:row>
    <x:row r="757" ht="42" customHeight="1">
      <x:c r="A757" s="15" t="str">
        <x:v>API-553</x:v>
      </x:c>
      <x:c r="B757" s="13" t="str">
        <x:v>POST</x:v>
      </x:c>
      <x:c r="C757" s="13" t="str">
        <x:v>/api/v1/portfolio-reviews/{review_session_id}/actions</x:v>
      </x:c>
      <x:c r="D757" s="13" t="str">
        <x:v>USER MODE</x:v>
      </x:c>
      <x:c r="E757" s="13" t="str">
        <x:v>portfolio_review</x:v>
      </x:c>
      <x:c r="F757" s="13" t="str">
        <x:v>create action</x:v>
      </x:c>
      <x:c r="G757" s="13" t="str">
        <x:v>portfolio_review.action.create</x:v>
      </x:c>
      <x:c r="H757" s="13" t="str">
        <x:v>LIVE_ROUTER_REGISTERED</x:v>
      </x:c>
      <x:c r="I757" s="13" t="str">
        <x:v>frontend/src/features/portfolio-review/api.ts</x:v>
      </x:c>
      <x:c r="J757" s="13" t="str">
        <x:v>NOT_EXECUTED_BY_INVENTORY. SOURCE_LITERAL_OR_TRANSITIVE_HELPER_UNION</x:v>
      </x:c>
    </x:row>
    <x:row r="758" ht="42" customHeight="1">
      <x:c r="A758" s="14" t="str">
        <x:v>API-554</x:v>
      </x:c>
      <x:c r="B758" s="6" t="str">
        <x:v>GET</x:v>
      </x:c>
      <x:c r="C758" s="6" t="str">
        <x:v>/api/v1/portfolio-reviews/{review_session_id}/allocation</x:v>
      </x:c>
      <x:c r="D758" s="6" t="str">
        <x:v>READ-ONLY SHARED CONTEXT</x:v>
      </x:c>
      <x:c r="E758" s="6" t="str">
        <x:v>portfolio_review</x:v>
      </x:c>
      <x:c r="F758" s="6" t="str">
        <x:v>allocation</x:v>
      </x:c>
      <x:c r="G758" s="6" t="str">
        <x:v>portfolio_review.read</x:v>
      </x:c>
      <x:c r="H758" s="6" t="str">
        <x:v>LIVE_ROUTER_REGISTERED</x:v>
      </x:c>
      <x:c r="I758" s="6" t="str">
        <x:v>frontend/src/features/portfolio-review/api.ts</x:v>
      </x:c>
      <x:c r="J758" s="6" t="str">
        <x:v>NOT_EXECUTED_BY_INVENTORY. SOURCE_LITERAL_OR_TRANSITIVE_HELPER_UNION</x:v>
      </x:c>
    </x:row>
    <x:row r="759" ht="42" customHeight="1">
      <x:c r="A759" s="15" t="str">
        <x:v>API-555</x:v>
      </x:c>
      <x:c r="B759" s="13" t="str">
        <x:v>GET</x:v>
      </x:c>
      <x:c r="C759" s="13" t="str">
        <x:v>/api/v1/portfolio-reviews/{review_session_id}/budget-resources</x:v>
      </x:c>
      <x:c r="D759" s="13" t="str">
        <x:v>READ-ONLY SHARED CONTEXT</x:v>
      </x:c>
      <x:c r="E759" s="13" t="str">
        <x:v>portfolio_review</x:v>
      </x:c>
      <x:c r="F759" s="13" t="str">
        <x:v>budget resources</x:v>
      </x:c>
      <x:c r="G759" s="13" t="str">
        <x:v>portfolio_review.read</x:v>
      </x:c>
      <x:c r="H759" s="13" t="str">
        <x:v>LIVE_ROUTER_REGISTERED</x:v>
      </x:c>
      <x:c r="I759" s="13" t="str">
        <x:v>frontend/src/features/portfolio-review/api.ts</x:v>
      </x:c>
      <x:c r="J759" s="13" t="str">
        <x:v>NOT_EXECUTED_BY_INVENTORY. SOURCE_LITERAL_OR_TRANSITIVE_HELPER_UNION</x:v>
      </x:c>
    </x:row>
    <x:row r="760" ht="42" customHeight="1">
      <x:c r="A760" s="14" t="str">
        <x:v>API-556</x:v>
      </x:c>
      <x:c r="B760" s="6" t="str">
        <x:v>POST</x:v>
      </x:c>
      <x:c r="C760" s="6" t="str">
        <x:v>/api/v1/portfolio-reviews/{review_session_id}/cancel</x:v>
      </x:c>
      <x:c r="D760" s="6" t="str">
        <x:v>USER MODE</x:v>
      </x:c>
      <x:c r="E760" s="6" t="str">
        <x:v>portfolio_review</x:v>
      </x:c>
      <x:c r="F760" s="6" t="str">
        <x:v>transition review</x:v>
      </x:c>
      <x:c r="G760" s="6" t="str">
        <x:v>portfolio_review.conduct</x:v>
      </x:c>
      <x:c r="H760" s="6" t="str">
        <x:v>LIVE_ROUTER_REGISTERED</x:v>
      </x:c>
      <x:c r="I760" s="6" t="str">
        <x:v>NO_DIRECT_LITERAL_MATCH_NOT_PROOF_UNUSED</x:v>
      </x:c>
      <x:c r="J760" s="6" t="str">
        <x:v>NOT_EXECUTED_BY_INVENTORY. SOURCE_LITERAL_OR_TRANSITIVE_HELPER_UNION</x:v>
      </x:c>
    </x:row>
    <x:row r="761" ht="42" customHeight="1">
      <x:c r="A761" s="15" t="str">
        <x:v>API-557</x:v>
      </x:c>
      <x:c r="B761" s="13" t="str">
        <x:v>GET</x:v>
      </x:c>
      <x:c r="C761" s="13" t="str">
        <x:v>/api/v1/portfolio-reviews/{review_session_id}/compare/{other_review_session_id}</x:v>
      </x:c>
      <x:c r="D761" s="13" t="str">
        <x:v>READ-ONLY SHARED CONTEXT</x:v>
      </x:c>
      <x:c r="E761" s="13" t="str">
        <x:v>portfolio_review</x:v>
      </x:c>
      <x:c r="F761" s="13" t="str">
        <x:v>compare reviews</x:v>
      </x:c>
      <x:c r="G761" s="13" t="str">
        <x:v>portfolio_review.read</x:v>
      </x:c>
      <x:c r="H761" s="13" t="str">
        <x:v>LIVE_ROUTER_REGISTERED</x:v>
      </x:c>
      <x:c r="I761" s="13" t="str">
        <x:v>frontend/src/features/portfolio-review/api.ts</x:v>
      </x:c>
      <x:c r="J761" s="13" t="str">
        <x:v>NOT_EXECUTED_BY_INVENTORY. SOURCE_LITERAL_OR_TRANSITIVE_HELPER_UNION</x:v>
      </x:c>
    </x:row>
    <x:row r="762" ht="42" customHeight="1">
      <x:c r="A762" s="14" t="str">
        <x:v>API-558</x:v>
      </x:c>
      <x:c r="B762" s="6" t="str">
        <x:v>POST</x:v>
      </x:c>
      <x:c r="C762" s="6" t="str">
        <x:v>/api/v1/portfolio-reviews/{review_session_id}/complete</x:v>
      </x:c>
      <x:c r="D762" s="6" t="str">
        <x:v>USER MODE</x:v>
      </x:c>
      <x:c r="E762" s="6" t="str">
        <x:v>portfolio_review</x:v>
      </x:c>
      <x:c r="F762" s="6" t="str">
        <x:v>complete review</x:v>
      </x:c>
      <x:c r="G762" s="6" t="str">
        <x:v>portfolio_review.complete</x:v>
      </x:c>
      <x:c r="H762" s="6" t="str">
        <x:v>LIVE_ROUTER_REGISTERED</x:v>
      </x:c>
      <x:c r="I762" s="6" t="str">
        <x:v>frontend/src/features/portfolio-review/api.ts</x:v>
      </x:c>
      <x:c r="J762" s="6" t="str">
        <x:v>NOT_EXECUTED_BY_INVENTORY. SOURCE_LITERAL_OR_TRANSITIVE_HELPER_UNION</x:v>
      </x:c>
    </x:row>
    <x:row r="763" ht="42" customHeight="1">
      <x:c r="A763" s="15" t="str">
        <x:v>API-559</x:v>
      </x:c>
      <x:c r="B763" s="13" t="str">
        <x:v>POST</x:v>
      </x:c>
      <x:c r="C763" s="13" t="str">
        <x:v>/api/v1/portfolio-reviews/{review_session_id}/conclusions</x:v>
      </x:c>
      <x:c r="D763" s="13" t="str">
        <x:v>USER MODE</x:v>
      </x:c>
      <x:c r="E763" s="13" t="str">
        <x:v>portfolio_review</x:v>
      </x:c>
      <x:c r="F763" s="13" t="str">
        <x:v>create conclusion</x:v>
      </x:c>
      <x:c r="G763" s="13" t="str">
        <x:v>portfolio_review.conduct</x:v>
      </x:c>
      <x:c r="H763" s="13" t="str">
        <x:v>LIVE_ROUTER_REGISTERED</x:v>
      </x:c>
      <x:c r="I763" s="13" t="str">
        <x:v>frontend/src/features/portfolio-review/api.ts</x:v>
      </x:c>
      <x:c r="J763" s="13" t="str">
        <x:v>NOT_EXECUTED_BY_INVENTORY. SOURCE_LITERAL_OR_TRANSITIVE_HELPER_UNION</x:v>
      </x:c>
    </x:row>
    <x:row r="764" ht="42" customHeight="1">
      <x:c r="A764" s="14" t="str">
        <x:v>API-560</x:v>
      </x:c>
      <x:c r="B764" s="6" t="str">
        <x:v>POST</x:v>
      </x:c>
      <x:c r="C764" s="6" t="str">
        <x:v>/api/v1/portfolio-reviews/{review_session_id}/freeze-snapshot</x:v>
      </x:c>
      <x:c r="D764" s="6" t="str">
        <x:v>USER MODE</x:v>
      </x:c>
      <x:c r="E764" s="6" t="str">
        <x:v>portfolio_review</x:v>
      </x:c>
      <x:c r="F764" s="6" t="str">
        <x:v>freeze snapshot</x:v>
      </x:c>
      <x:c r="G764" s="6" t="str">
        <x:v>portfolio_review.freeze_snapshot</x:v>
      </x:c>
      <x:c r="H764" s="6" t="str">
        <x:v>LIVE_ROUTER_REGISTERED</x:v>
      </x:c>
      <x:c r="I764" s="6" t="str">
        <x:v>frontend/src/features/portfolio-review/api.ts</x:v>
      </x:c>
      <x:c r="J764" s="6" t="str">
        <x:v>NOT_EXECUTED_BY_INVENTORY. SOURCE_LITERAL_OR_TRANSITIVE_HELPER_UNION</x:v>
      </x:c>
    </x:row>
    <x:row r="765" ht="42" customHeight="1">
      <x:c r="A765" s="15" t="str">
        <x:v>API-561</x:v>
      </x:c>
      <x:c r="B765" s="13" t="str">
        <x:v>GET</x:v>
      </x:c>
      <x:c r="C765" s="13" t="str">
        <x:v>/api/v1/portfolio-reviews/{review_session_id}/gate-status</x:v>
      </x:c>
      <x:c r="D765" s="13" t="str">
        <x:v>READ-ONLY SHARED CONTEXT</x:v>
      </x:c>
      <x:c r="E765" s="13" t="str">
        <x:v>portfolio_review</x:v>
      </x:c>
      <x:c r="F765" s="13" t="str">
        <x:v>gate status</x:v>
      </x:c>
      <x:c r="G765" s="13" t="str">
        <x:v>portfolio_review.read</x:v>
      </x:c>
      <x:c r="H765" s="13" t="str">
        <x:v>LIVE_ROUTER_REGISTERED</x:v>
      </x:c>
      <x:c r="I765" s="13" t="str">
        <x:v>frontend/src/features/portfolio-review/api.ts</x:v>
      </x:c>
      <x:c r="J765" s="13" t="str">
        <x:v>NOT_EXECUTED_BY_INVENTORY. SOURCE_LITERAL_OR_TRANSITIVE_HELPER_UNION</x:v>
      </x:c>
    </x:row>
    <x:row r="766" ht="42" customHeight="1">
      <x:c r="A766" s="14" t="str">
        <x:v>API-562</x:v>
      </x:c>
      <x:c r="B766" s="6" t="str">
        <x:v>GET</x:v>
      </x:c>
      <x:c r="C766" s="6" t="str">
        <x:v>/api/v1/portfolio-reviews/{review_session_id}/history</x:v>
      </x:c>
      <x:c r="D766" s="6" t="str">
        <x:v>READ-ONLY SHARED CONTEXT</x:v>
      </x:c>
      <x:c r="E766" s="6" t="str">
        <x:v>portfolio_review</x:v>
      </x:c>
      <x:c r="F766" s="6" t="str">
        <x:v>review history</x:v>
      </x:c>
      <x:c r="G766" s="6" t="str">
        <x:v>portfolio_review.read</x:v>
      </x:c>
      <x:c r="H766" s="6" t="str">
        <x:v>LIVE_ROUTER_REGISTERED</x:v>
      </x:c>
      <x:c r="I766" s="6" t="str">
        <x:v>frontend/src/features/portfolio-review/api.ts</x:v>
      </x:c>
      <x:c r="J766" s="6" t="str">
        <x:v>NOT_EXECUTED_BY_INVENTORY. SOURCE_LITERAL_OR_TRANSITIVE_HELPER_UNION</x:v>
      </x:c>
    </x:row>
    <x:row r="767" ht="42" customHeight="1">
      <x:c r="A767" s="15" t="str">
        <x:v>API-563</x:v>
      </x:c>
      <x:c r="B767" s="13" t="str">
        <x:v>POST</x:v>
      </x:c>
      <x:c r="C767" s="13" t="str">
        <x:v>/api/v1/portfolio-reviews/{review_session_id}/prepare</x:v>
      </x:c>
      <x:c r="D767" s="13" t="str">
        <x:v>USER MODE</x:v>
      </x:c>
      <x:c r="E767" s="13" t="str">
        <x:v>portfolio_review</x:v>
      </x:c>
      <x:c r="F767" s="13" t="str">
        <x:v>prepare review</x:v>
      </x:c>
      <x:c r="G767" s="13" t="str">
        <x:v>portfolio_review.prepare</x:v>
      </x:c>
      <x:c r="H767" s="13" t="str">
        <x:v>LIVE_ROUTER_REGISTERED</x:v>
      </x:c>
      <x:c r="I767" s="13" t="str">
        <x:v>frontend/src/features/portfolio-review/api.ts</x:v>
      </x:c>
      <x:c r="J767" s="13" t="str">
        <x:v>NOT_EXECUTED_BY_INVENTORY. SOURCE_LITERAL_OR_TRANSITIVE_HELPER_UNION</x:v>
      </x:c>
    </x:row>
    <x:row r="768" ht="42" customHeight="1">
      <x:c r="A768" s="14" t="str">
        <x:v>API-564</x:v>
      </x:c>
      <x:c r="B768" s="6" t="str">
        <x:v>GET</x:v>
      </x:c>
      <x:c r="C768" s="6" t="str">
        <x:v>/api/v1/portfolio-reviews/{review_session_id}/project-matrix</x:v>
      </x:c>
      <x:c r="D768" s="6" t="str">
        <x:v>READ-ONLY SHARED CONTEXT</x:v>
      </x:c>
      <x:c r="E768" s="6" t="str">
        <x:v>portfolio_review</x:v>
      </x:c>
      <x:c r="F768" s="6" t="str">
        <x:v>project matrix</x:v>
      </x:c>
      <x:c r="G768" s="6" t="str">
        <x:v>portfolio_review.read</x:v>
      </x:c>
      <x:c r="H768" s="6" t="str">
        <x:v>LIVE_ROUTER_REGISTERED</x:v>
      </x:c>
      <x:c r="I768" s="6" t="str">
        <x:v>NO_DIRECT_LITERAL_MATCH_NOT_PROOF_UNUSED</x:v>
      </x:c>
      <x:c r="J768" s="6" t="str">
        <x:v>NOT_EXECUTED_BY_INVENTORY. SOURCE_LITERAL_OR_TRANSITIVE_HELPER_UNION</x:v>
      </x:c>
    </x:row>
    <x:row r="769" ht="42" customHeight="1">
      <x:c r="A769" s="15" t="str">
        <x:v>API-565</x:v>
      </x:c>
      <x:c r="B769" s="13" t="str">
        <x:v>POST</x:v>
      </x:c>
      <x:c r="C769" s="13" t="str">
        <x:v>/api/v1/portfolio-reviews/{review_session_id}/return</x:v>
      </x:c>
      <x:c r="D769" s="13" t="str">
        <x:v>USER MODE</x:v>
      </x:c>
      <x:c r="E769" s="13" t="str">
        <x:v>portfolio_review</x:v>
      </x:c>
      <x:c r="F769" s="13" t="str">
        <x:v>transition review</x:v>
      </x:c>
      <x:c r="G769" s="13" t="str">
        <x:v>portfolio_review.conduct</x:v>
      </x:c>
      <x:c r="H769" s="13" t="str">
        <x:v>LIVE_ROUTER_REGISTERED</x:v>
      </x:c>
      <x:c r="I769" s="13" t="str">
        <x:v>NO_DIRECT_LITERAL_MATCH_NOT_PROOF_UNUSED</x:v>
      </x:c>
      <x:c r="J769" s="13" t="str">
        <x:v>NOT_EXECUTED_BY_INVENTORY. SOURCE_LITERAL_OR_TRANSITIVE_HELPER_UNION</x:v>
      </x:c>
    </x:row>
    <x:row r="770" ht="42" customHeight="1">
      <x:c r="A770" s="14" t="str">
        <x:v>API-566</x:v>
      </x:c>
      <x:c r="B770" s="6" t="str">
        <x:v>POST</x:v>
      </x:c>
      <x:c r="C770" s="6" t="str">
        <x:v>/api/v1/portfolio-reviews/{review_session_id}/snapshot-preview</x:v>
      </x:c>
      <x:c r="D770" s="6" t="str">
        <x:v>USER MODE</x:v>
      </x:c>
      <x:c r="E770" s="6" t="str">
        <x:v>portfolio_review</x:v>
      </x:c>
      <x:c r="F770" s="6" t="str">
        <x:v>snapshot preview</x:v>
      </x:c>
      <x:c r="G770" s="6" t="str">
        <x:v>portfolio_review.freeze_snapshot</x:v>
      </x:c>
      <x:c r="H770" s="6" t="str">
        <x:v>LIVE_ROUTER_REGISTERED</x:v>
      </x:c>
      <x:c r="I770" s="6" t="str">
        <x:v>frontend/src/features/portfolio-review/api.ts</x:v>
      </x:c>
      <x:c r="J770" s="6" t="str">
        <x:v>NOT_EXECUTED_BY_INVENTORY. SOURCE_LITERAL_OR_TRANSITIVE_HELPER_UNION</x:v>
      </x:c>
    </x:row>
    <x:row r="771" ht="42" customHeight="1">
      <x:c r="A771" s="15" t="str">
        <x:v>API-567</x:v>
      </x:c>
      <x:c r="B771" s="13" t="str">
        <x:v>POST</x:v>
      </x:c>
      <x:c r="C771" s="13" t="str">
        <x:v>/api/v1/portfolio-reviews/{review_session_id}/start-review</x:v>
      </x:c>
      <x:c r="D771" s="13" t="str">
        <x:v>USER MODE</x:v>
      </x:c>
      <x:c r="E771" s="13" t="str">
        <x:v>portfolio_review</x:v>
      </x:c>
      <x:c r="F771" s="13" t="str">
        <x:v>start review</x:v>
      </x:c>
      <x:c r="G771" s="13" t="str">
        <x:v>portfolio_review.conduct</x:v>
      </x:c>
      <x:c r="H771" s="13" t="str">
        <x:v>LIVE_ROUTER_REGISTERED</x:v>
      </x:c>
      <x:c r="I771" s="13" t="str">
        <x:v>frontend/src/features/portfolio-review/api.ts</x:v>
      </x:c>
      <x:c r="J771" s="13" t="str">
        <x:v>NOT_EXECUTED_BY_INVENTORY. SOURCE_LITERAL_OR_TRANSITIVE_HELPER_UNION</x:v>
      </x:c>
    </x:row>
    <x:row r="772" ht="42" customHeight="1">
      <x:c r="A772" s="14" t="str">
        <x:v>API-568</x:v>
      </x:c>
      <x:c r="B772" s="6" t="str">
        <x:v>POST</x:v>
      </x:c>
      <x:c r="C772" s="6" t="str">
        <x:v>/api/v1/portfolio-reviews/{review_session_id}/supersede</x:v>
      </x:c>
      <x:c r="D772" s="6" t="str">
        <x:v>USER MODE</x:v>
      </x:c>
      <x:c r="E772" s="6" t="str">
        <x:v>portfolio_review</x:v>
      </x:c>
      <x:c r="F772" s="6" t="str">
        <x:v>transition review</x:v>
      </x:c>
      <x:c r="G772" s="6" t="str">
        <x:v>portfolio_review.conduct</x:v>
      </x:c>
      <x:c r="H772" s="6" t="str">
        <x:v>LIVE_ROUTER_REGISTERED</x:v>
      </x:c>
      <x:c r="I772" s="6" t="str">
        <x:v>NO_DIRECT_LITERAL_MATCH_NOT_PROOF_UNUSED</x:v>
      </x:c>
      <x:c r="J772" s="6" t="str">
        <x:v>NOT_EXECUTED_BY_INVENTORY. SOURCE_LITERAL_OR_TRANSITIVE_HELPER_UNION</x:v>
      </x:c>
    </x:row>
    <x:row r="773" ht="42" customHeight="1">
      <x:c r="A773" s="15" t="str">
        <x:v>API-569</x:v>
      </x:c>
      <x:c r="B773" s="13" t="str">
        <x:v>GET</x:v>
      </x:c>
      <x:c r="C773" s="13" t="str">
        <x:v>/api/v1/post-fid-governance</x:v>
      </x:c>
      <x:c r="D773" s="13" t="str">
        <x:v>READ-ONLY SHARED CONTEXT</x:v>
      </x:c>
      <x:c r="E773" s="13" t="str">
        <x:v>post_fid_governance</x:v>
      </x:c>
      <x:c r="F773" s="13" t="str">
        <x:v>queue</x:v>
      </x:c>
      <x:c r="G773" s="13" t="str">
        <x:v>post_fid_governance.read</x:v>
      </x:c>
      <x:c r="H773" s="13" t="str">
        <x:v>LIVE_ROUTER_REGISTERED</x:v>
      </x:c>
      <x:c r="I773" s="13" t="str">
        <x:v>frontend/src/features/post-fid-governance/api.ts</x:v>
      </x:c>
      <x:c r="J773" s="13" t="str">
        <x:v>NOT_EXECUTED_BY_INVENTORY. SOURCE_LITERAL_OR_TRANSITIVE_HELPER_UNION</x:v>
      </x:c>
    </x:row>
    <x:row r="774" ht="42" customHeight="1">
      <x:c r="A774" s="14" t="str">
        <x:v>API-570</x:v>
      </x:c>
      <x:c r="B774" s="6" t="str">
        <x:v>GET</x:v>
      </x:c>
      <x:c r="C774" s="6" t="str">
        <x:v>/api/v1/post-fid-governance/admin/configurations</x:v>
      </x:c>
      <x:c r="D774" s="6" t="str">
        <x:v>ADMIN MODE</x:v>
      </x:c>
      <x:c r="E774" s="6" t="str">
        <x:v>post_fid_governance</x:v>
      </x:c>
      <x:c r="F774" s="6" t="str">
        <x:v>configurations</x:v>
      </x:c>
      <x:c r="G774" s="6" t="str">
        <x:v>post_fid_governance.admin.configure</x:v>
      </x:c>
      <x:c r="H774" s="6" t="str">
        <x:v>LIVE_ROUTER_REGISTERED</x:v>
      </x:c>
      <x:c r="I774" s="6" t="str">
        <x:v>frontend/src/features/post-fid-governance/api.ts</x:v>
      </x:c>
      <x:c r="J774" s="6" t="str">
        <x:v>NOT_EXECUTED_BY_INVENTORY. SOURCE_LITERAL_OR_TRANSITIVE_HELPER_UNION</x:v>
      </x:c>
    </x:row>
    <x:row r="775" ht="42" customHeight="1">
      <x:c r="A775" s="15" t="str">
        <x:v>API-571</x:v>
      </x:c>
      <x:c r="B775" s="13" t="str">
        <x:v>POST</x:v>
      </x:c>
      <x:c r="C775" s="13" t="str">
        <x:v>/api/v1/post-fid-governance/admin/configurations/preview</x:v>
      </x:c>
      <x:c r="D775" s="13" t="str">
        <x:v>ADMIN MODE</x:v>
      </x:c>
      <x:c r="E775" s="13" t="str">
        <x:v>post_fid_governance</x:v>
      </x:c>
      <x:c r="F775" s="13" t="str">
        <x:v>configuration preview</x:v>
      </x:c>
      <x:c r="G775" s="13" t="str">
        <x:v>post_fid_governance.admin.configure</x:v>
      </x:c>
      <x:c r="H775" s="13" t="str">
        <x:v>LIVE_ROUTER_REGISTERED</x:v>
      </x:c>
      <x:c r="I775" s="13" t="str">
        <x:v>frontend/src/features/post-fid-governance/api.ts</x:v>
      </x:c>
      <x:c r="J775" s="13" t="str">
        <x:v>NOT_EXECUTED_BY_INVENTORY. SOURCE_LITERAL_OR_TRANSITIVE_HELPER_UNION</x:v>
      </x:c>
    </x:row>
    <x:row r="776" ht="42" customHeight="1">
      <x:c r="A776" s="14" t="str">
        <x:v>API-572</x:v>
      </x:c>
      <x:c r="B776" s="6" t="str">
        <x:v>PUT</x:v>
      </x:c>
      <x:c r="C776" s="6" t="str">
        <x:v>/api/v1/post-fid-governance/admin/configurations/{configuration_id}</x:v>
      </x:c>
      <x:c r="D776" s="6" t="str">
        <x:v>ADMIN MODE</x:v>
      </x:c>
      <x:c r="E776" s="6" t="str">
        <x:v>post_fid_governance</x:v>
      </x:c>
      <x:c r="F776" s="6" t="str">
        <x:v>update configuration</x:v>
      </x:c>
      <x:c r="G776" s="6" t="str">
        <x:v>post_fid_governance.admin.configure</x:v>
      </x:c>
      <x:c r="H776" s="6" t="str">
        <x:v>LIVE_ROUTER_REGISTERED</x:v>
      </x:c>
      <x:c r="I776" s="6" t="str">
        <x:v>frontend/src/features/post-fid-governance/api.ts</x:v>
      </x:c>
      <x:c r="J776" s="6" t="str">
        <x:v>NOT_EXECUTED_BY_INVENTORY. SOURCE_LITERAL_OR_TRANSITIVE_HELPER_UNION</x:v>
      </x:c>
    </x:row>
    <x:row r="777" ht="42" customHeight="1">
      <x:c r="A777" s="15" t="str">
        <x:v>API-573</x:v>
      </x:c>
      <x:c r="B777" s="13" t="str">
        <x:v>POST</x:v>
      </x:c>
      <x:c r="C777" s="13" t="str">
        <x:v>/api/v1/post-fid-governance/admin/configurations/{configuration_id}/clone</x:v>
      </x:c>
      <x:c r="D777" s="13" t="str">
        <x:v>ADMIN MODE</x:v>
      </x:c>
      <x:c r="E777" s="13" t="str">
        <x:v>post_fid_governance</x:v>
      </x:c>
      <x:c r="F777" s="13" t="str">
        <x:v>clone configuration</x:v>
      </x:c>
      <x:c r="G777" s="13" t="str">
        <x:v>post_fid_governance.admin.configure</x:v>
      </x:c>
      <x:c r="H777" s="13" t="str">
        <x:v>LIVE_ROUTER_REGISTERED</x:v>
      </x:c>
      <x:c r="I777" s="13" t="str">
        <x:v>frontend/src/features/post-fid-governance/api.ts</x:v>
      </x:c>
      <x:c r="J777" s="13" t="str">
        <x:v>NOT_EXECUTED_BY_INVENTORY. SOURCE_LITERAL_OR_TRANSITIVE_HELPER_UNION</x:v>
      </x:c>
    </x:row>
    <x:row r="778" ht="42" customHeight="1">
      <x:c r="A778" s="14" t="str">
        <x:v>API-574</x:v>
      </x:c>
      <x:c r="B778" s="6" t="str">
        <x:v>POST</x:v>
      </x:c>
      <x:c r="C778" s="6" t="str">
        <x:v>/api/v1/post-fid-governance/admin/configurations/{configuration_id}/publish</x:v>
      </x:c>
      <x:c r="D778" s="6" t="str">
        <x:v>ADMIN MODE</x:v>
      </x:c>
      <x:c r="E778" s="6" t="str">
        <x:v>post_fid_governance</x:v>
      </x:c>
      <x:c r="F778" s="6" t="str">
        <x:v>publish configuration</x:v>
      </x:c>
      <x:c r="G778" s="6" t="str">
        <x:v>post_fid_governance.admin.publish</x:v>
      </x:c>
      <x:c r="H778" s="6" t="str">
        <x:v>LIVE_ROUTER_REGISTERED</x:v>
      </x:c>
      <x:c r="I778" s="6" t="str">
        <x:v>frontend/src/features/post-fid-governance/api.ts</x:v>
      </x:c>
      <x:c r="J778" s="6" t="str">
        <x:v>NOT_EXECUTED_BY_INVENTORY. SOURCE_LITERAL_OR_TRANSITIVE_HELPER_UNION</x:v>
      </x:c>
    </x:row>
    <x:row r="779" ht="42" customHeight="1">
      <x:c r="A779" s="15" t="str">
        <x:v>API-575</x:v>
      </x:c>
      <x:c r="B779" s="13" t="str">
        <x:v>GET</x:v>
      </x:c>
      <x:c r="C779" s="13" t="str">
        <x:v>/api/v1/post-fid-governance/{decision_id}</x:v>
      </x:c>
      <x:c r="D779" s="13" t="str">
        <x:v>READ-ONLY SHARED CONTEXT</x:v>
      </x:c>
      <x:c r="E779" s="13" t="str">
        <x:v>post_fid_governance</x:v>
      </x:c>
      <x:c r="F779" s="13" t="str">
        <x:v>decision</x:v>
      </x:c>
      <x:c r="G779" s="13" t="str">
        <x:v>post_fid_governance.read</x:v>
      </x:c>
      <x:c r="H779" s="13" t="str">
        <x:v>LIVE_ROUTER_REGISTERED</x:v>
      </x:c>
      <x:c r="I779" s="13" t="str">
        <x:v>frontend/src/features/post-fid-governance/api.ts</x:v>
      </x:c>
      <x:c r="J779" s="13" t="str">
        <x:v>NOT_EXECUTED_BY_INVENTORY. SOURCE_LITERAL_OR_TRANSITIVE_HELPER_UNION</x:v>
      </x:c>
    </x:row>
    <x:row r="780" ht="42" customHeight="1">
      <x:c r="A780" s="14" t="str">
        <x:v>API-576</x:v>
      </x:c>
      <x:c r="B780" s="6" t="str">
        <x:v>POST</x:v>
      </x:c>
      <x:c r="C780" s="6" t="str">
        <x:v>/api/v1/post-fid-governance/{decision_id}/evaluate</x:v>
      </x:c>
      <x:c r="D780" s="6" t="str">
        <x:v>USER MODE</x:v>
      </x:c>
      <x:c r="E780" s="6" t="str">
        <x:v>post_fid_governance</x:v>
      </x:c>
      <x:c r="F780" s="6" t="str">
        <x:v>evaluate</x:v>
      </x:c>
      <x:c r="G780" s="6" t="str">
        <x:v>post_fid_governance.evaluate</x:v>
      </x:c>
      <x:c r="H780" s="6" t="str">
        <x:v>LIVE_ROUTER_REGISTERED</x:v>
      </x:c>
      <x:c r="I780" s="6" t="str">
        <x:v>frontend/src/features/post-fid-governance/api.ts</x:v>
      </x:c>
      <x:c r="J780" s="6" t="str">
        <x:v>NOT_EXECUTED_BY_INVENTORY. SOURCE_LITERAL_OR_TRANSITIVE_HELPER_UNION</x:v>
      </x:c>
    </x:row>
    <x:row r="781" ht="42" customHeight="1">
      <x:c r="A781" s="15" t="str">
        <x:v>API-577</x:v>
      </x:c>
      <x:c r="B781" s="13" t="str">
        <x:v>GET</x:v>
      </x:c>
      <x:c r="C781" s="13" t="str">
        <x:v>/api/v1/post-fid-governance/{decision_id}/history</x:v>
      </x:c>
      <x:c r="D781" s="13" t="str">
        <x:v>READ-ONLY SHARED CONTEXT</x:v>
      </x:c>
      <x:c r="E781" s="13" t="str">
        <x:v>post_fid_governance</x:v>
      </x:c>
      <x:c r="F781" s="13" t="str">
        <x:v>history</x:v>
      </x:c>
      <x:c r="G781" s="13" t="str">
        <x:v>post_fid_governance.read</x:v>
      </x:c>
      <x:c r="H781" s="13" t="str">
        <x:v>LIVE_ROUTER_REGISTERED</x:v>
      </x:c>
      <x:c r="I781" s="13" t="str">
        <x:v>frontend/src/features/post-fid-governance/api.ts</x:v>
      </x:c>
      <x:c r="J781" s="13" t="str">
        <x:v>NOT_EXECUTED_BY_INVENTORY. SOURCE_LITERAL_OR_TRANSITIVE_HELPER_UNION</x:v>
      </x:c>
    </x:row>
    <x:row r="782" ht="42" customHeight="1">
      <x:c r="A782" s="14" t="str">
        <x:v>API-578</x:v>
      </x:c>
      <x:c r="B782" s="6" t="str">
        <x:v>GET</x:v>
      </x:c>
      <x:c r="C782" s="6" t="str">
        <x:v>/api/v1/post-fid-governance/{decision_id}/projects</x:v>
      </x:c>
      <x:c r="D782" s="6" t="str">
        <x:v>READ-ONLY SHARED CONTEXT</x:v>
      </x:c>
      <x:c r="E782" s="6" t="str">
        <x:v>post_fid_governance</x:v>
      </x:c>
      <x:c r="F782" s="6" t="str">
        <x:v>projects</x:v>
      </x:c>
      <x:c r="G782" s="6" t="str">
        <x:v>post_fid_governance.read</x:v>
      </x:c>
      <x:c r="H782" s="6" t="str">
        <x:v>LIVE_ROUTER_REGISTERED</x:v>
      </x:c>
      <x:c r="I782" s="6" t="str">
        <x:v>NO_DIRECT_LITERAL_MATCH_NOT_PROOF_UNUSED</x:v>
      </x:c>
      <x:c r="J782" s="6" t="str">
        <x:v>NOT_EXECUTED_BY_INVENTORY. SOURCE_LITERAL_OR_TRANSITIVE_HELPER_UNION</x:v>
      </x:c>
    </x:row>
    <x:row r="783" ht="42" customHeight="1">
      <x:c r="A783" s="15" t="str">
        <x:v>API-579</x:v>
      </x:c>
      <x:c r="B783" s="13" t="str">
        <x:v>GET</x:v>
      </x:c>
      <x:c r="C783" s="13" t="str">
        <x:v>/api/v1/post-fid-governance/{decision_id}/projects/{project_id}/activation-handoff</x:v>
      </x:c>
      <x:c r="D783" s="13" t="str">
        <x:v>READ-ONLY SHARED CONTEXT</x:v>
      </x:c>
      <x:c r="E783" s="13" t="str">
        <x:v>post_fid_governance</x:v>
      </x:c>
      <x:c r="F783" s="13" t="str">
        <x:v>activation handoff</x:v>
      </x:c>
      <x:c r="G783" s="13" t="str">
        <x:v>post_fid_governance.read</x:v>
      </x:c>
      <x:c r="H783" s="13" t="str">
        <x:v>LIVE_ROUTER_REGISTERED</x:v>
      </x:c>
      <x:c r="I783" s="13" t="str">
        <x:v>NO_DIRECT_LITERAL_MATCH_NOT_PROOF_UNUSED</x:v>
      </x:c>
      <x:c r="J783" s="13" t="str">
        <x:v>NOT_EXECUTED_BY_INVENTORY. SOURCE_LITERAL_OR_TRANSITIVE_HELPER_UNION</x:v>
      </x:c>
    </x:row>
    <x:row r="784" ht="42" customHeight="1">
      <x:c r="A784" s="14" t="str">
        <x:v>API-580</x:v>
      </x:c>
      <x:c r="B784" s="6" t="str">
        <x:v>GET</x:v>
      </x:c>
      <x:c r="C784" s="6" t="str">
        <x:v>/api/v1/post-fid-governance/{decision_id}/projects/{project_id}/eligibility</x:v>
      </x:c>
      <x:c r="D784" s="6" t="str">
        <x:v>READ-ONLY SHARED CONTEXT</x:v>
      </x:c>
      <x:c r="E784" s="6" t="str">
        <x:v>post_fid_governance</x:v>
      </x:c>
      <x:c r="F784" s="6" t="str">
        <x:v>eligibility</x:v>
      </x:c>
      <x:c r="G784" s="6" t="str">
        <x:v>post_fid_governance.read</x:v>
      </x:c>
      <x:c r="H784" s="6" t="str">
        <x:v>LIVE_ROUTER_REGISTERED</x:v>
      </x:c>
      <x:c r="I784" s="6" t="str">
        <x:v>NO_DIRECT_LITERAL_MATCH_NOT_PROOF_UNUSED</x:v>
      </x:c>
      <x:c r="J784" s="6" t="str">
        <x:v>NOT_EXECUTED_BY_INVENTORY. SOURCE_LITERAL_OR_TRANSITIVE_HELPER_UNION</x:v>
      </x:c>
    </x:row>
    <x:row r="785" ht="42" customHeight="1">
      <x:c r="A785" s="15" t="str">
        <x:v>API-581</x:v>
      </x:c>
      <x:c r="B785" s="13" t="str">
        <x:v>GET</x:v>
      </x:c>
      <x:c r="C785" s="13" t="str">
        <x:v>/api/v1/post-fid-governance/{decision_id}/projects/{project_id}/initialization-handoff</x:v>
      </x:c>
      <x:c r="D785" s="13" t="str">
        <x:v>READ-ONLY SHARED CONTEXT</x:v>
      </x:c>
      <x:c r="E785" s="13" t="str">
        <x:v>post_fid_governance</x:v>
      </x:c>
      <x:c r="F785" s="13" t="str">
        <x:v>initialization handoff</x:v>
      </x:c>
      <x:c r="G785" s="13" t="str">
        <x:v>post_fid_governance.read</x:v>
      </x:c>
      <x:c r="H785" s="13" t="str">
        <x:v>LIVE_ROUTER_REGISTERED</x:v>
      </x:c>
      <x:c r="I785" s="13" t="str">
        <x:v>NO_DIRECT_LITERAL_MATCH_NOT_PROOF_UNUSED</x:v>
      </x:c>
      <x:c r="J785" s="13" t="str">
        <x:v>NOT_EXECUTED_BY_INVENTORY. SOURCE_LITERAL_OR_TRANSITIVE_HELPER_UNION</x:v>
      </x:c>
    </x:row>
    <x:row r="786" ht="42" customHeight="1">
      <x:c r="A786" s="14" t="str">
        <x:v>API-582</x:v>
      </x:c>
      <x:c r="B786" s="6" t="str">
        <x:v>POST</x:v>
      </x:c>
      <x:c r="C786" s="6" t="str">
        <x:v>/api/v1/post-fid-governance/{decision_id}/refresh</x:v>
      </x:c>
      <x:c r="D786" s="6" t="str">
        <x:v>USER MODE</x:v>
      </x:c>
      <x:c r="E786" s="6" t="str">
        <x:v>post_fid_governance</x:v>
      </x:c>
      <x:c r="F786" s="6" t="str">
        <x:v>refresh</x:v>
      </x:c>
      <x:c r="G786" s="6" t="str">
        <x:v>post_fid_governance.refresh</x:v>
      </x:c>
      <x:c r="H786" s="6" t="str">
        <x:v>LIVE_ROUTER_REGISTERED</x:v>
      </x:c>
      <x:c r="I786" s="6" t="str">
        <x:v>frontend/src/features/post-fid-governance/api.ts</x:v>
      </x:c>
      <x:c r="J786" s="6" t="str">
        <x:v>NOT_EXECUTED_BY_INVENTORY. SOURCE_LITERAL_OR_TRANSITIVE_HELPER_UNION</x:v>
      </x:c>
    </x:row>
    <x:row r="787" ht="42" customHeight="1">
      <x:c r="A787" s="15" t="str">
        <x:v>API-583</x:v>
      </x:c>
      <x:c r="B787" s="13" t="str">
        <x:v>POST</x:v>
      </x:c>
      <x:c r="C787" s="13" t="str">
        <x:v>/api/v1/post-fid-governance/{decision_id}/refresh/preview</x:v>
      </x:c>
      <x:c r="D787" s="13" t="str">
        <x:v>USER MODE</x:v>
      </x:c>
      <x:c r="E787" s="13" t="str">
        <x:v>post_fid_governance</x:v>
      </x:c>
      <x:c r="F787" s="13" t="str">
        <x:v>refresh preview</x:v>
      </x:c>
      <x:c r="G787" s="13" t="str">
        <x:v>post_fid_governance.refresh</x:v>
      </x:c>
      <x:c r="H787" s="13" t="str">
        <x:v>LIVE_ROUTER_REGISTERED</x:v>
      </x:c>
      <x:c r="I787" s="13" t="str">
        <x:v>frontend/src/features/post-fid-governance/api.ts</x:v>
      </x:c>
      <x:c r="J787" s="13" t="str">
        <x:v>NOT_EXECUTED_BY_INVENTORY. SOURCE_LITERAL_OR_TRANSITIVE_HELPER_UNION</x:v>
      </x:c>
    </x:row>
    <x:row r="788" ht="42" customHeight="1">
      <x:c r="A788" s="14" t="str">
        <x:v>API-584</x:v>
      </x:c>
      <x:c r="B788" s="6" t="str">
        <x:v>GET</x:v>
      </x:c>
      <x:c r="C788" s="6" t="str">
        <x:v>/api/v1/project-creation-requests</x:v>
      </x:c>
      <x:c r="D788" s="6" t="str">
        <x:v>READ-ONLY SHARED CONTEXT</x:v>
      </x:c>
      <x:c r="E788" s="6" t="str">
        <x:v>project_creation</x:v>
      </x:c>
      <x:c r="F788" s="6" t="str">
        <x:v>list requests</x:v>
      </x:c>
      <x:c r="G788" s="6" t="str">
        <x:v>project_creation.request.read</x:v>
      </x:c>
      <x:c r="H788" s="6" t="str">
        <x:v>LIVE_ROUTER_REGISTERED</x:v>
      </x:c>
      <x:c r="I788" s="6" t="str">
        <x:v>frontend/src/features/enterprise-structure/api/index.ts</x:v>
      </x:c>
      <x:c r="J788" s="6" t="str">
        <x:v>NOT_EXECUTED_BY_INVENTORY. SOURCE_LITERAL_OR_TRANSITIVE_HELPER_UNION</x:v>
      </x:c>
    </x:row>
    <x:row r="789" ht="53" customHeight="1">
      <x:c r="A789" s="15" t="str">
        <x:v>API-585</x:v>
      </x:c>
      <x:c r="B789" s="13" t="str">
        <x:v>POST</x:v>
      </x:c>
      <x:c r="C789" s="13" t="str">
        <x:v>/api/v1/project-creation-requests</x:v>
      </x:c>
      <x:c r="D789" s="13" t="str">
        <x:v>USER MODE</x:v>
      </x:c>
      <x:c r="E789" s="13" t="str">
        <x:v>project_creation</x:v>
      </x:c>
      <x:c r="F789" s="13" t="str">
        <x:v>create request</x:v>
      </x:c>
      <x:c r="G789" s="13" t="str">
        <x:v>project_creation.contract_source.create; project_creation.direct.create; project_creation.request.create</x:v>
      </x:c>
      <x:c r="H789" s="13" t="str">
        <x:v>LIVE_ROUTER_REGISTERED</x:v>
      </x:c>
      <x:c r="I789" s="13" t="str">
        <x:v>frontend/src/features/enterprise-structure/api/index.ts</x:v>
      </x:c>
      <x:c r="J789" s="13" t="str">
        <x:v>NOT_EXECUTED_BY_INVENTORY. SOURCE_LITERAL_OR_TRANSITIVE_HELPER_UNION</x:v>
      </x:c>
    </x:row>
    <x:row r="790" ht="42" customHeight="1">
      <x:c r="A790" s="14" t="str">
        <x:v>API-586</x:v>
      </x:c>
      <x:c r="B790" s="6" t="str">
        <x:v>GET</x:v>
      </x:c>
      <x:c r="C790" s="6" t="str">
        <x:v>/api/v1/project-creation-requests/options</x:v>
      </x:c>
      <x:c r="D790" s="6" t="str">
        <x:v>READ-ONLY SHARED CONTEXT</x:v>
      </x:c>
      <x:c r="E790" s="6" t="str">
        <x:v>project_creation</x:v>
      </x:c>
      <x:c r="F790" s="6" t="str">
        <x:v>options</x:v>
      </x:c>
      <x:c r="G790" s="6" t="str">
        <x:v>project_creation.request.create</x:v>
      </x:c>
      <x:c r="H790" s="6" t="str">
        <x:v>LIVE_ROUTER_REGISTERED</x:v>
      </x:c>
      <x:c r="I790" s="6" t="str">
        <x:v>NO_DIRECT_LITERAL_MATCH_NOT_PROOF_UNUSED</x:v>
      </x:c>
      <x:c r="J790" s="6" t="str">
        <x:v>NOT_EXECUTED_BY_INVENTORY. SOURCE_LITERAL_OR_TRANSITIVE_HELPER_UNION</x:v>
      </x:c>
    </x:row>
    <x:row r="791" ht="42" customHeight="1">
      <x:c r="A791" s="15" t="str">
        <x:v>API-587</x:v>
      </x:c>
      <x:c r="B791" s="13" t="str">
        <x:v>GET</x:v>
      </x:c>
      <x:c r="C791" s="13" t="str">
        <x:v>/api/v1/project-creation-requests/{request_id}</x:v>
      </x:c>
      <x:c r="D791" s="13" t="str">
        <x:v>READ-ONLY SHARED CONTEXT</x:v>
      </x:c>
      <x:c r="E791" s="13" t="str">
        <x:v>project_creation</x:v>
      </x:c>
      <x:c r="F791" s="13" t="str">
        <x:v>get request</x:v>
      </x:c>
      <x:c r="G791" s="13" t="str">
        <x:v>project_creation.request.read</x:v>
      </x:c>
      <x:c r="H791" s="13" t="str">
        <x:v>LIVE_ROUTER_REGISTERED</x:v>
      </x:c>
      <x:c r="I791" s="13" t="str">
        <x:v>frontend/src/features/enterprise-structure/api/index.ts</x:v>
      </x:c>
      <x:c r="J791" s="13" t="str">
        <x:v>NOT_EXECUTED_BY_INVENTORY. SOURCE_LITERAL_OR_TRANSITIVE_HELPER_UNION</x:v>
      </x:c>
    </x:row>
    <x:row r="792" ht="42" customHeight="1">
      <x:c r="A792" s="14" t="str">
        <x:v>API-588</x:v>
      </x:c>
      <x:c r="B792" s="6" t="str">
        <x:v>PUT</x:v>
      </x:c>
      <x:c r="C792" s="6" t="str">
        <x:v>/api/v1/project-creation-requests/{request_id}</x:v>
      </x:c>
      <x:c r="D792" s="6" t="str">
        <x:v>USER MODE</x:v>
      </x:c>
      <x:c r="E792" s="6" t="str">
        <x:v>project_creation</x:v>
      </x:c>
      <x:c r="F792" s="6" t="str">
        <x:v>update request</x:v>
      </x:c>
      <x:c r="G792" s="6" t="str">
        <x:v>project_creation.request.edit</x:v>
      </x:c>
      <x:c r="H792" s="6" t="str">
        <x:v>LIVE_ROUTER_REGISTERED</x:v>
      </x:c>
      <x:c r="I792" s="6" t="str">
        <x:v>frontend/src/features/enterprise-structure/api/index.ts</x:v>
      </x:c>
      <x:c r="J792" s="6" t="str">
        <x:v>NOT_EXECUTED_BY_INVENTORY. SOURCE_LITERAL_OR_TRANSITIVE_HELPER_UNION</x:v>
      </x:c>
    </x:row>
    <x:row r="793" ht="42" customHeight="1">
      <x:c r="A793" s="15" t="str">
        <x:v>API-589</x:v>
      </x:c>
      <x:c r="B793" s="13" t="str">
        <x:v>POST</x:v>
      </x:c>
      <x:c r="C793" s="13" t="str">
        <x:v>/api/v1/project-creation-requests/{request_id}/approve</x:v>
      </x:c>
      <x:c r="D793" s="13" t="str">
        <x:v>USER MODE</x:v>
      </x:c>
      <x:c r="E793" s="13" t="str">
        <x:v>project_creation</x:v>
      </x:c>
      <x:c r="F793" s="13" t="str">
        <x:v>approve request</x:v>
      </x:c>
      <x:c r="G793" s="13" t="str">
        <x:v>project_creation.approve</x:v>
      </x:c>
      <x:c r="H793" s="13" t="str">
        <x:v>LIVE_ROUTER_REGISTERED</x:v>
      </x:c>
      <x:c r="I793" s="13" t="str">
        <x:v>NO_DIRECT_LITERAL_MATCH_NOT_PROOF_UNUSED</x:v>
      </x:c>
      <x:c r="J793" s="13" t="str">
        <x:v>NOT_EXECUTED_BY_INVENTORY. SOURCE_LITERAL_OR_TRANSITIVE_HELPER_UNION</x:v>
      </x:c>
    </x:row>
    <x:row r="794" ht="42" customHeight="1">
      <x:c r="A794" s="14" t="str">
        <x:v>API-590</x:v>
      </x:c>
      <x:c r="B794" s="6" t="str">
        <x:v>POST</x:v>
      </x:c>
      <x:c r="C794" s="6" t="str">
        <x:v>/api/v1/project-creation-requests/{request_id}/cancel</x:v>
      </x:c>
      <x:c r="D794" s="6" t="str">
        <x:v>USER MODE</x:v>
      </x:c>
      <x:c r="E794" s="6" t="str">
        <x:v>project_creation</x:v>
      </x:c>
      <x:c r="F794" s="6" t="str">
        <x:v>cancel request</x:v>
      </x:c>
      <x:c r="G794" s="6" t="str">
        <x:v>project_creation.request.submit</x:v>
      </x:c>
      <x:c r="H794" s="6" t="str">
        <x:v>LIVE_ROUTER_REGISTERED</x:v>
      </x:c>
      <x:c r="I794" s="6" t="str">
        <x:v>NO_DIRECT_LITERAL_MATCH_NOT_PROOF_UNUSED</x:v>
      </x:c>
      <x:c r="J794" s="6" t="str">
        <x:v>NOT_EXECUTED_BY_INVENTORY. SOURCE_LITERAL_OR_TRANSITIVE_HELPER_UNION</x:v>
      </x:c>
    </x:row>
    <x:row r="795" ht="42" customHeight="1">
      <x:c r="A795" s="15" t="str">
        <x:v>API-591</x:v>
      </x:c>
      <x:c r="B795" s="13" t="str">
        <x:v>POST</x:v>
      </x:c>
      <x:c r="C795" s="13" t="str">
        <x:v>/api/v1/project-creation-requests/{request_id}/materialize</x:v>
      </x:c>
      <x:c r="D795" s="13" t="str">
        <x:v>USER MODE</x:v>
      </x:c>
      <x:c r="E795" s="13" t="str">
        <x:v>project_creation</x:v>
      </x:c>
      <x:c r="F795" s="13" t="str">
        <x:v>materialize request</x:v>
      </x:c>
      <x:c r="G795" s="13" t="str">
        <x:v>project_creation.materialize</x:v>
      </x:c>
      <x:c r="H795" s="13" t="str">
        <x:v>LIVE_ROUTER_REGISTERED</x:v>
      </x:c>
      <x:c r="I795" s="13" t="str">
        <x:v>frontend/src/features/enterprise-structure/api/index.ts</x:v>
      </x:c>
      <x:c r="J795" s="13" t="str">
        <x:v>NOT_EXECUTED_BY_INVENTORY. SOURCE_LITERAL_OR_TRANSITIVE_HELPER_UNION</x:v>
      </x:c>
    </x:row>
    <x:row r="796" ht="42" customHeight="1">
      <x:c r="A796" s="14" t="str">
        <x:v>API-592</x:v>
      </x:c>
      <x:c r="B796" s="6" t="str">
        <x:v>POST</x:v>
      </x:c>
      <x:c r="C796" s="6" t="str">
        <x:v>/api/v1/project-creation-requests/{request_id}/preview</x:v>
      </x:c>
      <x:c r="D796" s="6" t="str">
        <x:v>USER MODE</x:v>
      </x:c>
      <x:c r="E796" s="6" t="str">
        <x:v>project_creation</x:v>
      </x:c>
      <x:c r="F796" s="6" t="str">
        <x:v>preview request</x:v>
      </x:c>
      <x:c r="G796" s="6" t="str">
        <x:v>project_creation.request.read</x:v>
      </x:c>
      <x:c r="H796" s="6" t="str">
        <x:v>LIVE_ROUTER_REGISTERED</x:v>
      </x:c>
      <x:c r="I796" s="6" t="str">
        <x:v>frontend/src/features/enterprise-structure/api/index.ts</x:v>
      </x:c>
      <x:c r="J796" s="6" t="str">
        <x:v>NOT_EXECUTED_BY_INVENTORY. SOURCE_LITERAL_OR_TRANSITIVE_HELPER_UNION</x:v>
      </x:c>
    </x:row>
    <x:row r="797" ht="42" customHeight="1">
      <x:c r="A797" s="15" t="str">
        <x:v>API-593</x:v>
      </x:c>
      <x:c r="B797" s="13" t="str">
        <x:v>POST</x:v>
      </x:c>
      <x:c r="C797" s="13" t="str">
        <x:v>/api/v1/project-creation-requests/{request_id}/reject</x:v>
      </x:c>
      <x:c r="D797" s="13" t="str">
        <x:v>USER MODE</x:v>
      </x:c>
      <x:c r="E797" s="13" t="str">
        <x:v>project_creation</x:v>
      </x:c>
      <x:c r="F797" s="13" t="str">
        <x:v>reject request</x:v>
      </x:c>
      <x:c r="G797" s="13" t="str">
        <x:v>project_creation.review</x:v>
      </x:c>
      <x:c r="H797" s="13" t="str">
        <x:v>LIVE_ROUTER_REGISTERED</x:v>
      </x:c>
      <x:c r="I797" s="13" t="str">
        <x:v>NO_DIRECT_LITERAL_MATCH_NOT_PROOF_UNUSED</x:v>
      </x:c>
      <x:c r="J797" s="13" t="str">
        <x:v>NOT_EXECUTED_BY_INVENTORY. SOURCE_LITERAL_OR_TRANSITIVE_HELPER_UNION</x:v>
      </x:c>
    </x:row>
    <x:row r="798" ht="42" customHeight="1">
      <x:c r="A798" s="14" t="str">
        <x:v>API-594</x:v>
      </x:c>
      <x:c r="B798" s="6" t="str">
        <x:v>POST</x:v>
      </x:c>
      <x:c r="C798" s="6" t="str">
        <x:v>/api/v1/project-creation-requests/{request_id}/return</x:v>
      </x:c>
      <x:c r="D798" s="6" t="str">
        <x:v>USER MODE</x:v>
      </x:c>
      <x:c r="E798" s="6" t="str">
        <x:v>project_creation</x:v>
      </x:c>
      <x:c r="F798" s="6" t="str">
        <x:v>return request</x:v>
      </x:c>
      <x:c r="G798" s="6" t="str">
        <x:v>project_creation.review</x:v>
      </x:c>
      <x:c r="H798" s="6" t="str">
        <x:v>LIVE_ROUTER_REGISTERED</x:v>
      </x:c>
      <x:c r="I798" s="6" t="str">
        <x:v>NO_DIRECT_LITERAL_MATCH_NOT_PROOF_UNUSED</x:v>
      </x:c>
      <x:c r="J798" s="6" t="str">
        <x:v>NOT_EXECUTED_BY_INVENTORY. SOURCE_LITERAL_OR_TRANSITIVE_HELPER_UNION</x:v>
      </x:c>
    </x:row>
    <x:row r="799" ht="42" customHeight="1">
      <x:c r="A799" s="15" t="str">
        <x:v>API-595</x:v>
      </x:c>
      <x:c r="B799" s="13" t="str">
        <x:v>POST</x:v>
      </x:c>
      <x:c r="C799" s="13" t="str">
        <x:v>/api/v1/project-creation-requests/{request_id}/start-review</x:v>
      </x:c>
      <x:c r="D799" s="13" t="str">
        <x:v>USER MODE</x:v>
      </x:c>
      <x:c r="E799" s="13" t="str">
        <x:v>project_creation</x:v>
      </x:c>
      <x:c r="F799" s="13" t="str">
        <x:v>start review</x:v>
      </x:c>
      <x:c r="G799" s="13" t="str">
        <x:v>project_creation.review</x:v>
      </x:c>
      <x:c r="H799" s="13" t="str">
        <x:v>LIVE_ROUTER_REGISTERED</x:v>
      </x:c>
      <x:c r="I799" s="13" t="str">
        <x:v>NO_DIRECT_LITERAL_MATCH_NOT_PROOF_UNUSED</x:v>
      </x:c>
      <x:c r="J799" s="13" t="str">
        <x:v>NOT_EXECUTED_BY_INVENTORY. SOURCE_LITERAL_OR_TRANSITIVE_HELPER_UNION</x:v>
      </x:c>
    </x:row>
    <x:row r="800" ht="42" customHeight="1">
      <x:c r="A800" s="14" t="str">
        <x:v>API-596</x:v>
      </x:c>
      <x:c r="B800" s="6" t="str">
        <x:v>POST</x:v>
      </x:c>
      <x:c r="C800" s="6" t="str">
        <x:v>/api/v1/project-creation-requests/{request_id}/submit</x:v>
      </x:c>
      <x:c r="D800" s="6" t="str">
        <x:v>USER MODE</x:v>
      </x:c>
      <x:c r="E800" s="6" t="str">
        <x:v>project_creation</x:v>
      </x:c>
      <x:c r="F800" s="6" t="str">
        <x:v>submit request</x:v>
      </x:c>
      <x:c r="G800" s="6" t="str">
        <x:v>project_creation.request.submit</x:v>
      </x:c>
      <x:c r="H800" s="6" t="str">
        <x:v>LIVE_ROUTER_REGISTERED</x:v>
      </x:c>
      <x:c r="I800" s="6" t="str">
        <x:v>NO_DIRECT_LITERAL_MATCH_NOT_PROOF_UNUSED</x:v>
      </x:c>
      <x:c r="J800" s="6" t="str">
        <x:v>NOT_EXECUTED_BY_INVENTORY. SOURCE_LITERAL_OR_TRANSITIVE_HELPER_UNION</x:v>
      </x:c>
    </x:row>
    <x:row r="801" ht="42" customHeight="1">
      <x:c r="A801" s="15" t="str">
        <x:v>API-597</x:v>
      </x:c>
      <x:c r="B801" s="13" t="str">
        <x:v>POST</x:v>
      </x:c>
      <x:c r="C801" s="13" t="str">
        <x:v>/api/v1/project-creation/direct</x:v>
      </x:c>
      <x:c r="D801" s="13" t="str">
        <x:v>USER MODE</x:v>
      </x:c>
      <x:c r="E801" s="13" t="str">
        <x:v>project_creation</x:v>
      </x:c>
      <x:c r="F801" s="13" t="str">
        <x:v>create direct</x:v>
      </x:c>
      <x:c r="G801" s="13" t="str">
        <x:v>project_creation.direct.create</x:v>
      </x:c>
      <x:c r="H801" s="13" t="str">
        <x:v>LIVE_ROUTER_REGISTERED</x:v>
      </x:c>
      <x:c r="I801" s="13" t="str">
        <x:v>frontend/src/features/enterprise-structure/api/index.ts</x:v>
      </x:c>
      <x:c r="J801" s="13" t="str">
        <x:v>NOT_EXECUTED_BY_INVENTORY. SOURCE_LITERAL_OR_TRANSITIVE_HELPER_UNION</x:v>
      </x:c>
    </x:row>
    <x:row r="802" ht="42" customHeight="1">
      <x:c r="A802" s="14" t="str">
        <x:v>API-598</x:v>
      </x:c>
      <x:c r="B802" s="6" t="str">
        <x:v>POST</x:v>
      </x:c>
      <x:c r="C802" s="6" t="str">
        <x:v>/api/v1/project-creation/direct/preview</x:v>
      </x:c>
      <x:c r="D802" s="6" t="str">
        <x:v>USER MODE</x:v>
      </x:c>
      <x:c r="E802" s="6" t="str">
        <x:v>project_creation</x:v>
      </x:c>
      <x:c r="F802" s="6" t="str">
        <x:v>preview direct</x:v>
      </x:c>
      <x:c r="G802" s="6" t="str">
        <x:v>project_creation.direct.create</x:v>
      </x:c>
      <x:c r="H802" s="6" t="str">
        <x:v>LIVE_ROUTER_REGISTERED</x:v>
      </x:c>
      <x:c r="I802" s="6" t="str">
        <x:v>frontend/src/features/enterprise-structure/api/index.ts</x:v>
      </x:c>
      <x:c r="J802" s="6" t="str">
        <x:v>NOT_EXECUTED_BY_INVENTORY. SOURCE_LITERAL_OR_TRANSITIVE_HELPER_UNION</x:v>
      </x:c>
    </x:row>
    <x:row r="803" ht="42" customHeight="1">
      <x:c r="A803" s="15" t="str">
        <x:v>API-599</x:v>
      </x:c>
      <x:c r="B803" s="13" t="str">
        <x:v>POST</x:v>
      </x:c>
      <x:c r="C803" s="13" t="str">
        <x:v>/api/v1/project-creation/from-contract</x:v>
      </x:c>
      <x:c r="D803" s="13" t="str">
        <x:v>USER MODE</x:v>
      </x:c>
      <x:c r="E803" s="13" t="str">
        <x:v>project_creation</x:v>
      </x:c>
      <x:c r="F803" s="13" t="str">
        <x:v>create from contract</x:v>
      </x:c>
      <x:c r="G803" s="13" t="str">
        <x:v>project_creation.contract_source.create</x:v>
      </x:c>
      <x:c r="H803" s="13" t="str">
        <x:v>LIVE_ROUTER_REGISTERED</x:v>
      </x:c>
      <x:c r="I803" s="13" t="str">
        <x:v>frontend/src/features/enterprise-structure/api/index.ts</x:v>
      </x:c>
      <x:c r="J803" s="13" t="str">
        <x:v>NOT_EXECUTED_BY_INVENTORY. SOURCE_LITERAL_OR_TRANSITIVE_HELPER_UNION</x:v>
      </x:c>
    </x:row>
    <x:row r="804" ht="42" customHeight="1">
      <x:c r="A804" s="14" t="str">
        <x:v>API-600</x:v>
      </x:c>
      <x:c r="B804" s="6" t="str">
        <x:v>POST</x:v>
      </x:c>
      <x:c r="C804" s="6" t="str">
        <x:v>/api/v1/project-creation/from-contract/preview</x:v>
      </x:c>
      <x:c r="D804" s="6" t="str">
        <x:v>USER MODE</x:v>
      </x:c>
      <x:c r="E804" s="6" t="str">
        <x:v>project_creation</x:v>
      </x:c>
      <x:c r="F804" s="6" t="str">
        <x:v>preview from contract</x:v>
      </x:c>
      <x:c r="G804" s="6" t="str">
        <x:v>project_creation.contract_source.create</x:v>
      </x:c>
      <x:c r="H804" s="6" t="str">
        <x:v>LIVE_ROUTER_REGISTERED</x:v>
      </x:c>
      <x:c r="I804" s="6" t="str">
        <x:v>frontend/src/features/enterprise-structure/api/index.ts</x:v>
      </x:c>
      <x:c r="J804" s="6" t="str">
        <x:v>NOT_EXECUTED_BY_INVENTORY. SOURCE_LITERAL_OR_TRANSITIVE_HELPER_UNION</x:v>
      </x:c>
    </x:row>
    <x:row r="805" ht="42" customHeight="1">
      <x:c r="A805" s="15" t="str">
        <x:v>API-601</x:v>
      </x:c>
      <x:c r="B805" s="13" t="str">
        <x:v>GET</x:v>
      </x:c>
      <x:c r="C805" s="13" t="str">
        <x:v>/api/v1/project-creation/options</x:v>
      </x:c>
      <x:c r="D805" s="13" t="str">
        <x:v>READ-ONLY SHARED CONTEXT</x:v>
      </x:c>
      <x:c r="E805" s="13" t="str">
        <x:v>project_creation</x:v>
      </x:c>
      <x:c r="F805" s="13" t="str">
        <x:v>generic options</x:v>
      </x:c>
      <x:c r="G805" s="13" t="str">
        <x:v>project_creation.request.create</x:v>
      </x:c>
      <x:c r="H805" s="13" t="str">
        <x:v>LIVE_ROUTER_REGISTERED</x:v>
      </x:c>
      <x:c r="I805" s="13" t="str">
        <x:v>NO_DIRECT_LITERAL_MATCH_NOT_PROOF_UNUSED</x:v>
      </x:c>
      <x:c r="J805" s="13" t="str">
        <x:v>NOT_EXECUTED_BY_INVENTORY. SOURCE_LITERAL_OR_TRANSITIVE_HELPER_UNION</x:v>
      </x:c>
    </x:row>
    <x:row r="806" ht="42" customHeight="1">
      <x:c r="A806" s="14" t="str">
        <x:v>API-602</x:v>
      </x:c>
      <x:c r="B806" s="6" t="str">
        <x:v>GET</x:v>
      </x:c>
      <x:c r="C806" s="6" t="str">
        <x:v>/api/v1/project-workspaces/{workspace_id}/overview</x:v>
      </x:c>
      <x:c r="D806" s="6" t="str">
        <x:v>READ-ONLY SHARED CONTEXT</x:v>
      </x:c>
      <x:c r="E806" s="6" t="str">
        <x:v>project_creation</x:v>
      </x:c>
      <x:c r="F806" s="6" t="str">
        <x:v>project overview</x:v>
      </x:c>
      <x:c r="G806" s="6" t="str">
        <x:v>enterprise_structure.read</x:v>
      </x:c>
      <x:c r="H806" s="6" t="str">
        <x:v>LIVE_ROUTER_REGISTERED</x:v>
      </x:c>
      <x:c r="I806" s="6" t="str">
        <x:v>frontend/src/features/enterprise-structure/api/index.ts</x:v>
      </x:c>
      <x:c r="J806" s="6" t="str">
        <x:v>NOT_EXECUTED_BY_INVENTORY. SOURCE_LITERAL_OR_TRANSITIVE_HELPER_UNION</x:v>
      </x:c>
    </x:row>
    <x:row r="807" ht="42" customHeight="1">
      <x:c r="A807" s="15" t="str">
        <x:v>API-603</x:v>
      </x:c>
      <x:c r="B807" s="13" t="str">
        <x:v>GET</x:v>
      </x:c>
      <x:c r="C807" s="13" t="str">
        <x:v>/api/v1/project-definition</x:v>
      </x:c>
      <x:c r="D807" s="13" t="str">
        <x:v>READ-ONLY SHARED CONTEXT</x:v>
      </x:c>
      <x:c r="E807" s="13" t="str">
        <x:v>project_definition</x:v>
      </x:c>
      <x:c r="F807" s="13" t="str">
        <x:v>overview</x:v>
      </x:c>
      <x:c r="G807" s="13" t="str">
        <x:v>project_definition.read</x:v>
      </x:c>
      <x:c r="H807" s="13" t="str">
        <x:v>LIVE_ROUTER_REGISTERED</x:v>
      </x:c>
      <x:c r="I807" s="13" t="str">
        <x:v>NO_DIRECT_LITERAL_MATCH_NOT_PROOF_UNUSED</x:v>
      </x:c>
      <x:c r="J807" s="13" t="str">
        <x:v>NOT_EXECUTED_BY_INVENTORY. SOURCE_LITERAL_OR_TRANSITIVE_HELPER_UNION</x:v>
      </x:c>
    </x:row>
    <x:row r="808" ht="42" customHeight="1">
      <x:c r="A808" s="14" t="str">
        <x:v>API-604</x:v>
      </x:c>
      <x:c r="B808" s="6" t="str">
        <x:v>PUT</x:v>
      </x:c>
      <x:c r="C808" s="6" t="str">
        <x:v>/api/v1/project-definition-actions/{action_id}</x:v>
      </x:c>
      <x:c r="D808" s="6" t="str">
        <x:v>USER MODE</x:v>
      </x:c>
      <x:c r="E808" s="6" t="str">
        <x:v>project_definition</x:v>
      </x:c>
      <x:c r="F808" s="6" t="str">
        <x:v>update action</x:v>
      </x:c>
      <x:c r="G808" s="6" t="str">
        <x:v>project_definition_action.manage</x:v>
      </x:c>
      <x:c r="H808" s="6" t="str">
        <x:v>LIVE_ROUTER_REGISTERED</x:v>
      </x:c>
      <x:c r="I808" s="6" t="str">
        <x:v>frontend/src/features/project-definition/api.ts</x:v>
      </x:c>
      <x:c r="J808" s="6" t="str">
        <x:v>NOT_EXECUTED_BY_INVENTORY. SOURCE_LITERAL_OR_TRANSITIVE_HELPER_UNION</x:v>
      </x:c>
    </x:row>
    <x:row r="809" ht="42" customHeight="1">
      <x:c r="A809" s="15" t="str">
        <x:v>API-605</x:v>
      </x:c>
      <x:c r="B809" s="13" t="str">
        <x:v>GET</x:v>
      </x:c>
      <x:c r="C809" s="13" t="str">
        <x:v>/api/v1/project-definition-assessments/{assessment_id}</x:v>
      </x:c>
      <x:c r="D809" s="13" t="str">
        <x:v>READ-ONLY SHARED CONTEXT</x:v>
      </x:c>
      <x:c r="E809" s="13" t="str">
        <x:v>project_definition</x:v>
      </x:c>
      <x:c r="F809" s="13" t="str">
        <x:v>assessment</x:v>
      </x:c>
      <x:c r="G809" s="13" t="str">
        <x:v>project_definition.read</x:v>
      </x:c>
      <x:c r="H809" s="13" t="str">
        <x:v>LIVE_ROUTER_REGISTERED</x:v>
      </x:c>
      <x:c r="I809" s="13" t="str">
        <x:v>frontend/src/features/project-definition/api.ts</x:v>
      </x:c>
      <x:c r="J809" s="13" t="str">
        <x:v>NOT_EXECUTED_BY_INVENTORY. SOURCE_LITERAL_OR_TRANSITIVE_HELPER_UNION</x:v>
      </x:c>
    </x:row>
    <x:row r="810" ht="42" customHeight="1">
      <x:c r="A810" s="14" t="str">
        <x:v>API-606</x:v>
      </x:c>
      <x:c r="B810" s="6" t="str">
        <x:v>PUT</x:v>
      </x:c>
      <x:c r="C810" s="6" t="str">
        <x:v>/api/v1/project-definition-assessments/{assessment_id}</x:v>
      </x:c>
      <x:c r="D810" s="6" t="str">
        <x:v>USER MODE</x:v>
      </x:c>
      <x:c r="E810" s="6" t="str">
        <x:v>project_definition</x:v>
      </x:c>
      <x:c r="F810" s="6" t="str">
        <x:v>update assessment</x:v>
      </x:c>
      <x:c r="G810" s="6" t="str">
        <x:v>project_definition_assessment.edit</x:v>
      </x:c>
      <x:c r="H810" s="6" t="str">
        <x:v>LIVE_ROUTER_REGISTERED</x:v>
      </x:c>
      <x:c r="I810" s="6" t="str">
        <x:v>frontend/src/features/project-definition/api.ts</x:v>
      </x:c>
      <x:c r="J810" s="6" t="str">
        <x:v>NOT_EXECUTED_BY_INVENTORY. SOURCE_LITERAL_OR_TRANSITIVE_HELPER_UNION</x:v>
      </x:c>
    </x:row>
    <x:row r="811" ht="42" customHeight="1">
      <x:c r="A811" s="15" t="str">
        <x:v>API-607</x:v>
      </x:c>
      <x:c r="B811" s="13" t="str">
        <x:v>POST</x:v>
      </x:c>
      <x:c r="C811" s="13" t="str">
        <x:v>/api/v1/project-definition-assessments/{assessment_id}/complete</x:v>
      </x:c>
      <x:c r="D811" s="13" t="str">
        <x:v>USER MODE</x:v>
      </x:c>
      <x:c r="E811" s="13" t="str">
        <x:v>project_definition</x:v>
      </x:c>
      <x:c r="F811" s="13" t="str">
        <x:v>complete assessment</x:v>
      </x:c>
      <x:c r="G811" s="13" t="str">
        <x:v>project_definition_assessment.complete</x:v>
      </x:c>
      <x:c r="H811" s="13" t="str">
        <x:v>LIVE_ROUTER_REGISTERED</x:v>
      </x:c>
      <x:c r="I811" s="13" t="str">
        <x:v>frontend/src/features/project-definition/api.ts</x:v>
      </x:c>
      <x:c r="J811" s="13" t="str">
        <x:v>NOT_EXECUTED_BY_INVENTORY. SOURCE_LITERAL_OR_TRANSITIVE_HELPER_UNION</x:v>
      </x:c>
    </x:row>
    <x:row r="812" ht="42" customHeight="1">
      <x:c r="A812" s="14" t="str">
        <x:v>API-608</x:v>
      </x:c>
      <x:c r="B812" s="6" t="str">
        <x:v>POST</x:v>
      </x:c>
      <x:c r="C812" s="6" t="str">
        <x:v>/api/v1/project-definition-assessments/{assessment_id}/reevaluate</x:v>
      </x:c>
      <x:c r="D812" s="6" t="str">
        <x:v>USER MODE</x:v>
      </x:c>
      <x:c r="E812" s="6" t="str">
        <x:v>project_definition</x:v>
      </x:c>
      <x:c r="F812" s="6" t="str">
        <x:v>reevaluate</x:v>
      </x:c>
      <x:c r="G812" s="6" t="str">
        <x:v>project_definition_assessment.reevaluate</x:v>
      </x:c>
      <x:c r="H812" s="6" t="str">
        <x:v>LIVE_ROUTER_REGISTERED</x:v>
      </x:c>
      <x:c r="I812" s="6" t="str">
        <x:v>frontend/src/features/project-definition/api.ts</x:v>
      </x:c>
      <x:c r="J812" s="6" t="str">
        <x:v>NOT_EXECUTED_BY_INVENTORY. SOURCE_LITERAL_OR_TRANSITIVE_HELPER_UNION</x:v>
      </x:c>
    </x:row>
    <x:row r="813" ht="42" customHeight="1">
      <x:c r="A813" s="15" t="str">
        <x:v>API-609</x:v>
      </x:c>
      <x:c r="B813" s="13" t="str">
        <x:v>GET</x:v>
      </x:c>
      <x:c r="C813" s="13" t="str">
        <x:v>/api/v1/project-definition/admin/configurations</x:v>
      </x:c>
      <x:c r="D813" s="13" t="str">
        <x:v>ADMIN MODE</x:v>
      </x:c>
      <x:c r="E813" s="13" t="str">
        <x:v>project_definition</x:v>
      </x:c>
      <x:c r="F813" s="13" t="str">
        <x:v>configurations</x:v>
      </x:c>
      <x:c r="G813" s="13" t="str">
        <x:v>project_definition.admin.configure</x:v>
      </x:c>
      <x:c r="H813" s="13" t="str">
        <x:v>LIVE_ROUTER_REGISTERED</x:v>
      </x:c>
      <x:c r="I813" s="13" t="str">
        <x:v>frontend/src/features/project-definition/api.ts</x:v>
      </x:c>
      <x:c r="J813" s="13" t="str">
        <x:v>NOT_EXECUTED_BY_INVENTORY. SOURCE_LITERAL_OR_TRANSITIVE_HELPER_UNION</x:v>
      </x:c>
    </x:row>
    <x:row r="814" ht="42" customHeight="1">
      <x:c r="A814" s="14" t="str">
        <x:v>API-610</x:v>
      </x:c>
      <x:c r="B814" s="6" t="str">
        <x:v>POST</x:v>
      </x:c>
      <x:c r="C814" s="6" t="str">
        <x:v>/api/v1/project-definition/admin/configurations/preview</x:v>
      </x:c>
      <x:c r="D814" s="6" t="str">
        <x:v>ADMIN MODE</x:v>
      </x:c>
      <x:c r="E814" s="6" t="str">
        <x:v>project_definition</x:v>
      </x:c>
      <x:c r="F814" s="6" t="str">
        <x:v>configuration preview</x:v>
      </x:c>
      <x:c r="G814" s="6" t="str">
        <x:v>project_definition.admin.configure</x:v>
      </x:c>
      <x:c r="H814" s="6" t="str">
        <x:v>LIVE_ROUTER_REGISTERED</x:v>
      </x:c>
      <x:c r="I814" s="6" t="str">
        <x:v>frontend/src/features/project-definition/api.ts</x:v>
      </x:c>
      <x:c r="J814" s="6" t="str">
        <x:v>NOT_EXECUTED_BY_INVENTORY. SOURCE_LITERAL_OR_TRANSITIVE_HELPER_UNION</x:v>
      </x:c>
    </x:row>
    <x:row r="815" ht="42" customHeight="1">
      <x:c r="A815" s="15" t="str">
        <x:v>API-611</x:v>
      </x:c>
      <x:c r="B815" s="13" t="str">
        <x:v>PUT</x:v>
      </x:c>
      <x:c r="C815" s="13" t="str">
        <x:v>/api/v1/project-definition/admin/configurations/{configuration_id}</x:v>
      </x:c>
      <x:c r="D815" s="13" t="str">
        <x:v>ADMIN MODE</x:v>
      </x:c>
      <x:c r="E815" s="13" t="str">
        <x:v>project_definition</x:v>
      </x:c>
      <x:c r="F815" s="13" t="str">
        <x:v>update configuration</x:v>
      </x:c>
      <x:c r="G815" s="13" t="str">
        <x:v>project_definition.admin.configure</x:v>
      </x:c>
      <x:c r="H815" s="13" t="str">
        <x:v>LIVE_ROUTER_REGISTERED</x:v>
      </x:c>
      <x:c r="I815" s="13" t="str">
        <x:v>frontend/src/features/project-definition/api.ts</x:v>
      </x:c>
      <x:c r="J815" s="13" t="str">
        <x:v>NOT_EXECUTED_BY_INVENTORY. SOURCE_LITERAL_OR_TRANSITIVE_HELPER_UNION</x:v>
      </x:c>
    </x:row>
    <x:row r="816" ht="42" customHeight="1">
      <x:c r="A816" s="14" t="str">
        <x:v>API-612</x:v>
      </x:c>
      <x:c r="B816" s="6" t="str">
        <x:v>POST</x:v>
      </x:c>
      <x:c r="C816" s="6" t="str">
        <x:v>/api/v1/project-definition/admin/configurations/{configuration_id}/clone</x:v>
      </x:c>
      <x:c r="D816" s="6" t="str">
        <x:v>ADMIN MODE</x:v>
      </x:c>
      <x:c r="E816" s="6" t="str">
        <x:v>project_definition</x:v>
      </x:c>
      <x:c r="F816" s="6" t="str">
        <x:v>clone configuration</x:v>
      </x:c>
      <x:c r="G816" s="6" t="str">
        <x:v>project_definition.admin.configure</x:v>
      </x:c>
      <x:c r="H816" s="6" t="str">
        <x:v>LIVE_ROUTER_REGISTERED</x:v>
      </x:c>
      <x:c r="I816" s="6" t="str">
        <x:v>frontend/src/features/project-definition/api.ts</x:v>
      </x:c>
      <x:c r="J816" s="6" t="str">
        <x:v>NOT_EXECUTED_BY_INVENTORY. SOURCE_LITERAL_OR_TRANSITIVE_HELPER_UNION</x:v>
      </x:c>
    </x:row>
    <x:row r="817" ht="42" customHeight="1">
      <x:c r="A817" s="15" t="str">
        <x:v>API-613</x:v>
      </x:c>
      <x:c r="B817" s="13" t="str">
        <x:v>POST</x:v>
      </x:c>
      <x:c r="C817" s="13" t="str">
        <x:v>/api/v1/project-definition/admin/configurations/{configuration_id}/publish</x:v>
      </x:c>
      <x:c r="D817" s="13" t="str">
        <x:v>ADMIN MODE</x:v>
      </x:c>
      <x:c r="E817" s="13" t="str">
        <x:v>project_definition</x:v>
      </x:c>
      <x:c r="F817" s="13" t="str">
        <x:v>publish configuration</x:v>
      </x:c>
      <x:c r="G817" s="13" t="str">
        <x:v>project_definition.admin.publish</x:v>
      </x:c>
      <x:c r="H817" s="13" t="str">
        <x:v>LIVE_ROUTER_REGISTERED</x:v>
      </x:c>
      <x:c r="I817" s="13" t="str">
        <x:v>frontend/src/features/project-definition/api.ts</x:v>
      </x:c>
      <x:c r="J817" s="13" t="str">
        <x:v>NOT_EXECUTED_BY_INVENTORY. SOURCE_LITERAL_OR_TRANSITIVE_HELPER_UNION</x:v>
      </x:c>
    </x:row>
    <x:row r="818" ht="42" customHeight="1">
      <x:c r="A818" s="14" t="str">
        <x:v>API-614</x:v>
      </x:c>
      <x:c r="B818" s="6" t="str">
        <x:v>GET</x:v>
      </x:c>
      <x:c r="C818" s="6" t="str">
        <x:v>/api/v1/projects/{project_id}/definition</x:v>
      </x:c>
      <x:c r="D818" s="6" t="str">
        <x:v>READ-ONLY SHARED CONTEXT</x:v>
      </x:c>
      <x:c r="E818" s="6" t="str">
        <x:v>project_definition</x:v>
      </x:c>
      <x:c r="F818" s="6" t="str">
        <x:v>project overview</x:v>
      </x:c>
      <x:c r="G818" s="6" t="str">
        <x:v>project_definition.read</x:v>
      </x:c>
      <x:c r="H818" s="6" t="str">
        <x:v>LIVE_ROUTER_REGISTERED</x:v>
      </x:c>
      <x:c r="I818" s="6" t="str">
        <x:v>NO_DIRECT_LITERAL_MATCH_NOT_PROOF_UNUSED</x:v>
      </x:c>
      <x:c r="J818" s="6" t="str">
        <x:v>NOT_EXECUTED_BY_INVENTORY. SOURCE_LITERAL_OR_TRANSITIVE_HELPER_UNION</x:v>
      </x:c>
    </x:row>
    <x:row r="819" ht="42" customHeight="1">
      <x:c r="A819" s="15" t="str">
        <x:v>API-615</x:v>
      </x:c>
      <x:c r="B819" s="13" t="str">
        <x:v>GET</x:v>
      </x:c>
      <x:c r="C819" s="13" t="str">
        <x:v>/api/v1/projects/{project_id}/definition-actions</x:v>
      </x:c>
      <x:c r="D819" s="13" t="str">
        <x:v>READ-ONLY SHARED CONTEXT</x:v>
      </x:c>
      <x:c r="E819" s="13" t="str">
        <x:v>project_definition</x:v>
      </x:c>
      <x:c r="F819" s="13" t="str">
        <x:v>actions</x:v>
      </x:c>
      <x:c r="G819" s="13" t="str">
        <x:v>project_definition.read</x:v>
      </x:c>
      <x:c r="H819" s="13" t="str">
        <x:v>LIVE_ROUTER_REGISTERED</x:v>
      </x:c>
      <x:c r="I819" s="13" t="str">
        <x:v>frontend/src/features/project-definition/api.ts</x:v>
      </x:c>
      <x:c r="J819" s="13" t="str">
        <x:v>NOT_EXECUTED_BY_INVENTORY. SOURCE_LITERAL_OR_TRANSITIVE_HELPER_UNION</x:v>
      </x:c>
    </x:row>
    <x:row r="820" ht="42" customHeight="1">
      <x:c r="A820" s="14" t="str">
        <x:v>API-616</x:v>
      </x:c>
      <x:c r="B820" s="6" t="str">
        <x:v>POST</x:v>
      </x:c>
      <x:c r="C820" s="6" t="str">
        <x:v>/api/v1/projects/{project_id}/definition-actions</x:v>
      </x:c>
      <x:c r="D820" s="6" t="str">
        <x:v>USER MODE</x:v>
      </x:c>
      <x:c r="E820" s="6" t="str">
        <x:v>project_definition</x:v>
      </x:c>
      <x:c r="F820" s="6" t="str">
        <x:v>create action</x:v>
      </x:c>
      <x:c r="G820" s="6" t="str">
        <x:v>project_definition_action.manage</x:v>
      </x:c>
      <x:c r="H820" s="6" t="str">
        <x:v>LIVE_ROUTER_REGISTERED</x:v>
      </x:c>
      <x:c r="I820" s="6" t="str">
        <x:v>frontend/src/features/project-definition/api.ts</x:v>
      </x:c>
      <x:c r="J820" s="6" t="str">
        <x:v>NOT_EXECUTED_BY_INVENTORY. SOURCE_LITERAL_OR_TRANSITIVE_HELPER_UNION</x:v>
      </x:c>
    </x:row>
    <x:row r="821" ht="42" customHeight="1">
      <x:c r="A821" s="15" t="str">
        <x:v>API-617</x:v>
      </x:c>
      <x:c r="B821" s="13" t="str">
        <x:v>GET</x:v>
      </x:c>
      <x:c r="C821" s="13" t="str">
        <x:v>/api/v1/projects/{project_id}/definition-assessments</x:v>
      </x:c>
      <x:c r="D821" s="13" t="str">
        <x:v>READ-ONLY SHARED CONTEXT</x:v>
      </x:c>
      <x:c r="E821" s="13" t="str">
        <x:v>project_definition</x:v>
      </x:c>
      <x:c r="F821" s="13" t="str">
        <x:v>assessments</x:v>
      </x:c>
      <x:c r="G821" s="13" t="str">
        <x:v>project_definition.read</x:v>
      </x:c>
      <x:c r="H821" s="13" t="str">
        <x:v>LIVE_ROUTER_REGISTERED</x:v>
      </x:c>
      <x:c r="I821" s="13" t="str">
        <x:v>frontend/src/features/project-definition/api.ts</x:v>
      </x:c>
      <x:c r="J821" s="13" t="str">
        <x:v>NOT_EXECUTED_BY_INVENTORY. SOURCE_LITERAL_OR_TRANSITIVE_HELPER_UNION</x:v>
      </x:c>
    </x:row>
    <x:row r="822" ht="42" customHeight="1">
      <x:c r="A822" s="14" t="str">
        <x:v>API-618</x:v>
      </x:c>
      <x:c r="B822" s="6" t="str">
        <x:v>POST</x:v>
      </x:c>
      <x:c r="C822" s="6" t="str">
        <x:v>/api/v1/projects/{project_id}/definition-assessments</x:v>
      </x:c>
      <x:c r="D822" s="6" t="str">
        <x:v>USER MODE</x:v>
      </x:c>
      <x:c r="E822" s="6" t="str">
        <x:v>project_definition</x:v>
      </x:c>
      <x:c r="F822" s="6" t="str">
        <x:v>create assessment</x:v>
      </x:c>
      <x:c r="G822" s="6" t="str">
        <x:v>project_definition_assessment.create</x:v>
      </x:c>
      <x:c r="H822" s="6" t="str">
        <x:v>LIVE_ROUTER_REGISTERED</x:v>
      </x:c>
      <x:c r="I822" s="6" t="str">
        <x:v>frontend/src/features/project-definition/api.ts</x:v>
      </x:c>
      <x:c r="J822" s="6" t="str">
        <x:v>NOT_EXECUTED_BY_INVENTORY. SOURCE_LITERAL_OR_TRANSITIVE_HELPER_UNION</x:v>
      </x:c>
    </x:row>
    <x:row r="823" ht="42" customHeight="1">
      <x:c r="A823" s="15" t="str">
        <x:v>API-619</x:v>
      </x:c>
      <x:c r="B823" s="13" t="str">
        <x:v>GET</x:v>
      </x:c>
      <x:c r="C823" s="13" t="str">
        <x:v>/api/v1/projects/{project_id}/definition-readiness</x:v>
      </x:c>
      <x:c r="D823" s="13" t="str">
        <x:v>READ-ONLY SHARED CONTEXT</x:v>
      </x:c>
      <x:c r="E823" s="13" t="str">
        <x:v>project_definition</x:v>
      </x:c>
      <x:c r="F823" s="13" t="str">
        <x:v>readiness</x:v>
      </x:c>
      <x:c r="G823" s="13" t="str">
        <x:v>project_definition.read</x:v>
      </x:c>
      <x:c r="H823" s="13" t="str">
        <x:v>LIVE_ROUTER_REGISTERED</x:v>
      </x:c>
      <x:c r="I823" s="13" t="str">
        <x:v>NO_DIRECT_LITERAL_MATCH_NOT_PROOF_UNUSED</x:v>
      </x:c>
      <x:c r="J823" s="13" t="str">
        <x:v>NOT_EXECUTED_BY_INVENTORY. SOURCE_LITERAL_OR_TRANSITIVE_HELPER_UNION</x:v>
      </x:c>
    </x:row>
    <x:row r="824" ht="42" customHeight="1">
      <x:c r="A824" s="14" t="str">
        <x:v>API-620</x:v>
      </x:c>
      <x:c r="B824" s="6" t="str">
        <x:v>GET</x:v>
      </x:c>
      <x:c r="C824" s="6" t="str">
        <x:v>/api/v1/projects/{project_id}/definition/investment-gate-evidence</x:v>
      </x:c>
      <x:c r="D824" s="6" t="str">
        <x:v>READ-ONLY SHARED CONTEXT</x:v>
      </x:c>
      <x:c r="E824" s="6" t="str">
        <x:v>project_definition</x:v>
      </x:c>
      <x:c r="F824" s="6" t="str">
        <x:v>investment gate evidence</x:v>
      </x:c>
      <x:c r="G824" s="6" t="str">
        <x:v>project_definition.read</x:v>
      </x:c>
      <x:c r="H824" s="6" t="str">
        <x:v>LIVE_ROUTER_REGISTERED</x:v>
      </x:c>
      <x:c r="I824" s="6" t="str">
        <x:v>frontend/src/features/project-definition/api.ts</x:v>
      </x:c>
      <x:c r="J824" s="6" t="str">
        <x:v>NOT_EXECUTED_BY_INVENTORY. SOURCE_LITERAL_OR_TRANSITIVE_HELPER_UNION</x:v>
      </x:c>
    </x:row>
    <x:row r="825" ht="42" customHeight="1">
      <x:c r="A825" s="15" t="str">
        <x:v>API-621</x:v>
      </x:c>
      <x:c r="B825" s="13" t="str">
        <x:v>POST</x:v>
      </x:c>
      <x:c r="C825" s="13" t="str">
        <x:v>/api/v1/projects/{project_id}/definition/refresh</x:v>
      </x:c>
      <x:c r="D825" s="13" t="str">
        <x:v>USER MODE</x:v>
      </x:c>
      <x:c r="E825" s="13" t="str">
        <x:v>project_definition</x:v>
      </x:c>
      <x:c r="F825" s="13" t="str">
        <x:v>refresh</x:v>
      </x:c>
      <x:c r="G825" s="13" t="str">
        <x:v>project_definition.refresh</x:v>
      </x:c>
      <x:c r="H825" s="13" t="str">
        <x:v>LIVE_ROUTER_REGISTERED</x:v>
      </x:c>
      <x:c r="I825" s="13" t="str">
        <x:v>NO_DIRECT_LITERAL_MATCH_NOT_PROOF_UNUSED</x:v>
      </x:c>
      <x:c r="J825" s="13" t="str">
        <x:v>NOT_EXECUTED_BY_INVENTORY. SOURCE_LITERAL_OR_TRANSITIVE_HELPER_UNION</x:v>
      </x:c>
    </x:row>
    <x:row r="826" ht="42" customHeight="1">
      <x:c r="A826" s="14" t="str">
        <x:v>API-622</x:v>
      </x:c>
      <x:c r="B826" s="6" t="str">
        <x:v>POST</x:v>
      </x:c>
      <x:c r="C826" s="6" t="str">
        <x:v>/api/v1/projects/{project_id}/definition/refresh/preview</x:v>
      </x:c>
      <x:c r="D826" s="6" t="str">
        <x:v>USER MODE</x:v>
      </x:c>
      <x:c r="E826" s="6" t="str">
        <x:v>project_definition</x:v>
      </x:c>
      <x:c r="F826" s="6" t="str">
        <x:v>refresh preview</x:v>
      </x:c>
      <x:c r="G826" s="6" t="str">
        <x:v>project_definition.refresh</x:v>
      </x:c>
      <x:c r="H826" s="6" t="str">
        <x:v>LIVE_ROUTER_REGISTERED</x:v>
      </x:c>
      <x:c r="I826" s="6" t="str">
        <x:v>frontend/src/features/project-definition/api.ts</x:v>
      </x:c>
      <x:c r="J826" s="6" t="str">
        <x:v>NOT_EXECUTED_BY_INVENTORY. SOURCE_LITERAL_OR_TRANSITIVE_HELPER_UNION</x:v>
      </x:c>
    </x:row>
    <x:row r="827" ht="42" customHeight="1">
      <x:c r="A827" s="15" t="str">
        <x:v>API-623</x:v>
      </x:c>
      <x:c r="B827" s="13" t="str">
        <x:v>POST</x:v>
      </x:c>
      <x:c r="C827" s="13" t="str">
        <x:v>/api/v1/projects/{project_id}/fel-stage/complete</x:v>
      </x:c>
      <x:c r="D827" s="13" t="str">
        <x:v>USER MODE</x:v>
      </x:c>
      <x:c r="E827" s="13" t="str">
        <x:v>project_definition</x:v>
      </x:c>
      <x:c r="F827" s="13" t="str">
        <x:v>complete stage</x:v>
      </x:c>
      <x:c r="G827" s="13" t="str">
        <x:v>project_definition_stage.review</x:v>
      </x:c>
      <x:c r="H827" s="13" t="str">
        <x:v>LIVE_ROUTER_REGISTERED</x:v>
      </x:c>
      <x:c r="I827" s="13" t="str">
        <x:v>NO_DIRECT_LITERAL_MATCH_NOT_PROOF_UNUSED</x:v>
      </x:c>
      <x:c r="J827" s="13" t="str">
        <x:v>NOT_EXECUTED_BY_INVENTORY. SOURCE_LITERAL_OR_TRANSITIVE_HELPER_UNION</x:v>
      </x:c>
    </x:row>
    <x:row r="828" ht="42" customHeight="1">
      <x:c r="A828" s="14" t="str">
        <x:v>API-624</x:v>
      </x:c>
      <x:c r="B828" s="6" t="str">
        <x:v>POST</x:v>
      </x:c>
      <x:c r="C828" s="6" t="str">
        <x:v>/api/v1/projects/{project_id}/fel-stage/return</x:v>
      </x:c>
      <x:c r="D828" s="6" t="str">
        <x:v>USER MODE</x:v>
      </x:c>
      <x:c r="E828" s="6" t="str">
        <x:v>project_definition</x:v>
      </x:c>
      <x:c r="F828" s="6" t="str">
        <x:v>return stage</x:v>
      </x:c>
      <x:c r="G828" s="6" t="str">
        <x:v>project_definition_stage.review</x:v>
      </x:c>
      <x:c r="H828" s="6" t="str">
        <x:v>LIVE_ROUTER_REGISTERED</x:v>
      </x:c>
      <x:c r="I828" s="6" t="str">
        <x:v>NO_DIRECT_LITERAL_MATCH_NOT_PROOF_UNUSED</x:v>
      </x:c>
      <x:c r="J828" s="6" t="str">
        <x:v>NOT_EXECUTED_BY_INVENTORY. SOURCE_LITERAL_OR_TRANSITIVE_HELPER_UNION</x:v>
      </x:c>
    </x:row>
    <x:row r="829" ht="42" customHeight="1">
      <x:c r="A829" s="15" t="str">
        <x:v>API-625</x:v>
      </x:c>
      <x:c r="B829" s="13" t="str">
        <x:v>POST</x:v>
      </x:c>
      <x:c r="C829" s="13" t="str">
        <x:v>/api/v1/projects/{project_id}/fel-stage/submit-review</x:v>
      </x:c>
      <x:c r="D829" s="13" t="str">
        <x:v>USER MODE</x:v>
      </x:c>
      <x:c r="E829" s="13" t="str">
        <x:v>project_definition</x:v>
      </x:c>
      <x:c r="F829" s="13" t="str">
        <x:v>submit review</x:v>
      </x:c>
      <x:c r="G829" s="13" t="str">
        <x:v>project_definition_stage.submit</x:v>
      </x:c>
      <x:c r="H829" s="13" t="str">
        <x:v>LIVE_ROUTER_REGISTERED</x:v>
      </x:c>
      <x:c r="I829" s="13" t="str">
        <x:v>NO_DIRECT_LITERAL_MATCH_NOT_PROOF_UNUSED</x:v>
      </x:c>
      <x:c r="J829" s="13" t="str">
        <x:v>NOT_EXECUTED_BY_INVENTORY. SOURCE_LITERAL_OR_TRANSITIVE_HELPER_UNION</x:v>
      </x:c>
    </x:row>
    <x:row r="830" ht="42" customHeight="1">
      <x:c r="A830" s="14" t="str">
        <x:v>API-626</x:v>
      </x:c>
      <x:c r="B830" s="6" t="str">
        <x:v>GET</x:v>
      </x:c>
      <x:c r="C830" s="6" t="str">
        <x:v>/api/v1/projects/{project_id}/fel-status</x:v>
      </x:c>
      <x:c r="D830" s="6" t="str">
        <x:v>READ-ONLY SHARED CONTEXT</x:v>
      </x:c>
      <x:c r="E830" s="6" t="str">
        <x:v>project_definition</x:v>
      </x:c>
      <x:c r="F830" s="6" t="str">
        <x:v>fel status</x:v>
      </x:c>
      <x:c r="G830" s="6" t="str">
        <x:v>project_definition.read</x:v>
      </x:c>
      <x:c r="H830" s="6" t="str">
        <x:v>LIVE_ROUTER_REGISTERED</x:v>
      </x:c>
      <x:c r="I830" s="6" t="str">
        <x:v>NO_DIRECT_LITERAL_MATCH_NOT_PROOF_UNUSED</x:v>
      </x:c>
      <x:c r="J830" s="6" t="str">
        <x:v>NOT_EXECUTED_BY_INVENTORY. SOURCE_LITERAL_OR_TRANSITIVE_HELPER_UNION</x:v>
      </x:c>
    </x:row>
    <x:row r="831" ht="42" customHeight="1">
      <x:c r="A831" s="15" t="str">
        <x:v>API-627</x:v>
      </x:c>
      <x:c r="B831" s="13" t="str">
        <x:v>POST</x:v>
      </x:c>
      <x:c r="C831" s="13" t="str">
        <x:v>/api/v1/projects/{project_id}/fel/start</x:v>
      </x:c>
      <x:c r="D831" s="13" t="str">
        <x:v>USER MODE</x:v>
      </x:c>
      <x:c r="E831" s="13" t="str">
        <x:v>project_definition</x:v>
      </x:c>
      <x:c r="F831" s="13" t="str">
        <x:v>start fel</x:v>
      </x:c>
      <x:c r="G831" s="13" t="str">
        <x:v>project_definition.status.manage</x:v>
      </x:c>
      <x:c r="H831" s="13" t="str">
        <x:v>LIVE_ROUTER_REGISTERED</x:v>
      </x:c>
      <x:c r="I831" s="13" t="str">
        <x:v>frontend/src/features/project-definition/api.ts</x:v>
      </x:c>
      <x:c r="J831" s="13" t="str">
        <x:v>NOT_EXECUTED_BY_INVENTORY. SOURCE_LITERAL_OR_TRANSITIVE_HELPER_UNION</x:v>
      </x:c>
    </x:row>
    <x:row r="832" ht="42" customHeight="1">
      <x:c r="A832" s="14" t="str">
        <x:v>API-628</x:v>
      </x:c>
      <x:c r="B832" s="6" t="str">
        <x:v>GET</x:v>
      </x:c>
      <x:c r="C832" s="6" t="str">
        <x:v>/api/v1/ideas/{idea_id}/project-proposals</x:v>
      </x:c>
      <x:c r="D832" s="6" t="str">
        <x:v>READ-ONLY SHARED CONTEXT</x:v>
      </x:c>
      <x:c r="E832" s="6" t="str">
        <x:v>project_proposal</x:v>
      </x:c>
      <x:c r="F832" s="6" t="str">
        <x:v>idea project proposals</x:v>
      </x:c>
      <x:c r="G832" s="6" t="str">
        <x:v>project_proposal.read</x:v>
      </x:c>
      <x:c r="H832" s="6" t="str">
        <x:v>LIVE_ROUTER_REGISTERED</x:v>
      </x:c>
      <x:c r="I832" s="6" t="str">
        <x:v>frontend/src/features/project-proposal/api.ts</x:v>
      </x:c>
      <x:c r="J832" s="6" t="str">
        <x:v>NOT_EXECUTED_BY_INVENTORY. SOURCE_LITERAL_OR_TRANSITIVE_HELPER_UNION</x:v>
      </x:c>
    </x:row>
    <x:row r="833" ht="42" customHeight="1">
      <x:c r="A833" s="15" t="str">
        <x:v>API-629</x:v>
      </x:c>
      <x:c r="B833" s="13" t="str">
        <x:v>POST</x:v>
      </x:c>
      <x:c r="C833" s="13" t="str">
        <x:v>/api/v1/ideas/{idea_id}/project-proposals/preview</x:v>
      </x:c>
      <x:c r="D833" s="13" t="str">
        <x:v>USER MODE</x:v>
      </x:c>
      <x:c r="E833" s="13" t="str">
        <x:v>project_proposal</x:v>
      </x:c>
      <x:c r="F833" s="13" t="str">
        <x:v>idea project proposal preview</x:v>
      </x:c>
      <x:c r="G833" s="13" t="str">
        <x:v>project_proposal.create</x:v>
      </x:c>
      <x:c r="H833" s="13" t="str">
        <x:v>LIVE_ROUTER_REGISTERED</x:v>
      </x:c>
      <x:c r="I833" s="13" t="str">
        <x:v>frontend/src/features/project-proposal/api.ts</x:v>
      </x:c>
      <x:c r="J833" s="13" t="str">
        <x:v>NOT_EXECUTED_BY_INVENTORY. SOURCE_LITERAL_OR_TRANSITIVE_HELPER_UNION</x:v>
      </x:c>
    </x:row>
    <x:row r="834" ht="42" customHeight="1">
      <x:c r="A834" s="14" t="str">
        <x:v>API-630</x:v>
      </x:c>
      <x:c r="B834" s="6" t="str">
        <x:v>GET</x:v>
      </x:c>
      <x:c r="C834" s="6" t="str">
        <x:v>/api/v1/project-proposals</x:v>
      </x:c>
      <x:c r="D834" s="6" t="str">
        <x:v>READ-ONLY SHARED CONTEXT</x:v>
      </x:c>
      <x:c r="E834" s="6" t="str">
        <x:v>project_proposal</x:v>
      </x:c>
      <x:c r="F834" s="6" t="str">
        <x:v>list proposals</x:v>
      </x:c>
      <x:c r="G834" s="6" t="str">
        <x:v>project_proposal.read</x:v>
      </x:c>
      <x:c r="H834" s="6" t="str">
        <x:v>LIVE_ROUTER_REGISTERED</x:v>
      </x:c>
      <x:c r="I834" s="6" t="str">
        <x:v>frontend/src/features/project-proposal/api.ts</x:v>
      </x:c>
      <x:c r="J834" s="6" t="str">
        <x:v>NOT_EXECUTED_BY_INVENTORY. SOURCE_LITERAL_OR_TRANSITIVE_HELPER_UNION</x:v>
      </x:c>
    </x:row>
    <x:row r="835" ht="42" customHeight="1">
      <x:c r="A835" s="15" t="str">
        <x:v>API-631</x:v>
      </x:c>
      <x:c r="B835" s="13" t="str">
        <x:v>POST</x:v>
      </x:c>
      <x:c r="C835" s="13" t="str">
        <x:v>/api/v1/project-proposals</x:v>
      </x:c>
      <x:c r="D835" s="13" t="str">
        <x:v>USER MODE</x:v>
      </x:c>
      <x:c r="E835" s="13" t="str">
        <x:v>project_proposal</x:v>
      </x:c>
      <x:c r="F835" s="13" t="str">
        <x:v>create</x:v>
      </x:c>
      <x:c r="G835" s="13" t="str">
        <x:v>project_proposal.create</x:v>
      </x:c>
      <x:c r="H835" s="13" t="str">
        <x:v>LIVE_ROUTER_REGISTERED</x:v>
      </x:c>
      <x:c r="I835" s="13" t="str">
        <x:v>frontend/src/features/project-proposal/api.ts</x:v>
      </x:c>
      <x:c r="J835" s="13" t="str">
        <x:v>NOT_EXECUTED_BY_INVENTORY. SOURCE_LITERAL_OR_TRANSITIVE_HELPER_UNION</x:v>
      </x:c>
    </x:row>
    <x:row r="836" ht="42" customHeight="1">
      <x:c r="A836" s="14" t="str">
        <x:v>API-632</x:v>
      </x:c>
      <x:c r="B836" s="6" t="str">
        <x:v>POST</x:v>
      </x:c>
      <x:c r="C836" s="6" t="str">
        <x:v>/api/v1/project-proposals/admin/configuration/preview</x:v>
      </x:c>
      <x:c r="D836" s="6" t="str">
        <x:v>ADMIN MODE</x:v>
      </x:c>
      <x:c r="E836" s="6" t="str">
        <x:v>project_proposal</x:v>
      </x:c>
      <x:c r="F836" s="6" t="str">
        <x:v>configuration preview</x:v>
      </x:c>
      <x:c r="G836" s="6" t="str">
        <x:v>project_proposal.admin.configure</x:v>
      </x:c>
      <x:c r="H836" s="6" t="str">
        <x:v>LIVE_ROUTER_REGISTERED</x:v>
      </x:c>
      <x:c r="I836" s="6" t="str">
        <x:v>frontend/src/features/project-proposal/api.ts</x:v>
      </x:c>
      <x:c r="J836" s="6" t="str">
        <x:v>NOT_EXECUTED_BY_INVENTORY. SOURCE_LITERAL_OR_TRANSITIVE_HELPER_UNION</x:v>
      </x:c>
    </x:row>
    <x:row r="837" ht="42" customHeight="1">
      <x:c r="A837" s="15" t="str">
        <x:v>API-633</x:v>
      </x:c>
      <x:c r="B837" s="13" t="str">
        <x:v>GET</x:v>
      </x:c>
      <x:c r="C837" s="13" t="str">
        <x:v>/api/v1/project-proposals/admin/configurations/list</x:v>
      </x:c>
      <x:c r="D837" s="13" t="str">
        <x:v>ADMIN MODE</x:v>
      </x:c>
      <x:c r="E837" s="13" t="str">
        <x:v>project_proposal</x:v>
      </x:c>
      <x:c r="F837" s="13" t="str">
        <x:v>admin configurations</x:v>
      </x:c>
      <x:c r="G837" s="13" t="str">
        <x:v>project_proposal.admin.configure</x:v>
      </x:c>
      <x:c r="H837" s="13" t="str">
        <x:v>LIVE_ROUTER_REGISTERED</x:v>
      </x:c>
      <x:c r="I837" s="13" t="str">
        <x:v>frontend/src/features/project-proposal/api.ts</x:v>
      </x:c>
      <x:c r="J837" s="13" t="str">
        <x:v>NOT_EXECUTED_BY_INVENTORY. SOURCE_LITERAL_OR_TRANSITIVE_HELPER_UNION</x:v>
      </x:c>
    </x:row>
    <x:row r="838" ht="42" customHeight="1">
      <x:c r="A838" s="14" t="str">
        <x:v>API-634</x:v>
      </x:c>
      <x:c r="B838" s="6" t="str">
        <x:v>PUT</x:v>
      </x:c>
      <x:c r="C838" s="6" t="str">
        <x:v>/api/v1/project-proposals/admin/configurations/{configuration_id}</x:v>
      </x:c>
      <x:c r="D838" s="6" t="str">
        <x:v>ADMIN MODE</x:v>
      </x:c>
      <x:c r="E838" s="6" t="str">
        <x:v>project_proposal</x:v>
      </x:c>
      <x:c r="F838" s="6" t="str">
        <x:v>update configuration</x:v>
      </x:c>
      <x:c r="G838" s="6" t="str">
        <x:v>project_proposal.admin.configure</x:v>
      </x:c>
      <x:c r="H838" s="6" t="str">
        <x:v>LIVE_ROUTER_REGISTERED</x:v>
      </x:c>
      <x:c r="I838" s="6" t="str">
        <x:v>frontend/src/features/project-proposal/api.ts</x:v>
      </x:c>
      <x:c r="J838" s="6" t="str">
        <x:v>NOT_EXECUTED_BY_INVENTORY. SOURCE_LITERAL_OR_TRANSITIVE_HELPER_UNION</x:v>
      </x:c>
    </x:row>
    <x:row r="839" ht="42" customHeight="1">
      <x:c r="A839" s="15" t="str">
        <x:v>API-635</x:v>
      </x:c>
      <x:c r="B839" s="13" t="str">
        <x:v>POST</x:v>
      </x:c>
      <x:c r="C839" s="13" t="str">
        <x:v>/api/v1/project-proposals/admin/configurations/{configuration_id}/clone</x:v>
      </x:c>
      <x:c r="D839" s="13" t="str">
        <x:v>ADMIN MODE</x:v>
      </x:c>
      <x:c r="E839" s="13" t="str">
        <x:v>project_proposal</x:v>
      </x:c>
      <x:c r="F839" s="13" t="str">
        <x:v>clone configuration</x:v>
      </x:c>
      <x:c r="G839" s="13" t="str">
        <x:v>project_proposal.admin.configure</x:v>
      </x:c>
      <x:c r="H839" s="13" t="str">
        <x:v>LIVE_ROUTER_REGISTERED</x:v>
      </x:c>
      <x:c r="I839" s="13" t="str">
        <x:v>frontend/src/features/project-proposal/api.ts</x:v>
      </x:c>
      <x:c r="J839" s="13" t="str">
        <x:v>NOT_EXECUTED_BY_INVENTORY. SOURCE_LITERAL_OR_TRANSITIVE_HELPER_UNION</x:v>
      </x:c>
    </x:row>
    <x:row r="840" ht="42" customHeight="1">
      <x:c r="A840" s="14" t="str">
        <x:v>API-636</x:v>
      </x:c>
      <x:c r="B840" s="6" t="str">
        <x:v>POST</x:v>
      </x:c>
      <x:c r="C840" s="6" t="str">
        <x:v>/api/v1/project-proposals/admin/configurations/{configuration_id}/publish</x:v>
      </x:c>
      <x:c r="D840" s="6" t="str">
        <x:v>ADMIN MODE</x:v>
      </x:c>
      <x:c r="E840" s="6" t="str">
        <x:v>project_proposal</x:v>
      </x:c>
      <x:c r="F840" s="6" t="str">
        <x:v>publish configuration</x:v>
      </x:c>
      <x:c r="G840" s="6" t="str">
        <x:v>project_proposal.admin.publish</x:v>
      </x:c>
      <x:c r="H840" s="6" t="str">
        <x:v>LIVE_ROUTER_REGISTERED</x:v>
      </x:c>
      <x:c r="I840" s="6" t="str">
        <x:v>frontend/src/features/project-proposal/api.ts</x:v>
      </x:c>
      <x:c r="J840" s="6" t="str">
        <x:v>NOT_EXECUTED_BY_INVENTORY. SOURCE_LITERAL_OR_TRANSITIVE_HELPER_UNION</x:v>
      </x:c>
    </x:row>
    <x:row r="841" ht="42" customHeight="1">
      <x:c r="A841" s="15" t="str">
        <x:v>API-637</x:v>
      </x:c>
      <x:c r="B841" s="13" t="str">
        <x:v>GET</x:v>
      </x:c>
      <x:c r="C841" s="13" t="str">
        <x:v>/api/v1/project-proposals/options</x:v>
      </x:c>
      <x:c r="D841" s="13" t="str">
        <x:v>READ-ONLY SHARED CONTEXT</x:v>
      </x:c>
      <x:c r="E841" s="13" t="str">
        <x:v>project_proposal</x:v>
      </x:c>
      <x:c r="F841" s="13" t="str">
        <x:v>options</x:v>
      </x:c>
      <x:c r="G841" s="13" t="str">
        <x:v>project_proposal.create</x:v>
      </x:c>
      <x:c r="H841" s="13" t="str">
        <x:v>LIVE_ROUTER_REGISTERED</x:v>
      </x:c>
      <x:c r="I841" s="13" t="str">
        <x:v>frontend/src/features/project-proposal/api.ts</x:v>
      </x:c>
      <x:c r="J841" s="13" t="str">
        <x:v>NOT_EXECUTED_BY_INVENTORY. SOURCE_LITERAL_OR_TRANSITIVE_HELPER_UNION</x:v>
      </x:c>
    </x:row>
    <x:row r="842" ht="42" customHeight="1">
      <x:c r="A842" s="14" t="str">
        <x:v>API-638</x:v>
      </x:c>
      <x:c r="B842" s="6" t="str">
        <x:v>POST</x:v>
      </x:c>
      <x:c r="C842" s="6" t="str">
        <x:v>/api/v1/project-proposals/preview</x:v>
      </x:c>
      <x:c r="D842" s="6" t="str">
        <x:v>USER MODE</x:v>
      </x:c>
      <x:c r="E842" s="6" t="str">
        <x:v>project_proposal</x:v>
      </x:c>
      <x:c r="F842" s="6" t="str">
        <x:v>preview</x:v>
      </x:c>
      <x:c r="G842" s="6" t="str">
        <x:v>project_proposal.create</x:v>
      </x:c>
      <x:c r="H842" s="6" t="str">
        <x:v>LIVE_ROUTER_REGISTERED</x:v>
      </x:c>
      <x:c r="I842" s="6" t="str">
        <x:v>frontend/src/features/project-proposal/api.ts</x:v>
      </x:c>
      <x:c r="J842" s="6" t="str">
        <x:v>NOT_EXECUTED_BY_INVENTORY. SOURCE_LITERAL_OR_TRANSITIVE_HELPER_UNION</x:v>
      </x:c>
    </x:row>
    <x:row r="843" ht="42" customHeight="1">
      <x:c r="A843" s="15" t="str">
        <x:v>API-639</x:v>
      </x:c>
      <x:c r="B843" s="13" t="str">
        <x:v>GET</x:v>
      </x:c>
      <x:c r="C843" s="13" t="str">
        <x:v>/api/v1/project-proposals/{proposal_id}</x:v>
      </x:c>
      <x:c r="D843" s="13" t="str">
        <x:v>READ-ONLY SHARED CONTEXT</x:v>
      </x:c>
      <x:c r="E843" s="13" t="str">
        <x:v>project_proposal</x:v>
      </x:c>
      <x:c r="F843" s="13" t="str">
        <x:v>get proposal</x:v>
      </x:c>
      <x:c r="G843" s="13" t="str">
        <x:v>project_proposal.read</x:v>
      </x:c>
      <x:c r="H843" s="13" t="str">
        <x:v>LIVE_ROUTER_REGISTERED</x:v>
      </x:c>
      <x:c r="I843" s="13" t="str">
        <x:v>frontend/src/features/project-proposal/api.ts</x:v>
      </x:c>
      <x:c r="J843" s="13" t="str">
        <x:v>NOT_EXECUTED_BY_INVENTORY. SOURCE_LITERAL_OR_TRANSITIVE_HELPER_UNION</x:v>
      </x:c>
    </x:row>
    <x:row r="844" ht="42" customHeight="1">
      <x:c r="A844" s="14" t="str">
        <x:v>API-640</x:v>
      </x:c>
      <x:c r="B844" s="6" t="str">
        <x:v>PUT</x:v>
      </x:c>
      <x:c r="C844" s="6" t="str">
        <x:v>/api/v1/project-proposals/{proposal_id}</x:v>
      </x:c>
      <x:c r="D844" s="6" t="str">
        <x:v>USER MODE</x:v>
      </x:c>
      <x:c r="E844" s="6" t="str">
        <x:v>project_proposal</x:v>
      </x:c>
      <x:c r="F844" s="6" t="str">
        <x:v>update proposal</x:v>
      </x:c>
      <x:c r="G844" s="6" t="str">
        <x:v>project_proposal.edit</x:v>
      </x:c>
      <x:c r="H844" s="6" t="str">
        <x:v>LIVE_ROUTER_REGISTERED</x:v>
      </x:c>
      <x:c r="I844" s="6" t="str">
        <x:v>frontend/src/features/project-proposal/api.ts</x:v>
      </x:c>
      <x:c r="J844" s="6" t="str">
        <x:v>NOT_EXECUTED_BY_INVENTORY. SOURCE_LITERAL_OR_TRANSITIVE_HELPER_UNION</x:v>
      </x:c>
    </x:row>
    <x:row r="845" ht="42" customHeight="1">
      <x:c r="A845" s="15" t="str">
        <x:v>API-641</x:v>
      </x:c>
      <x:c r="B845" s="13" t="str">
        <x:v>POST</x:v>
      </x:c>
      <x:c r="C845" s="13" t="str">
        <x:v>/api/v1/project-proposals/{proposal_id}/complete-evaluation</x:v>
      </x:c>
      <x:c r="D845" s="13" t="str">
        <x:v>USER MODE</x:v>
      </x:c>
      <x:c r="E845" s="13" t="str">
        <x:v>project_proposal</x:v>
      </x:c>
      <x:c r="F845" s="13" t="str">
        <x:v>complete evaluation</x:v>
      </x:c>
      <x:c r="G845" s="13" t="str">
        <x:v>project_proposal.evaluate</x:v>
      </x:c>
      <x:c r="H845" s="13" t="str">
        <x:v>LIVE_ROUTER_REGISTERED</x:v>
      </x:c>
      <x:c r="I845" s="13" t="str">
        <x:v>NO_DIRECT_LITERAL_MATCH_NOT_PROOF_UNUSED</x:v>
      </x:c>
      <x:c r="J845" s="13" t="str">
        <x:v>NOT_EXECUTED_BY_INVENTORY. SOURCE_LITERAL_OR_TRANSITIVE_HELPER_UNION</x:v>
      </x:c>
    </x:row>
    <x:row r="846" ht="42" customHeight="1">
      <x:c r="A846" s="14" t="str">
        <x:v>API-642</x:v>
      </x:c>
      <x:c r="B846" s="6" t="str">
        <x:v>GET</x:v>
      </x:c>
      <x:c r="C846" s="6" t="str">
        <x:v>/api/v1/project-proposals/{proposal_id}/evaluations</x:v>
      </x:c>
      <x:c r="D846" s="6" t="str">
        <x:v>READ-ONLY SHARED CONTEXT</x:v>
      </x:c>
      <x:c r="E846" s="6" t="str">
        <x:v>project_proposal</x:v>
      </x:c>
      <x:c r="F846" s="6" t="str">
        <x:v>evaluations</x:v>
      </x:c>
      <x:c r="G846" s="6" t="str">
        <x:v>project_proposal.read</x:v>
      </x:c>
      <x:c r="H846" s="6" t="str">
        <x:v>LIVE_ROUTER_REGISTERED</x:v>
      </x:c>
      <x:c r="I846" s="6" t="str">
        <x:v>NO_DIRECT_LITERAL_MATCH_NOT_PROOF_UNUSED</x:v>
      </x:c>
      <x:c r="J846" s="6" t="str">
        <x:v>NOT_EXECUTED_BY_INVENTORY. SOURCE_LITERAL_OR_TRANSITIVE_HELPER_UNION</x:v>
      </x:c>
    </x:row>
    <x:row r="847" ht="42" customHeight="1">
      <x:c r="A847" s="15" t="str">
        <x:v>API-643</x:v>
      </x:c>
      <x:c r="B847" s="13" t="str">
        <x:v>GET</x:v>
      </x:c>
      <x:c r="C847" s="13" t="str">
        <x:v>/api/v1/project-proposals/{proposal_id}/gate-readiness</x:v>
      </x:c>
      <x:c r="D847" s="13" t="str">
        <x:v>READ-ONLY SHARED CONTEXT</x:v>
      </x:c>
      <x:c r="E847" s="13" t="str">
        <x:v>project_proposal</x:v>
      </x:c>
      <x:c r="F847" s="13" t="str">
        <x:v>gate readiness</x:v>
      </x:c>
      <x:c r="G847" s="13" t="str">
        <x:v>project_proposal.read</x:v>
      </x:c>
      <x:c r="H847" s="13" t="str">
        <x:v>LIVE_ROUTER_REGISTERED</x:v>
      </x:c>
      <x:c r="I847" s="13" t="str">
        <x:v>frontend/src/features/project-proposal/api.ts</x:v>
      </x:c>
      <x:c r="J847" s="13" t="str">
        <x:v>NOT_EXECUTED_BY_INVENTORY. SOURCE_LITERAL_OR_TRANSITIVE_HELPER_UNION</x:v>
      </x:c>
    </x:row>
    <x:row r="848" ht="42" customHeight="1">
      <x:c r="A848" s="14" t="str">
        <x:v>API-644</x:v>
      </x:c>
      <x:c r="B848" s="6" t="str">
        <x:v>GET</x:v>
      </x:c>
      <x:c r="C848" s="6" t="str">
        <x:v>/api/v1/project-proposals/{proposal_id}/history</x:v>
      </x:c>
      <x:c r="D848" s="6" t="str">
        <x:v>READ-ONLY SHARED CONTEXT</x:v>
      </x:c>
      <x:c r="E848" s="6" t="str">
        <x:v>project_proposal</x:v>
      </x:c>
      <x:c r="F848" s="6" t="str">
        <x:v>history</x:v>
      </x:c>
      <x:c r="G848" s="6" t="str">
        <x:v>project_proposal.read</x:v>
      </x:c>
      <x:c r="H848" s="6" t="str">
        <x:v>LIVE_ROUTER_REGISTERED</x:v>
      </x:c>
      <x:c r="I848" s="6" t="str">
        <x:v>frontend/src/features/project-proposal/api.ts</x:v>
      </x:c>
      <x:c r="J848" s="6" t="str">
        <x:v>NOT_EXECUTED_BY_INVENTORY. SOURCE_LITERAL_OR_TRANSITIVE_HELPER_UNION</x:v>
      </x:c>
    </x:row>
    <x:row r="849" ht="42" customHeight="1">
      <x:c r="A849" s="15" t="str">
        <x:v>API-645</x:v>
      </x:c>
      <x:c r="B849" s="13" t="str">
        <x:v>POST</x:v>
      </x:c>
      <x:c r="C849" s="13" t="str">
        <x:v>/api/v1/project-proposals/{proposal_id}/return</x:v>
      </x:c>
      <x:c r="D849" s="13" t="str">
        <x:v>USER MODE</x:v>
      </x:c>
      <x:c r="E849" s="13" t="str">
        <x:v>project_proposal</x:v>
      </x:c>
      <x:c r="F849" s="13" t="str">
        <x:v>return proposal</x:v>
      </x:c>
      <x:c r="G849" s="13" t="str">
        <x:v>project_proposal.return</x:v>
      </x:c>
      <x:c r="H849" s="13" t="str">
        <x:v>LIVE_ROUTER_REGISTERED</x:v>
      </x:c>
      <x:c r="I849" s="13" t="str">
        <x:v>NO_DIRECT_LITERAL_MATCH_NOT_PROOF_UNUSED</x:v>
      </x:c>
      <x:c r="J849" s="13" t="str">
        <x:v>NOT_EXECUTED_BY_INVENTORY. SOURCE_LITERAL_OR_TRANSITIVE_HELPER_UNION</x:v>
      </x:c>
    </x:row>
    <x:row r="850" ht="42" customHeight="1">
      <x:c r="A850" s="14" t="str">
        <x:v>API-646</x:v>
      </x:c>
      <x:c r="B850" s="6" t="str">
        <x:v>GET</x:v>
      </x:c>
      <x:c r="C850" s="6" t="str">
        <x:v>/api/v1/project-workspaces</x:v>
      </x:c>
      <x:c r="D850" s="6" t="str">
        <x:v>READ-ONLY SHARED CONTEXT</x:v>
      </x:c>
      <x:c r="E850" s="6" t="str">
        <x:v>project_workspace_initialization</x:v>
      </x:c>
      <x:c r="F850" s="6" t="str">
        <x:v>list project workspaces</x:v>
      </x:c>
      <x:c r="G850" s="6" t="str">
        <x:v>project_workspace.initialization.read</x:v>
      </x:c>
      <x:c r="H850" s="6" t="str">
        <x:v>LIVE_ROUTER_REGISTERED</x:v>
      </x:c>
      <x:c r="I850" s="6" t="str">
        <x:v>NO_DIRECT_LITERAL_MATCH_NOT_PROOF_UNUSED</x:v>
      </x:c>
      <x:c r="J850" s="6" t="str">
        <x:v>NOT_EXECUTED_BY_INVENTORY. SOURCE_LITERAL_OR_TRANSITIVE_HELPER_UNION</x:v>
      </x:c>
    </x:row>
    <x:row r="851" ht="42" customHeight="1">
      <x:c r="A851" s="15" t="str">
        <x:v>API-647</x:v>
      </x:c>
      <x:c r="B851" s="13" t="str">
        <x:v>POST</x:v>
      </x:c>
      <x:c r="C851" s="13" t="str">
        <x:v>/api/v1/project-workspaces/{workspace_id}/activate</x:v>
      </x:c>
      <x:c r="D851" s="13" t="str">
        <x:v>USER MODE</x:v>
      </x:c>
      <x:c r="E851" s="13" t="str">
        <x:v>project_workspace_initialization</x:v>
      </x:c>
      <x:c r="F851" s="13" t="str">
        <x:v>activate workspace</x:v>
      </x:c>
      <x:c r="G851" s="13" t="str">
        <x:v>project_workspace.activation.execute</x:v>
      </x:c>
      <x:c r="H851" s="13" t="str">
        <x:v>LIVE_ROUTER_REGISTERED</x:v>
      </x:c>
      <x:c r="I851" s="13" t="str">
        <x:v>frontend/src/features/enterprise-structure/api/index.ts</x:v>
      </x:c>
      <x:c r="J851" s="13" t="str">
        <x:v>NOT_EXECUTED_BY_INVENTORY. SOURCE_LITERAL_OR_TRANSITIVE_HELPER_UNION</x:v>
      </x:c>
    </x:row>
    <x:row r="852" ht="42" customHeight="1">
      <x:c r="A852" s="14" t="str">
        <x:v>API-648</x:v>
      </x:c>
      <x:c r="B852" s="6" t="str">
        <x:v>GET</x:v>
      </x:c>
      <x:c r="C852" s="6" t="str">
        <x:v>/api/v1/project-workspaces/{workspace_id}/initialization</x:v>
      </x:c>
      <x:c r="D852" s="6" t="str">
        <x:v>READ-ONLY SHARED CONTEXT</x:v>
      </x:c>
      <x:c r="E852" s="6" t="str">
        <x:v>project_workspace_initialization</x:v>
      </x:c>
      <x:c r="F852" s="6" t="str">
        <x:v>get initialization</x:v>
      </x:c>
      <x:c r="G852" s="6" t="str">
        <x:v>project_workspace.initialization.read</x:v>
      </x:c>
      <x:c r="H852" s="6" t="str">
        <x:v>LIVE_ROUTER_REGISTERED</x:v>
      </x:c>
      <x:c r="I852" s="6" t="str">
        <x:v>frontend/src/features/enterprise-structure/api/index.ts</x:v>
      </x:c>
      <x:c r="J852" s="6" t="str">
        <x:v>NOT_EXECUTED_BY_INVENTORY. SOURCE_LITERAL_OR_TRANSITIVE_HELPER_UNION</x:v>
      </x:c>
    </x:row>
    <x:row r="853" ht="42" customHeight="1">
      <x:c r="A853" s="15" t="str">
        <x:v>API-649</x:v>
      </x:c>
      <x:c r="B853" s="13" t="str">
        <x:v>POST</x:v>
      </x:c>
      <x:c r="C853" s="13" t="str">
        <x:v>/api/v1/project-workspaces/{workspace_id}/initialization/preview</x:v>
      </x:c>
      <x:c r="D853" s="13" t="str">
        <x:v>USER MODE</x:v>
      </x:c>
      <x:c r="E853" s="13" t="str">
        <x:v>project_workspace_initialization</x:v>
      </x:c>
      <x:c r="F853" s="13" t="str">
        <x:v>preview initialization</x:v>
      </x:c>
      <x:c r="G853" s="13" t="str">
        <x:v>project_workspace.initialization.read</x:v>
      </x:c>
      <x:c r="H853" s="13" t="str">
        <x:v>LIVE_ROUTER_REGISTERED</x:v>
      </x:c>
      <x:c r="I853" s="13" t="str">
        <x:v>frontend/src/features/enterprise-structure/api/index.ts</x:v>
      </x:c>
      <x:c r="J853" s="13" t="str">
        <x:v>NOT_EXECUTED_BY_INVENTORY. SOURCE_LITERAL_OR_TRANSITIVE_HELPER_UNION</x:v>
      </x:c>
    </x:row>
    <x:row r="854" ht="42" customHeight="1">
      <x:c r="A854" s="14" t="str">
        <x:v>API-650</x:v>
      </x:c>
      <x:c r="B854" s="6" t="str">
        <x:v>POST</x:v>
      </x:c>
      <x:c r="C854" s="6" t="str">
        <x:v>/api/v1/project-workspaces/{workspace_id}/initialization/start</x:v>
      </x:c>
      <x:c r="D854" s="6" t="str">
        <x:v>USER MODE</x:v>
      </x:c>
      <x:c r="E854" s="6" t="str">
        <x:v>project_workspace_initialization</x:v>
      </x:c>
      <x:c r="F854" s="6" t="str">
        <x:v>start initialization</x:v>
      </x:c>
      <x:c r="G854" s="6" t="str">
        <x:v>project_workspace.initialization.execute</x:v>
      </x:c>
      <x:c r="H854" s="6" t="str">
        <x:v>LIVE_ROUTER_REGISTERED</x:v>
      </x:c>
      <x:c r="I854" s="6" t="str">
        <x:v>NO_DIRECT_LITERAL_MATCH_NOT_PROOF_UNUSED</x:v>
      </x:c>
      <x:c r="J854" s="6" t="str">
        <x:v>NOT_EXECUTED_BY_INVENTORY. SOURCE_LITERAL_OR_TRANSITIVE_HELPER_UNION</x:v>
      </x:c>
    </x:row>
    <x:row r="855" ht="42" customHeight="1">
      <x:c r="A855" s="15" t="str">
        <x:v>API-651</x:v>
      </x:c>
      <x:c r="B855" s="13" t="str">
        <x:v>POST</x:v>
      </x:c>
      <x:c r="C855" s="13" t="str">
        <x:v>/api/v1/project-workspaces/{workspace_id}/initialization/validate</x:v>
      </x:c>
      <x:c r="D855" s="13" t="str">
        <x:v>USER MODE</x:v>
      </x:c>
      <x:c r="E855" s="13" t="str">
        <x:v>project_workspace_initialization</x:v>
      </x:c>
      <x:c r="F855" s="13" t="str">
        <x:v>validate initialization</x:v>
      </x:c>
      <x:c r="G855" s="13" t="str">
        <x:v>project_workspace.initialization.execute</x:v>
      </x:c>
      <x:c r="H855" s="13" t="str">
        <x:v>LIVE_ROUTER_REGISTERED</x:v>
      </x:c>
      <x:c r="I855" s="13" t="str">
        <x:v>NO_DIRECT_LITERAL_MATCH_NOT_PROOF_UNUSED</x:v>
      </x:c>
      <x:c r="J855" s="13" t="str">
        <x:v>NOT_EXECUTED_BY_INVENTORY. SOURCE_LITERAL_OR_TRANSITIVE_HELPER_UNION</x:v>
      </x:c>
    </x:row>
    <x:row r="856" ht="42" customHeight="1">
      <x:c r="A856" s="14" t="str">
        <x:v>API-652</x:v>
      </x:c>
      <x:c r="B856" s="6" t="str">
        <x:v>GET</x:v>
      </x:c>
      <x:c r="C856" s="6" t="str">
        <x:v>/api/v1/qra-engine/models/{model_id}/preflight</x:v>
      </x:c>
      <x:c r="D856" s="6" t="str">
        <x:v>READ-ONLY SHARED CONTEXT</x:v>
      </x:c>
      <x:c r="E856" s="6" t="str">
        <x:v>qra_engine</x:v>
      </x:c>
      <x:c r="F856" s="6" t="str">
        <x:v>preflight</x:v>
      </x:c>
      <x:c r="G856" s="6" t="str">
        <x:v>qra_run.read</x:v>
      </x:c>
      <x:c r="H856" s="6" t="str">
        <x:v>LIVE_ROUTER_REGISTERED</x:v>
      </x:c>
      <x:c r="I856" s="6" t="str">
        <x:v>frontend/src/features/qra-engine/api.ts</x:v>
      </x:c>
      <x:c r="J856" s="6" t="str">
        <x:v>NOT_EXECUTED_BY_INVENTORY. SOURCE_LITERAL_OR_TRANSITIVE_HELPER_UNION</x:v>
      </x:c>
    </x:row>
    <x:row r="857" ht="42" customHeight="1">
      <x:c r="A857" s="15" t="str">
        <x:v>API-653</x:v>
      </x:c>
      <x:c r="B857" s="13" t="str">
        <x:v>POST</x:v>
      </x:c>
      <x:c r="C857" s="13" t="str">
        <x:v>/api/v1/qra-engine/models/{model_id}/runs</x:v>
      </x:c>
      <x:c r="D857" s="13" t="str">
        <x:v>USER MODE</x:v>
      </x:c>
      <x:c r="E857" s="13" t="str">
        <x:v>qra_engine</x:v>
      </x:c>
      <x:c r="F857" s="13" t="str">
        <x:v>create run</x:v>
      </x:c>
      <x:c r="G857" s="13" t="str">
        <x:v>qra_run.create</x:v>
      </x:c>
      <x:c r="H857" s="13" t="str">
        <x:v>LIVE_ROUTER_REGISTERED</x:v>
      </x:c>
      <x:c r="I857" s="13" t="str">
        <x:v>frontend/src/features/qra-engine/api.ts</x:v>
      </x:c>
      <x:c r="J857" s="13" t="str">
        <x:v>NOT_EXECUTED_BY_INVENTORY. SOURCE_LITERAL_OR_TRANSITIVE_HELPER_UNION</x:v>
      </x:c>
    </x:row>
    <x:row r="858" ht="42" customHeight="1">
      <x:c r="A858" s="14" t="str">
        <x:v>API-654</x:v>
      </x:c>
      <x:c r="B858" s="6" t="str">
        <x:v>GET</x:v>
      </x:c>
      <x:c r="C858" s="6" t="str">
        <x:v>/api/v1/qra-engine/projects/{project_id}/approved-models</x:v>
      </x:c>
      <x:c r="D858" s="6" t="str">
        <x:v>READ-ONLY SHARED CONTEXT</x:v>
      </x:c>
      <x:c r="E858" s="6" t="str">
        <x:v>qra_engine</x:v>
      </x:c>
      <x:c r="F858" s="6" t="str">
        <x:v>approved models</x:v>
      </x:c>
      <x:c r="G858" s="6" t="str">
        <x:v>qra_run.read</x:v>
      </x:c>
      <x:c r="H858" s="6" t="str">
        <x:v>LIVE_ROUTER_REGISTERED</x:v>
      </x:c>
      <x:c r="I858" s="6" t="str">
        <x:v>frontend/src/features/qra-engine/api.ts</x:v>
      </x:c>
      <x:c r="J858" s="6" t="str">
        <x:v>NOT_EXECUTED_BY_INVENTORY. SOURCE_LITERAL_OR_TRANSITIVE_HELPER_UNION</x:v>
      </x:c>
    </x:row>
    <x:row r="859" ht="42" customHeight="1">
      <x:c r="A859" s="15" t="str">
        <x:v>API-655</x:v>
      </x:c>
      <x:c r="B859" s="13" t="str">
        <x:v>GET</x:v>
      </x:c>
      <x:c r="C859" s="13" t="str">
        <x:v>/api/v1/qra-engine/projects/{project_id}/options</x:v>
      </x:c>
      <x:c r="D859" s="13" t="str">
        <x:v>READ-ONLY SHARED CONTEXT</x:v>
      </x:c>
      <x:c r="E859" s="13" t="str">
        <x:v>qra_engine</x:v>
      </x:c>
      <x:c r="F859" s="13" t="str">
        <x:v>options</x:v>
      </x:c>
      <x:c r="G859" s="13" t="str">
        <x:v>qra_run.read</x:v>
      </x:c>
      <x:c r="H859" s="13" t="str">
        <x:v>LIVE_ROUTER_REGISTERED</x:v>
      </x:c>
      <x:c r="I859" s="13" t="str">
        <x:v>frontend/src/features/qra-engine/api.ts</x:v>
      </x:c>
      <x:c r="J859" s="13" t="str">
        <x:v>NOT_EXECUTED_BY_INVENTORY. SOURCE_LITERAL_OR_TRANSITIVE_HELPER_UNION</x:v>
      </x:c>
    </x:row>
    <x:row r="860" ht="42" customHeight="1">
      <x:c r="A860" s="14" t="str">
        <x:v>API-656</x:v>
      </x:c>
      <x:c r="B860" s="6" t="str">
        <x:v>GET</x:v>
      </x:c>
      <x:c r="C860" s="6" t="str">
        <x:v>/api/v1/qra-engine/projects/{project_id}/provider-evidence</x:v>
      </x:c>
      <x:c r="D860" s="6" t="str">
        <x:v>READ-ONLY SHARED CONTEXT</x:v>
      </x:c>
      <x:c r="E860" s="6" t="str">
        <x:v>qra_engine</x:v>
      </x:c>
      <x:c r="F860" s="6" t="str">
        <x:v>provider</x:v>
      </x:c>
      <x:c r="G860" s="6" t="str">
        <x:v>qra_run.read</x:v>
      </x:c>
      <x:c r="H860" s="6" t="str">
        <x:v>LIVE_ROUTER_REGISTERED</x:v>
      </x:c>
      <x:c r="I860" s="6" t="str">
        <x:v>NO_DIRECT_LITERAL_MATCH_NOT_PROOF_UNUSED</x:v>
      </x:c>
      <x:c r="J860" s="6" t="str">
        <x:v>NOT_EXECUTED_BY_INVENTORY. SOURCE_LITERAL_OR_TRANSITIVE_HELPER_UNION</x:v>
      </x:c>
    </x:row>
    <x:row r="861" ht="42" customHeight="1">
      <x:c r="A861" s="15" t="str">
        <x:v>API-657</x:v>
      </x:c>
      <x:c r="B861" s="13" t="str">
        <x:v>GET</x:v>
      </x:c>
      <x:c r="C861" s="13" t="str">
        <x:v>/api/v1/qra-engine/projects/{project_id}/runs</x:v>
      </x:c>
      <x:c r="D861" s="13" t="str">
        <x:v>READ-ONLY SHARED CONTEXT</x:v>
      </x:c>
      <x:c r="E861" s="13" t="str">
        <x:v>qra_engine</x:v>
      </x:c>
      <x:c r="F861" s="13" t="str">
        <x:v>runs</x:v>
      </x:c>
      <x:c r="G861" s="13" t="str">
        <x:v>qra_run.read</x:v>
      </x:c>
      <x:c r="H861" s="13" t="str">
        <x:v>LIVE_ROUTER_REGISTERED</x:v>
      </x:c>
      <x:c r="I861" s="13" t="str">
        <x:v>frontend/src/features/qra-engine/api.ts</x:v>
      </x:c>
      <x:c r="J861" s="13" t="str">
        <x:v>NOT_EXECUTED_BY_INVENTORY. SOURCE_LITERAL_OR_TRANSITIVE_HELPER_UNION</x:v>
      </x:c>
    </x:row>
    <x:row r="862" ht="42" customHeight="1">
      <x:c r="A862" s="14" t="str">
        <x:v>API-658</x:v>
      </x:c>
      <x:c r="B862" s="6" t="str">
        <x:v>GET</x:v>
      </x:c>
      <x:c r="C862" s="6" t="str">
        <x:v>/api/v1/qra-engine/runs/compare</x:v>
      </x:c>
      <x:c r="D862" s="6" t="str">
        <x:v>READ-ONLY SHARED CONTEXT</x:v>
      </x:c>
      <x:c r="E862" s="6" t="str">
        <x:v>qra_engine</x:v>
      </x:c>
      <x:c r="F862" s="6" t="str">
        <x:v>compare</x:v>
      </x:c>
      <x:c r="G862" s="6" t="str">
        <x:v>qra_run.read</x:v>
      </x:c>
      <x:c r="H862" s="6" t="str">
        <x:v>LIVE_ROUTER_REGISTERED</x:v>
      </x:c>
      <x:c r="I862" s="6" t="str">
        <x:v>frontend/src/features/qra-engine/api.ts</x:v>
      </x:c>
      <x:c r="J862" s="6" t="str">
        <x:v>NOT_EXECUTED_BY_INVENTORY. SOURCE_LITERAL_OR_TRANSITIVE_HELPER_UNION</x:v>
      </x:c>
    </x:row>
    <x:row r="863" ht="42" customHeight="1">
      <x:c r="A863" s="15" t="str">
        <x:v>API-659</x:v>
      </x:c>
      <x:c r="B863" s="13" t="str">
        <x:v>GET</x:v>
      </x:c>
      <x:c r="C863" s="13" t="str">
        <x:v>/api/v1/qra-engine/runs/{run_id}</x:v>
      </x:c>
      <x:c r="D863" s="13" t="str">
        <x:v>READ-ONLY SHARED CONTEXT</x:v>
      </x:c>
      <x:c r="E863" s="13" t="str">
        <x:v>qra_engine</x:v>
      </x:c>
      <x:c r="F863" s="13" t="str">
        <x:v>run</x:v>
      </x:c>
      <x:c r="G863" s="13" t="str">
        <x:v>qra_run.read</x:v>
      </x:c>
      <x:c r="H863" s="13" t="str">
        <x:v>LIVE_ROUTER_REGISTERED</x:v>
      </x:c>
      <x:c r="I863" s="13" t="str">
        <x:v>frontend/src/features/qra-engine/api.ts</x:v>
      </x:c>
      <x:c r="J863" s="13" t="str">
        <x:v>NOT_EXECUTED_BY_INVENTORY. SOURCE_LITERAL_OR_TRANSITIVE_HELPER_UNION</x:v>
      </x:c>
    </x:row>
    <x:row r="864" ht="42" customHeight="1">
      <x:c r="A864" s="14" t="str">
        <x:v>API-660</x:v>
      </x:c>
      <x:c r="B864" s="6" t="str">
        <x:v>POST</x:v>
      </x:c>
      <x:c r="C864" s="6" t="str">
        <x:v>/api/v1/qra-engine/runs/{run_id}/accept</x:v>
      </x:c>
      <x:c r="D864" s="6" t="str">
        <x:v>USER MODE</x:v>
      </x:c>
      <x:c r="E864" s="6" t="str">
        <x:v>qra_engine</x:v>
      </x:c>
      <x:c r="F864" s="6" t="str">
        <x:v>accept</x:v>
      </x:c>
      <x:c r="G864" s="6" t="str">
        <x:v>qra_run.accept</x:v>
      </x:c>
      <x:c r="H864" s="6" t="str">
        <x:v>LIVE_ROUTER_REGISTERED</x:v>
      </x:c>
      <x:c r="I864" s="6" t="str">
        <x:v>NO_DIRECT_LITERAL_MATCH_NOT_PROOF_UNUSED</x:v>
      </x:c>
      <x:c r="J864" s="6" t="str">
        <x:v>NOT_EXECUTED_BY_INVENTORY. SOURCE_LITERAL_OR_TRANSITIVE_HELPER_UNION</x:v>
      </x:c>
    </x:row>
    <x:row r="865" ht="42" customHeight="1">
      <x:c r="A865" s="15" t="str">
        <x:v>API-661</x:v>
      </x:c>
      <x:c r="B865" s="13" t="str">
        <x:v>POST</x:v>
      </x:c>
      <x:c r="C865" s="13" t="str">
        <x:v>/api/v1/qra-engine/runs/{run_id}/cancel</x:v>
      </x:c>
      <x:c r="D865" s="13" t="str">
        <x:v>USER MODE</x:v>
      </x:c>
      <x:c r="E865" s="13" t="str">
        <x:v>qra_engine</x:v>
      </x:c>
      <x:c r="F865" s="13" t="str">
        <x:v>cancel</x:v>
      </x:c>
      <x:c r="G865" s="13" t="str">
        <x:v>qra_run.cancel</x:v>
      </x:c>
      <x:c r="H865" s="13" t="str">
        <x:v>LIVE_ROUTER_REGISTERED</x:v>
      </x:c>
      <x:c r="I865" s="13" t="str">
        <x:v>NO_DIRECT_LITERAL_MATCH_NOT_PROOF_UNUSED</x:v>
      </x:c>
      <x:c r="J865" s="13" t="str">
        <x:v>NOT_EXECUTED_BY_INVENTORY. SOURCE_LITERAL_OR_TRANSITIVE_HELPER_UNION</x:v>
      </x:c>
    </x:row>
    <x:row r="866" ht="42" customHeight="1">
      <x:c r="A866" s="14" t="str">
        <x:v>API-662</x:v>
      </x:c>
      <x:c r="B866" s="6" t="str">
        <x:v>GET</x:v>
      </x:c>
      <x:c r="C866" s="6" t="str">
        <x:v>/api/v1/qra-engine/runs/{run_id}/cdf</x:v>
      </x:c>
      <x:c r="D866" s="6" t="str">
        <x:v>READ-ONLY SHARED CONTEXT</x:v>
      </x:c>
      <x:c r="E866" s="6" t="str">
        <x:v>qra_engine</x:v>
      </x:c>
      <x:c r="F866" s="6" t="str">
        <x:v>run result cdf</x:v>
      </x:c>
      <x:c r="G866" s="6" t="str">
        <x:v>qra_run.read</x:v>
      </x:c>
      <x:c r="H866" s="6" t="str">
        <x:v>LIVE_DYNAMIC_ROUTER_REGISTERED</x:v>
      </x:c>
      <x:c r="I866" s="6" t="str">
        <x:v>DYNAMIC_RESULT_SECTION_CLIENT</x:v>
      </x:c>
      <x:c r="J866" s="6" t="str">
        <x:v>NOT_EXECUTED_BY_INVENTORY. EXACT_DYNAMIC_FACTORY</x:v>
      </x:c>
    </x:row>
    <x:row r="867" ht="42" customHeight="1">
      <x:c r="A867" s="15" t="str">
        <x:v>API-663</x:v>
      </x:c>
      <x:c r="B867" s="13" t="str">
        <x:v>GET</x:v>
      </x:c>
      <x:c r="C867" s="13" t="str">
        <x:v>/api/v1/qra-engine/runs/{run_id}/convergence</x:v>
      </x:c>
      <x:c r="D867" s="13" t="str">
        <x:v>READ-ONLY SHARED CONTEXT</x:v>
      </x:c>
      <x:c r="E867" s="13" t="str">
        <x:v>qra_engine</x:v>
      </x:c>
      <x:c r="F867" s="13" t="str">
        <x:v>run result convergence</x:v>
      </x:c>
      <x:c r="G867" s="13" t="str">
        <x:v>qra_run.read</x:v>
      </x:c>
      <x:c r="H867" s="13" t="str">
        <x:v>LIVE_DYNAMIC_ROUTER_REGISTERED</x:v>
      </x:c>
      <x:c r="I867" s="13" t="str">
        <x:v>DYNAMIC_RESULT_SECTION_CLIENT</x:v>
      </x:c>
      <x:c r="J867" s="13" t="str">
        <x:v>NOT_EXECUTED_BY_INVENTORY. EXACT_DYNAMIC_FACTORY</x:v>
      </x:c>
    </x:row>
    <x:row r="868" ht="42" customHeight="1">
      <x:c r="A868" s="14" t="str">
        <x:v>API-664</x:v>
      </x:c>
      <x:c r="B868" s="6" t="str">
        <x:v>GET</x:v>
      </x:c>
      <x:c r="C868" s="6" t="str">
        <x:v>/api/v1/qra-engine/runs/{run_id}/drivers</x:v>
      </x:c>
      <x:c r="D868" s="6" t="str">
        <x:v>READ-ONLY SHARED CONTEXT</x:v>
      </x:c>
      <x:c r="E868" s="6" t="str">
        <x:v>qra_engine</x:v>
      </x:c>
      <x:c r="F868" s="6" t="str">
        <x:v>run result drivers</x:v>
      </x:c>
      <x:c r="G868" s="6" t="str">
        <x:v>qra_run.read</x:v>
      </x:c>
      <x:c r="H868" s="6" t="str">
        <x:v>LIVE_DYNAMIC_ROUTER_REGISTERED</x:v>
      </x:c>
      <x:c r="I868" s="6" t="str">
        <x:v>DYNAMIC_RESULT_SECTION_CLIENT</x:v>
      </x:c>
      <x:c r="J868" s="6" t="str">
        <x:v>NOT_EXECUTED_BY_INVENTORY. EXACT_DYNAMIC_FACTORY</x:v>
      </x:c>
    </x:row>
    <x:row r="869" ht="42" customHeight="1">
      <x:c r="A869" s="15" t="str">
        <x:v>API-665</x:v>
      </x:c>
      <x:c r="B869" s="13" t="str">
        <x:v>GET</x:v>
      </x:c>
      <x:c r="C869" s="13" t="str">
        <x:v>/api/v1/qra-engine/runs/{run_id}/evidence</x:v>
      </x:c>
      <x:c r="D869" s="13" t="str">
        <x:v>READ-ONLY SHARED CONTEXT</x:v>
      </x:c>
      <x:c r="E869" s="13" t="str">
        <x:v>qra_engine</x:v>
      </x:c>
      <x:c r="F869" s="13" t="str">
        <x:v>evidence</x:v>
      </x:c>
      <x:c r="G869" s="13" t="str">
        <x:v>qra_run.read</x:v>
      </x:c>
      <x:c r="H869" s="13" t="str">
        <x:v>LIVE_ROUTER_REGISTERED</x:v>
      </x:c>
      <x:c r="I869" s="13" t="str">
        <x:v>NO_DIRECT_LITERAL_MATCH_NOT_PROOF_UNUSED</x:v>
      </x:c>
      <x:c r="J869" s="13" t="str">
        <x:v>NOT_EXECUTED_BY_INVENTORY. SOURCE_LITERAL_OR_TRANSITIVE_HELPER_UNION</x:v>
      </x:c>
    </x:row>
    <x:row r="870" ht="42" customHeight="1">
      <x:c r="A870" s="14" t="str">
        <x:v>API-666</x:v>
      </x:c>
      <x:c r="B870" s="6" t="str">
        <x:v>POST</x:v>
      </x:c>
      <x:c r="C870" s="6" t="str">
        <x:v>/api/v1/qra-engine/runs/{run_id}/execute</x:v>
      </x:c>
      <x:c r="D870" s="6" t="str">
        <x:v>USER MODE</x:v>
      </x:c>
      <x:c r="E870" s="6" t="str">
        <x:v>qra_engine</x:v>
      </x:c>
      <x:c r="F870" s="6" t="str">
        <x:v>execute</x:v>
      </x:c>
      <x:c r="G870" s="6" t="str">
        <x:v>qra_run.execute</x:v>
      </x:c>
      <x:c r="H870" s="6" t="str">
        <x:v>LIVE_ROUTER_REGISTERED</x:v>
      </x:c>
      <x:c r="I870" s="6" t="str">
        <x:v>NO_DIRECT_LITERAL_MATCH_NOT_PROOF_UNUSED</x:v>
      </x:c>
      <x:c r="J870" s="6" t="str">
        <x:v>NOT_EXECUTED_BY_INVENTORY. SOURCE_LITERAL_OR_TRANSITIVE_HELPER_UNION</x:v>
      </x:c>
    </x:row>
    <x:row r="871" ht="42" customHeight="1">
      <x:c r="A871" s="15" t="str">
        <x:v>API-667</x:v>
      </x:c>
      <x:c r="B871" s="13" t="str">
        <x:v>GET</x:v>
      </x:c>
      <x:c r="C871" s="13" t="str">
        <x:v>/api/v1/qra-engine/runs/{run_id}/histogram</x:v>
      </x:c>
      <x:c r="D871" s="13" t="str">
        <x:v>READ-ONLY SHARED CONTEXT</x:v>
      </x:c>
      <x:c r="E871" s="13" t="str">
        <x:v>qra_engine</x:v>
      </x:c>
      <x:c r="F871" s="13" t="str">
        <x:v>run result histogram</x:v>
      </x:c>
      <x:c r="G871" s="13" t="str">
        <x:v>qra_run.read</x:v>
      </x:c>
      <x:c r="H871" s="13" t="str">
        <x:v>LIVE_DYNAMIC_ROUTER_REGISTERED</x:v>
      </x:c>
      <x:c r="I871" s="13" t="str">
        <x:v>DYNAMIC_RESULT_SECTION_CLIENT</x:v>
      </x:c>
      <x:c r="J871" s="13" t="str">
        <x:v>NOT_EXECUTED_BY_INVENTORY. EXACT_DYNAMIC_FACTORY</x:v>
      </x:c>
    </x:row>
    <x:row r="872" ht="42" customHeight="1">
      <x:c r="A872" s="14" t="str">
        <x:v>API-668</x:v>
      </x:c>
      <x:c r="B872" s="6" t="str">
        <x:v>GET</x:v>
      </x:c>
      <x:c r="C872" s="6" t="str">
        <x:v>/api/v1/qra-engine/runs/{run_id}/milestones</x:v>
      </x:c>
      <x:c r="D872" s="6" t="str">
        <x:v>READ-ONLY SHARED CONTEXT</x:v>
      </x:c>
      <x:c r="E872" s="6" t="str">
        <x:v>qra_engine</x:v>
      </x:c>
      <x:c r="F872" s="6" t="str">
        <x:v>run result milestones</x:v>
      </x:c>
      <x:c r="G872" s="6" t="str">
        <x:v>qra_run.read</x:v>
      </x:c>
      <x:c r="H872" s="6" t="str">
        <x:v>LIVE_DYNAMIC_ROUTER_REGISTERED</x:v>
      </x:c>
      <x:c r="I872" s="6" t="str">
        <x:v>DYNAMIC_RESULT_SECTION_CLIENT</x:v>
      </x:c>
      <x:c r="J872" s="6" t="str">
        <x:v>NOT_EXECUTED_BY_INVENTORY. EXACT_DYNAMIC_FACTORY</x:v>
      </x:c>
    </x:row>
    <x:row r="873" ht="42" customHeight="1">
      <x:c r="A873" s="15" t="str">
        <x:v>API-669</x:v>
      </x:c>
      <x:c r="B873" s="13" t="str">
        <x:v>GET</x:v>
      </x:c>
      <x:c r="C873" s="13" t="str">
        <x:v>/api/v1/qra-engine/runs/{run_id}/percentiles</x:v>
      </x:c>
      <x:c r="D873" s="13" t="str">
        <x:v>READ-ONLY SHARED CONTEXT</x:v>
      </x:c>
      <x:c r="E873" s="13" t="str">
        <x:v>qra_engine</x:v>
      </x:c>
      <x:c r="F873" s="13" t="str">
        <x:v>run result percentiles</x:v>
      </x:c>
      <x:c r="G873" s="13" t="str">
        <x:v>qra_run.read</x:v>
      </x:c>
      <x:c r="H873" s="13" t="str">
        <x:v>LIVE_DYNAMIC_ROUTER_REGISTERED</x:v>
      </x:c>
      <x:c r="I873" s="13" t="str">
        <x:v>DYNAMIC_RESULT_SECTION_CLIENT</x:v>
      </x:c>
      <x:c r="J873" s="13" t="str">
        <x:v>NOT_EXECUTED_BY_INVENTORY. EXACT_DYNAMIC_FACTORY</x:v>
      </x:c>
    </x:row>
    <x:row r="874" ht="42" customHeight="1">
      <x:c r="A874" s="14" t="str">
        <x:v>API-670</x:v>
      </x:c>
      <x:c r="B874" s="6" t="str">
        <x:v>GET</x:v>
      </x:c>
      <x:c r="C874" s="6" t="str">
        <x:v>/api/v1/qra-engine/runs/{run_id}/provenance</x:v>
      </x:c>
      <x:c r="D874" s="6" t="str">
        <x:v>READ-ONLY SHARED CONTEXT</x:v>
      </x:c>
      <x:c r="E874" s="6" t="str">
        <x:v>qra_engine</x:v>
      </x:c>
      <x:c r="F874" s="6" t="str">
        <x:v>run result provenance</x:v>
      </x:c>
      <x:c r="G874" s="6" t="str">
        <x:v>qra_run.read</x:v>
      </x:c>
      <x:c r="H874" s="6" t="str">
        <x:v>LIVE_DYNAMIC_ROUTER_REGISTERED</x:v>
      </x:c>
      <x:c r="I874" s="6" t="str">
        <x:v>DYNAMIC_RESULT_SECTION_CLIENT</x:v>
      </x:c>
      <x:c r="J874" s="6" t="str">
        <x:v>NOT_EXECUTED_BY_INVENTORY. EXACT_DYNAMIC_FACTORY</x:v>
      </x:c>
    </x:row>
    <x:row r="875" ht="42" customHeight="1">
      <x:c r="A875" s="15" t="str">
        <x:v>API-671</x:v>
      </x:c>
      <x:c r="B875" s="13" t="str">
        <x:v>POST</x:v>
      </x:c>
      <x:c r="C875" s="13" t="str">
        <x:v>/api/v1/qra-engine/runs/{run_id}/review</x:v>
      </x:c>
      <x:c r="D875" s="13" t="str">
        <x:v>USER MODE</x:v>
      </x:c>
      <x:c r="E875" s="13" t="str">
        <x:v>qra_engine</x:v>
      </x:c>
      <x:c r="F875" s="13" t="str">
        <x:v>review</x:v>
      </x:c>
      <x:c r="G875" s="13" t="str">
        <x:v>qra_run.review</x:v>
      </x:c>
      <x:c r="H875" s="13" t="str">
        <x:v>LIVE_ROUTER_REGISTERED</x:v>
      </x:c>
      <x:c r="I875" s="13" t="str">
        <x:v>NO_DIRECT_LITERAL_MATCH_NOT_PROOF_UNUSED</x:v>
      </x:c>
      <x:c r="J875" s="13" t="str">
        <x:v>NOT_EXECUTED_BY_INVENTORY. SOURCE_LITERAL_OR_TRANSITIVE_HELPER_UNION</x:v>
      </x:c>
    </x:row>
    <x:row r="876" ht="42" customHeight="1">
      <x:c r="A876" s="14" t="str">
        <x:v>API-672</x:v>
      </x:c>
      <x:c r="B876" s="6" t="str">
        <x:v>GET</x:v>
      </x:c>
      <x:c r="C876" s="6" t="str">
        <x:v>/api/v1/qra-engine/runs/{run_id}/sensitivity</x:v>
      </x:c>
      <x:c r="D876" s="6" t="str">
        <x:v>READ-ONLY SHARED CONTEXT</x:v>
      </x:c>
      <x:c r="E876" s="6" t="str">
        <x:v>qra_engine</x:v>
      </x:c>
      <x:c r="F876" s="6" t="str">
        <x:v>run result sensitivity</x:v>
      </x:c>
      <x:c r="G876" s="6" t="str">
        <x:v>qra_run.read</x:v>
      </x:c>
      <x:c r="H876" s="6" t="str">
        <x:v>LIVE_DYNAMIC_ROUTER_REGISTERED</x:v>
      </x:c>
      <x:c r="I876" s="6" t="str">
        <x:v>DYNAMIC_RESULT_SECTION_CLIENT</x:v>
      </x:c>
      <x:c r="J876" s="6" t="str">
        <x:v>NOT_EXECUTED_BY_INVENTORY. EXACT_DYNAMIC_FACTORY</x:v>
      </x:c>
    </x:row>
    <x:row r="877" ht="42" customHeight="1">
      <x:c r="A877" s="15" t="str">
        <x:v>API-673</x:v>
      </x:c>
      <x:c r="B877" s="13" t="str">
        <x:v>GET</x:v>
      </x:c>
      <x:c r="C877" s="13" t="str">
        <x:v>/api/v1/qra-engine/runs/{run_id}/status</x:v>
      </x:c>
      <x:c r="D877" s="13" t="str">
        <x:v>READ-ONLY SHARED CONTEXT</x:v>
      </x:c>
      <x:c r="E877" s="13" t="str">
        <x:v>qra_engine</x:v>
      </x:c>
      <x:c r="F877" s="13" t="str">
        <x:v>status</x:v>
      </x:c>
      <x:c r="G877" s="13" t="str">
        <x:v>qra_run.read</x:v>
      </x:c>
      <x:c r="H877" s="13" t="str">
        <x:v>LIVE_ROUTER_REGISTERED</x:v>
      </x:c>
      <x:c r="I877" s="13" t="str">
        <x:v>frontend/src/features/qra-engine/api.ts</x:v>
      </x:c>
      <x:c r="J877" s="13" t="str">
        <x:v>NOT_EXECUTED_BY_INVENTORY. SOURCE_LITERAL_OR_TRANSITIVE_HELPER_UNION</x:v>
      </x:c>
    </x:row>
    <x:row r="878" ht="42" customHeight="1">
      <x:c r="A878" s="14" t="str">
        <x:v>API-674</x:v>
      </x:c>
      <x:c r="B878" s="6" t="str">
        <x:v>GET</x:v>
      </x:c>
      <x:c r="C878" s="6" t="str">
        <x:v>/api/v1/qra-engine/runs/{run_id}/summary</x:v>
      </x:c>
      <x:c r="D878" s="6" t="str">
        <x:v>READ-ONLY SHARED CONTEXT</x:v>
      </x:c>
      <x:c r="E878" s="6" t="str">
        <x:v>qra_engine</x:v>
      </x:c>
      <x:c r="F878" s="6" t="str">
        <x:v>run result summary</x:v>
      </x:c>
      <x:c r="G878" s="6" t="str">
        <x:v>qra_run.read</x:v>
      </x:c>
      <x:c r="H878" s="6" t="str">
        <x:v>LIVE_DYNAMIC_ROUTER_REGISTERED</x:v>
      </x:c>
      <x:c r="I878" s="6" t="str">
        <x:v>DYNAMIC_RESULT_SECTION_CLIENT</x:v>
      </x:c>
      <x:c r="J878" s="6" t="str">
        <x:v>NOT_EXECUTED_BY_INVENTORY. EXACT_DYNAMIC_FACTORY</x:v>
      </x:c>
    </x:row>
    <x:row r="879" ht="42" customHeight="1">
      <x:c r="A879" s="15" t="str">
        <x:v>API-675</x:v>
      </x:c>
      <x:c r="B879" s="13" t="str">
        <x:v>GET</x:v>
      </x:c>
      <x:c r="C879" s="13" t="str">
        <x:v>/api/v1/qra-foundation/admin/configurations</x:v>
      </x:c>
      <x:c r="D879" s="13" t="str">
        <x:v>ADMIN MODE</x:v>
      </x:c>
      <x:c r="E879" s="13" t="str">
        <x:v>qra_foundation</x:v>
      </x:c>
      <x:c r="F879" s="13" t="str">
        <x:v>configurations</x:v>
      </x:c>
      <x:c r="G879" s="13" t="str">
        <x:v>qra_methodology.admin.configure</x:v>
      </x:c>
      <x:c r="H879" s="13" t="str">
        <x:v>LIVE_ROUTER_REGISTERED</x:v>
      </x:c>
      <x:c r="I879" s="13" t="str">
        <x:v>NO_DIRECT_LITERAL_MATCH_NOT_PROOF_UNUSED</x:v>
      </x:c>
      <x:c r="J879" s="13" t="str">
        <x:v>NOT_EXECUTED_BY_INVENTORY. SOURCE_LITERAL_OR_TRANSITIVE_HELPER_UNION</x:v>
      </x:c>
    </x:row>
    <x:row r="880" ht="42" customHeight="1">
      <x:c r="A880" s="14" t="str">
        <x:v>API-676</x:v>
      </x:c>
      <x:c r="B880" s="6" t="str">
        <x:v>GET</x:v>
      </x:c>
      <x:c r="C880" s="6" t="str">
        <x:v>/api/v1/qra-foundation/admin/configurations/{configuration_id}</x:v>
      </x:c>
      <x:c r="D880" s="6" t="str">
        <x:v>ADMIN MODE</x:v>
      </x:c>
      <x:c r="E880" s="6" t="str">
        <x:v>qra_foundation</x:v>
      </x:c>
      <x:c r="F880" s="6" t="str">
        <x:v>configuration</x:v>
      </x:c>
      <x:c r="G880" s="6" t="str">
        <x:v>qra_methodology.admin.configure</x:v>
      </x:c>
      <x:c r="H880" s="6" t="str">
        <x:v>LIVE_ROUTER_REGISTERED</x:v>
      </x:c>
      <x:c r="I880" s="6" t="str">
        <x:v>NO_DIRECT_LITERAL_MATCH_NOT_PROOF_UNUSED</x:v>
      </x:c>
      <x:c r="J880" s="6" t="str">
        <x:v>NOT_EXECUTED_BY_INVENTORY. SOURCE_LITERAL_OR_TRANSITIVE_HELPER_UNION</x:v>
      </x:c>
    </x:row>
    <x:row r="881" ht="42" customHeight="1">
      <x:c r="A881" s="15" t="str">
        <x:v>API-677</x:v>
      </x:c>
      <x:c r="B881" s="13" t="str">
        <x:v>PUT</x:v>
      </x:c>
      <x:c r="C881" s="13" t="str">
        <x:v>/api/v1/qra-foundation/admin/configurations/{configuration_id}</x:v>
      </x:c>
      <x:c r="D881" s="13" t="str">
        <x:v>ADMIN MODE</x:v>
      </x:c>
      <x:c r="E881" s="13" t="str">
        <x:v>qra_foundation</x:v>
      </x:c>
      <x:c r="F881" s="13" t="str">
        <x:v>update configuration</x:v>
      </x:c>
      <x:c r="G881" s="13" t="str">
        <x:v>qra_methodology.admin.configure</x:v>
      </x:c>
      <x:c r="H881" s="13" t="str">
        <x:v>LIVE_ROUTER_REGISTERED</x:v>
      </x:c>
      <x:c r="I881" s="13" t="str">
        <x:v>NO_DIRECT_LITERAL_MATCH_NOT_PROOF_UNUSED</x:v>
      </x:c>
      <x:c r="J881" s="13" t="str">
        <x:v>NOT_EXECUTED_BY_INVENTORY. SOURCE_LITERAL_OR_TRANSITIVE_HELPER_UNION</x:v>
      </x:c>
    </x:row>
    <x:row r="882" ht="42" customHeight="1">
      <x:c r="A882" s="14" t="str">
        <x:v>API-678</x:v>
      </x:c>
      <x:c r="B882" s="6" t="str">
        <x:v>POST</x:v>
      </x:c>
      <x:c r="C882" s="6" t="str">
        <x:v>/api/v1/qra-foundation/admin/configurations/{configuration_id}/archive</x:v>
      </x:c>
      <x:c r="D882" s="6" t="str">
        <x:v>ADMIN MODE</x:v>
      </x:c>
      <x:c r="E882" s="6" t="str">
        <x:v>qra_foundation</x:v>
      </x:c>
      <x:c r="F882" s="6" t="str">
        <x:v>archive configuration</x:v>
      </x:c>
      <x:c r="G882" s="6" t="str">
        <x:v>qra_methodology.admin.publish</x:v>
      </x:c>
      <x:c r="H882" s="6" t="str">
        <x:v>LIVE_ROUTER_REGISTERED</x:v>
      </x:c>
      <x:c r="I882" s="6" t="str">
        <x:v>NO_DIRECT_LITERAL_MATCH_NOT_PROOF_UNUSED</x:v>
      </x:c>
      <x:c r="J882" s="6" t="str">
        <x:v>NOT_EXECUTED_BY_INVENTORY. SOURCE_LITERAL_OR_TRANSITIVE_HELPER_UNION</x:v>
      </x:c>
    </x:row>
    <x:row r="883" ht="42" customHeight="1">
      <x:c r="A883" s="15" t="str">
        <x:v>API-679</x:v>
      </x:c>
      <x:c r="B883" s="13" t="str">
        <x:v>POST</x:v>
      </x:c>
      <x:c r="C883" s="13" t="str">
        <x:v>/api/v1/qra-foundation/admin/configurations/{configuration_id}/clone</x:v>
      </x:c>
      <x:c r="D883" s="13" t="str">
        <x:v>ADMIN MODE</x:v>
      </x:c>
      <x:c r="E883" s="13" t="str">
        <x:v>qra_foundation</x:v>
      </x:c>
      <x:c r="F883" s="13" t="str">
        <x:v>clone configuration</x:v>
      </x:c>
      <x:c r="G883" s="13" t="str">
        <x:v>qra_methodology.admin.configure</x:v>
      </x:c>
      <x:c r="H883" s="13" t="str">
        <x:v>LIVE_ROUTER_REGISTERED</x:v>
      </x:c>
      <x:c r="I883" s="13" t="str">
        <x:v>NO_DIRECT_LITERAL_MATCH_NOT_PROOF_UNUSED</x:v>
      </x:c>
      <x:c r="J883" s="13" t="str">
        <x:v>NOT_EXECUTED_BY_INVENTORY. SOURCE_LITERAL_OR_TRANSITIVE_HELPER_UNION</x:v>
      </x:c>
    </x:row>
    <x:row r="884" ht="42" customHeight="1">
      <x:c r="A884" s="14" t="str">
        <x:v>API-680</x:v>
      </x:c>
      <x:c r="B884" s="6" t="str">
        <x:v>GET</x:v>
      </x:c>
      <x:c r="C884" s="6" t="str">
        <x:v>/api/v1/qra-foundation/admin/configurations/{configuration_id}/history</x:v>
      </x:c>
      <x:c r="D884" s="6" t="str">
        <x:v>ADMIN MODE</x:v>
      </x:c>
      <x:c r="E884" s="6" t="str">
        <x:v>qra_foundation</x:v>
      </x:c>
      <x:c r="F884" s="6" t="str">
        <x:v>configuration history</x:v>
      </x:c>
      <x:c r="G884" s="6" t="str">
        <x:v>qra_methodology.admin.configure</x:v>
      </x:c>
      <x:c r="H884" s="6" t="str">
        <x:v>LIVE_ROUTER_REGISTERED</x:v>
      </x:c>
      <x:c r="I884" s="6" t="str">
        <x:v>NO_DIRECT_LITERAL_MATCH_NOT_PROOF_UNUSED</x:v>
      </x:c>
      <x:c r="J884" s="6" t="str">
        <x:v>NOT_EXECUTED_BY_INVENTORY. SOURCE_LITERAL_OR_TRANSITIVE_HELPER_UNION</x:v>
      </x:c>
    </x:row>
    <x:row r="885" ht="42" customHeight="1">
      <x:c r="A885" s="15" t="str">
        <x:v>API-681</x:v>
      </x:c>
      <x:c r="B885" s="13" t="str">
        <x:v>POST</x:v>
      </x:c>
      <x:c r="C885" s="13" t="str">
        <x:v>/api/v1/qra-foundation/admin/configurations/{configuration_id}/publish</x:v>
      </x:c>
      <x:c r="D885" s="13" t="str">
        <x:v>ADMIN MODE</x:v>
      </x:c>
      <x:c r="E885" s="13" t="str">
        <x:v>qra_foundation</x:v>
      </x:c>
      <x:c r="F885" s="13" t="str">
        <x:v>publish configuration</x:v>
      </x:c>
      <x:c r="G885" s="13" t="str">
        <x:v>qra_methodology.admin.publish</x:v>
      </x:c>
      <x:c r="H885" s="13" t="str">
        <x:v>LIVE_ROUTER_REGISTERED</x:v>
      </x:c>
      <x:c r="I885" s="13" t="str">
        <x:v>NO_DIRECT_LITERAL_MATCH_NOT_PROOF_UNUSED</x:v>
      </x:c>
      <x:c r="J885" s="13" t="str">
        <x:v>NOT_EXECUTED_BY_INVENTORY. SOURCE_LITERAL_OR_TRANSITIVE_HELPER_UNION</x:v>
      </x:c>
    </x:row>
    <x:row r="886" ht="42" customHeight="1">
      <x:c r="A886" s="14" t="str">
        <x:v>API-682</x:v>
      </x:c>
      <x:c r="B886" s="6" t="str">
        <x:v>POST</x:v>
      </x:c>
      <x:c r="C886" s="6" t="str">
        <x:v>/api/v1/qra-foundation/admin/effective-preview</x:v>
      </x:c>
      <x:c r="D886" s="6" t="str">
        <x:v>ADMIN MODE</x:v>
      </x:c>
      <x:c r="E886" s="6" t="str">
        <x:v>qra_foundation</x:v>
      </x:c>
      <x:c r="F886" s="6" t="str">
        <x:v>config preview</x:v>
      </x:c>
      <x:c r="G886" s="6" t="str">
        <x:v>qra_methodology.admin.configure</x:v>
      </x:c>
      <x:c r="H886" s="6" t="str">
        <x:v>LIVE_ROUTER_REGISTERED</x:v>
      </x:c>
      <x:c r="I886" s="6" t="str">
        <x:v>NO_DIRECT_LITERAL_MATCH_NOT_PROOF_UNUSED</x:v>
      </x:c>
      <x:c r="J886" s="6" t="str">
        <x:v>NOT_EXECUTED_BY_INVENTORY. SOURCE_LITERAL_OR_TRANSITIVE_HELPER_UNION</x:v>
      </x:c>
    </x:row>
    <x:row r="887" ht="42" customHeight="1">
      <x:c r="A887" s="15" t="str">
        <x:v>API-683</x:v>
      </x:c>
      <x:c r="B887" s="13" t="str">
        <x:v>POST</x:v>
      </x:c>
      <x:c r="C887" s="13" t="str">
        <x:v>/api/v1/qra-foundation/admin/preview</x:v>
      </x:c>
      <x:c r="D887" s="13" t="str">
        <x:v>ADMIN MODE</x:v>
      </x:c>
      <x:c r="E887" s="13" t="str">
        <x:v>qra_foundation</x:v>
      </x:c>
      <x:c r="F887" s="13" t="str">
        <x:v>config preview</x:v>
      </x:c>
      <x:c r="G887" s="13" t="str">
        <x:v>qra_methodology.admin.configure</x:v>
      </x:c>
      <x:c r="H887" s="13" t="str">
        <x:v>LIVE_ROUTER_REGISTERED</x:v>
      </x:c>
      <x:c r="I887" s="13" t="str">
        <x:v>NO_DIRECT_LITERAL_MATCH_NOT_PROOF_UNUSED</x:v>
      </x:c>
      <x:c r="J887" s="13" t="str">
        <x:v>NOT_EXECUTED_BY_INVENTORY. SOURCE_LITERAL_OR_TRANSITIVE_HELPER_UNION</x:v>
      </x:c>
    </x:row>
    <x:row r="888" ht="42" customHeight="1">
      <x:c r="A888" s="14" t="str">
        <x:v>API-684</x:v>
      </x:c>
      <x:c r="B888" s="6" t="str">
        <x:v>GET</x:v>
      </x:c>
      <x:c r="C888" s="6" t="str">
        <x:v>/api/v1/qra-foundation/models/{record_id}</x:v>
      </x:c>
      <x:c r="D888" s="6" t="str">
        <x:v>READ-ONLY SHARED CONTEXT</x:v>
      </x:c>
      <x:c r="E888" s="6" t="str">
        <x:v>qra_foundation</x:v>
      </x:c>
      <x:c r="F888" s="6" t="str">
        <x:v>model</x:v>
      </x:c>
      <x:c r="G888" s="6" t="str">
        <x:v>qra_foundation.read</x:v>
      </x:c>
      <x:c r="H888" s="6" t="str">
        <x:v>LIVE_ROUTER_REGISTERED</x:v>
      </x:c>
      <x:c r="I888" s="6" t="str">
        <x:v>NO_DIRECT_LITERAL_MATCH_NOT_PROOF_UNUSED</x:v>
      </x:c>
      <x:c r="J888" s="6" t="str">
        <x:v>NOT_EXECUTED_BY_INVENTORY. SOURCE_LITERAL_OR_TRANSITIVE_HELPER_UNION</x:v>
      </x:c>
    </x:row>
    <x:row r="889" ht="42" customHeight="1">
      <x:c r="A889" s="15" t="str">
        <x:v>API-685</x:v>
      </x:c>
      <x:c r="B889" s="13" t="str">
        <x:v>PUT</x:v>
      </x:c>
      <x:c r="C889" s="13" t="str">
        <x:v>/api/v1/qra-foundation/models/{record_id}</x:v>
      </x:c>
      <x:c r="D889" s="13" t="str">
        <x:v>USER MODE</x:v>
      </x:c>
      <x:c r="E889" s="13" t="str">
        <x:v>qra_foundation</x:v>
      </x:c>
      <x:c r="F889" s="13" t="str">
        <x:v>update model</x:v>
      </x:c>
      <x:c r="G889" s="13" t="str">
        <x:v>qra_model.edit</x:v>
      </x:c>
      <x:c r="H889" s="13" t="str">
        <x:v>LIVE_ROUTER_REGISTERED</x:v>
      </x:c>
      <x:c r="I889" s="13" t="str">
        <x:v>NO_DIRECT_LITERAL_MATCH_NOT_PROOF_UNUSED</x:v>
      </x:c>
      <x:c r="J889" s="13" t="str">
        <x:v>NOT_EXECUTED_BY_INVENTORY. SOURCE_LITERAL_OR_TRANSITIVE_HELPER_UNION</x:v>
      </x:c>
    </x:row>
    <x:row r="890" ht="42" customHeight="1">
      <x:c r="A890" s="14" t="str">
        <x:v>API-686</x:v>
      </x:c>
      <x:c r="B890" s="6" t="str">
        <x:v>GET</x:v>
      </x:c>
      <x:c r="C890" s="6" t="str">
        <x:v>/api/v1/qra-foundation/models/{record_id}/correlations</x:v>
      </x:c>
      <x:c r="D890" s="6" t="str">
        <x:v>READ-ONLY SHARED CONTEXT</x:v>
      </x:c>
      <x:c r="E890" s="6" t="str">
        <x:v>qra_foundation</x:v>
      </x:c>
      <x:c r="F890" s="6" t="str">
        <x:v>model correlations</x:v>
      </x:c>
      <x:c r="G890" s="6" t="str">
        <x:v>qra_foundation.read</x:v>
      </x:c>
      <x:c r="H890" s="6" t="str">
        <x:v>LIVE_ROUTER_REGISTERED</x:v>
      </x:c>
      <x:c r="I890" s="6" t="str">
        <x:v>frontend/src/features/qra-foundation/api.ts</x:v>
      </x:c>
      <x:c r="J890" s="6" t="str">
        <x:v>NOT_EXECUTED_BY_INVENTORY. SOURCE_LITERAL_OR_TRANSITIVE_HELPER_UNION</x:v>
      </x:c>
    </x:row>
    <x:row r="891" ht="42" customHeight="1">
      <x:c r="A891" s="15" t="str">
        <x:v>API-687</x:v>
      </x:c>
      <x:c r="B891" s="13" t="str">
        <x:v>PATCH</x:v>
      </x:c>
      <x:c r="C891" s="13" t="str">
        <x:v>/api/v1/qra-foundation/models/{record_id}/inputs</x:v>
      </x:c>
      <x:c r="D891" s="13" t="str">
        <x:v>USER MODE</x:v>
      </x:c>
      <x:c r="E891" s="13" t="str">
        <x:v>qra_foundation</x:v>
      </x:c>
      <x:c r="F891" s="13" t="str">
        <x:v>patch model inputs</x:v>
      </x:c>
      <x:c r="G891" s="13" t="str">
        <x:v>qra_model.edit</x:v>
      </x:c>
      <x:c r="H891" s="13" t="str">
        <x:v>LIVE_ROUTER_REGISTERED</x:v>
      </x:c>
      <x:c r="I891" s="13" t="str">
        <x:v>frontend/src/features/qra-foundation/api.ts</x:v>
      </x:c>
      <x:c r="J891" s="13" t="str">
        <x:v>NOT_EXECUTED_BY_INVENTORY. SOURCE_LITERAL_OR_TRANSITIVE_HELPER_UNION</x:v>
      </x:c>
    </x:row>
    <x:row r="892" ht="42" customHeight="1">
      <x:c r="A892" s="14" t="str">
        <x:v>API-688</x:v>
      </x:c>
      <x:c r="B892" s="6" t="str">
        <x:v>GET</x:v>
      </x:c>
      <x:c r="C892" s="6" t="str">
        <x:v>/api/v1/qra-foundation/models/{record_id}/items</x:v>
      </x:c>
      <x:c r="D892" s="6" t="str">
        <x:v>READ-ONLY SHARED CONTEXT</x:v>
      </x:c>
      <x:c r="E892" s="6" t="str">
        <x:v>qra_foundation</x:v>
      </x:c>
      <x:c r="F892" s="6" t="str">
        <x:v>model items</x:v>
      </x:c>
      <x:c r="G892" s="6" t="str">
        <x:v>qra_foundation.read</x:v>
      </x:c>
      <x:c r="H892" s="6" t="str">
        <x:v>LIVE_ROUTER_REGISTERED</x:v>
      </x:c>
      <x:c r="I892" s="6" t="str">
        <x:v>NO_DIRECT_LITERAL_MATCH_NOT_PROOF_UNUSED</x:v>
      </x:c>
      <x:c r="J892" s="6" t="str">
        <x:v>NOT_EXECUTED_BY_INVENTORY. SOURCE_LITERAL_OR_TRANSITIVE_HELPER_UNION</x:v>
      </x:c>
    </x:row>
    <x:row r="893" ht="42" customHeight="1">
      <x:c r="A893" s="15" t="str">
        <x:v>API-689</x:v>
      </x:c>
      <x:c r="B893" s="13" t="str">
        <x:v>PATCH</x:v>
      </x:c>
      <x:c r="C893" s="13" t="str">
        <x:v>/api/v1/qra-foundation/models/{record_id}/metadata</x:v>
      </x:c>
      <x:c r="D893" s="13" t="str">
        <x:v>USER MODE</x:v>
      </x:c>
      <x:c r="E893" s="13" t="str">
        <x:v>qra_foundation</x:v>
      </x:c>
      <x:c r="F893" s="13" t="str">
        <x:v>patch model metadata</x:v>
      </x:c>
      <x:c r="G893" s="13" t="str">
        <x:v>qra_model.edit</x:v>
      </x:c>
      <x:c r="H893" s="13" t="str">
        <x:v>LIVE_ROUTER_REGISTERED</x:v>
      </x:c>
      <x:c r="I893" s="13" t="str">
        <x:v>frontend/src/features/qra-foundation/api.ts</x:v>
      </x:c>
      <x:c r="J893" s="13" t="str">
        <x:v>NOT_EXECUTED_BY_INVENTORY. SOURCE_LITERAL_OR_TRANSITIVE_HELPER_UNION</x:v>
      </x:c>
    </x:row>
    <x:row r="894" ht="42" customHeight="1">
      <x:c r="A894" s="14" t="str">
        <x:v>API-690</x:v>
      </x:c>
      <x:c r="B894" s="6" t="str">
        <x:v>POST</x:v>
      </x:c>
      <x:c r="C894" s="6" t="str">
        <x:v>/api/v1/qra-foundation/models/{record_id}/preview</x:v>
      </x:c>
      <x:c r="D894" s="6" t="str">
        <x:v>USER MODE</x:v>
      </x:c>
      <x:c r="E894" s="6" t="str">
        <x:v>qra_foundation</x:v>
      </x:c>
      <x:c r="F894" s="6" t="str">
        <x:v>preview model</x:v>
      </x:c>
      <x:c r="G894" s="6" t="str">
        <x:v>qra_foundation.read</x:v>
      </x:c>
      <x:c r="H894" s="6" t="str">
        <x:v>LIVE_ROUTER_REGISTERED</x:v>
      </x:c>
      <x:c r="I894" s="6" t="str">
        <x:v>NO_DIRECT_LITERAL_MATCH_NOT_PROOF_UNUSED</x:v>
      </x:c>
      <x:c r="J894" s="6" t="str">
        <x:v>NOT_EXECUTED_BY_INVENTORY. SOURCE_LITERAL_OR_TRANSITIVE_HELPER_UNION</x:v>
      </x:c>
    </x:row>
    <x:row r="895" ht="42" customHeight="1">
      <x:c r="A895" s="15" t="str">
        <x:v>API-691</x:v>
      </x:c>
      <x:c r="B895" s="13" t="str">
        <x:v>POST</x:v>
      </x:c>
      <x:c r="C895" s="13" t="str">
        <x:v>/api/v1/qra-foundation/models/{record_id}/refresh-apply</x:v>
      </x:c>
      <x:c r="D895" s="13" t="str">
        <x:v>USER MODE</x:v>
      </x:c>
      <x:c r="E895" s="13" t="str">
        <x:v>qra_foundation</x:v>
      </x:c>
      <x:c r="F895" s="13" t="str">
        <x:v>model refresh apply</x:v>
      </x:c>
      <x:c r="G895" s="13" t="str">
        <x:v>qra_model.create</x:v>
      </x:c>
      <x:c r="H895" s="13" t="str">
        <x:v>LIVE_ROUTER_REGISTERED</x:v>
      </x:c>
      <x:c r="I895" s="13" t="str">
        <x:v>NO_DIRECT_LITERAL_MATCH_NOT_PROOF_UNUSED</x:v>
      </x:c>
      <x:c r="J895" s="13" t="str">
        <x:v>NOT_EXECUTED_BY_INVENTORY. SOURCE_LITERAL_OR_TRANSITIVE_HELPER_UNION</x:v>
      </x:c>
    </x:row>
    <x:row r="896" ht="42" customHeight="1">
      <x:c r="A896" s="14" t="str">
        <x:v>API-692</x:v>
      </x:c>
      <x:c r="B896" s="6" t="str">
        <x:v>GET</x:v>
      </x:c>
      <x:c r="C896" s="6" t="str">
        <x:v>/api/v1/qra-foundation/models/{record_id}/refresh-preview</x:v>
      </x:c>
      <x:c r="D896" s="6" t="str">
        <x:v>READ-ONLY SHARED CONTEXT</x:v>
      </x:c>
      <x:c r="E896" s="6" t="str">
        <x:v>qra_foundation</x:v>
      </x:c>
      <x:c r="F896" s="6" t="str">
        <x:v>model refresh preview</x:v>
      </x:c>
      <x:c r="G896" s="6" t="str">
        <x:v>qra_foundation.read</x:v>
      </x:c>
      <x:c r="H896" s="6" t="str">
        <x:v>LIVE_ROUTER_REGISTERED</x:v>
      </x:c>
      <x:c r="I896" s="6" t="str">
        <x:v>NO_DIRECT_LITERAL_MATCH_NOT_PROOF_UNUSED</x:v>
      </x:c>
      <x:c r="J896" s="6" t="str">
        <x:v>NOT_EXECUTED_BY_INVENTORY. SOURCE_LITERAL_OR_TRANSITIVE_HELPER_UNION</x:v>
      </x:c>
    </x:row>
    <x:row r="897" ht="42" customHeight="1">
      <x:c r="A897" s="15" t="str">
        <x:v>API-693</x:v>
      </x:c>
      <x:c r="B897" s="13" t="str">
        <x:v>POST</x:v>
      </x:c>
      <x:c r="C897" s="13" t="str">
        <x:v>/api/v1/qra-foundation/models/{record_id}/refresh-preview</x:v>
      </x:c>
      <x:c r="D897" s="13" t="str">
        <x:v>USER MODE</x:v>
      </x:c>
      <x:c r="E897" s="13" t="str">
        <x:v>qra_foundation</x:v>
      </x:c>
      <x:c r="F897" s="13" t="str">
        <x:v>model refresh preview</x:v>
      </x:c>
      <x:c r="G897" s="13" t="str">
        <x:v>qra_foundation.read</x:v>
      </x:c>
      <x:c r="H897" s="13" t="str">
        <x:v>LIVE_ROUTER_REGISTERED</x:v>
      </x:c>
      <x:c r="I897" s="13" t="str">
        <x:v>NO_DIRECT_LITERAL_MATCH_NOT_PROOF_UNUSED</x:v>
      </x:c>
      <x:c r="J897" s="13" t="str">
        <x:v>NOT_EXECUTED_BY_INVENTORY. SOURCE_LITERAL_OR_TRANSITIVE_HELPER_UNION</x:v>
      </x:c>
    </x:row>
    <x:row r="898" ht="42" customHeight="1">
      <x:c r="A898" s="14" t="str">
        <x:v>API-694</x:v>
      </x:c>
      <x:c r="B898" s="6" t="str">
        <x:v>GET</x:v>
      </x:c>
      <x:c r="C898" s="6" t="str">
        <x:v>/api/v1/qra-foundation/options</x:v>
      </x:c>
      <x:c r="D898" s="6" t="str">
        <x:v>READ-ONLY SHARED CONTEXT</x:v>
      </x:c>
      <x:c r="E898" s="6" t="str">
        <x:v>qra_foundation</x:v>
      </x:c>
      <x:c r="F898" s="6" t="str">
        <x:v>options</x:v>
      </x:c>
      <x:c r="G898" s="6" t="str">
        <x:v>qra_foundation.read</x:v>
      </x:c>
      <x:c r="H898" s="6" t="str">
        <x:v>LIVE_ROUTER_REGISTERED</x:v>
      </x:c>
      <x:c r="I898" s="6" t="str">
        <x:v>frontend/src/features/qra-foundation/api.ts</x:v>
      </x:c>
      <x:c r="J898" s="6" t="str">
        <x:v>NOT_EXECUTED_BY_INVENTORY. SOURCE_LITERAL_OR_TRANSITIVE_HELPER_UNION</x:v>
      </x:c>
    </x:row>
    <x:row r="899" ht="42" customHeight="1">
      <x:c r="A899" s="15" t="str">
        <x:v>API-695</x:v>
      </x:c>
      <x:c r="B899" s="13" t="str">
        <x:v>GET</x:v>
      </x:c>
      <x:c r="C899" s="13" t="str">
        <x:v>/api/v1/qra-foundation/projects/{project_id}/contexts</x:v>
      </x:c>
      <x:c r="D899" s="13" t="str">
        <x:v>READ-ONLY SHARED CONTEXT</x:v>
      </x:c>
      <x:c r="E899" s="13" t="str">
        <x:v>qra_foundation</x:v>
      </x:c>
      <x:c r="F899" s="13" t="str">
        <x:v>contexts</x:v>
      </x:c>
      <x:c r="G899" s="13" t="str">
        <x:v>qra_foundation.read</x:v>
      </x:c>
      <x:c r="H899" s="13" t="str">
        <x:v>LIVE_ROUTER_REGISTERED</x:v>
      </x:c>
      <x:c r="I899" s="13" t="str">
        <x:v>frontend/src/features/qra-foundation/api.ts</x:v>
      </x:c>
      <x:c r="J899" s="13" t="str">
        <x:v>NOT_EXECUTED_BY_INVENTORY. SOURCE_LITERAL_OR_TRANSITIVE_HELPER_UNION</x:v>
      </x:c>
    </x:row>
    <x:row r="900" ht="42" customHeight="1">
      <x:c r="A900" s="14" t="str">
        <x:v>API-696</x:v>
      </x:c>
      <x:c r="B900" s="6" t="str">
        <x:v>GET</x:v>
      </x:c>
      <x:c r="C900" s="6" t="str">
        <x:v>/api/v1/qra-foundation/projects/{project_id}/current-model</x:v>
      </x:c>
      <x:c r="D900" s="6" t="str">
        <x:v>READ-ONLY SHARED CONTEXT</x:v>
      </x:c>
      <x:c r="E900" s="6" t="str">
        <x:v>qra_foundation</x:v>
      </x:c>
      <x:c r="F900" s="6" t="str">
        <x:v>model readiness</x:v>
      </x:c>
      <x:c r="G900" s="6" t="str">
        <x:v>qra_foundation.read</x:v>
      </x:c>
      <x:c r="H900" s="6" t="str">
        <x:v>LIVE_ROUTER_REGISTERED</x:v>
      </x:c>
      <x:c r="I900" s="6" t="str">
        <x:v>NO_DIRECT_LITERAL_MATCH_NOT_PROOF_UNUSED</x:v>
      </x:c>
      <x:c r="J900" s="6" t="str">
        <x:v>NOT_EXECUTED_BY_INVENTORY. SOURCE_LITERAL_OR_TRANSITIVE_HELPER_UNION</x:v>
      </x:c>
    </x:row>
    <x:row r="901" ht="42" customHeight="1">
      <x:c r="A901" s="15" t="str">
        <x:v>API-697</x:v>
      </x:c>
      <x:c r="B901" s="13" t="str">
        <x:v>GET</x:v>
      </x:c>
      <x:c r="C901" s="13" t="str">
        <x:v>/api/v1/qra-foundation/projects/{project_id}/model-readiness</x:v>
      </x:c>
      <x:c r="D901" s="13" t="str">
        <x:v>READ-ONLY SHARED CONTEXT</x:v>
      </x:c>
      <x:c r="E901" s="13" t="str">
        <x:v>qra_foundation</x:v>
      </x:c>
      <x:c r="F901" s="13" t="str">
        <x:v>model readiness</x:v>
      </x:c>
      <x:c r="G901" s="13" t="str">
        <x:v>qra_foundation.read</x:v>
      </x:c>
      <x:c r="H901" s="13" t="str">
        <x:v>LIVE_ROUTER_REGISTERED</x:v>
      </x:c>
      <x:c r="I901" s="13" t="str">
        <x:v>NO_DIRECT_LITERAL_MATCH_NOT_PROOF_UNUSED</x:v>
      </x:c>
      <x:c r="J901" s="13" t="str">
        <x:v>NOT_EXECUTED_BY_INVENTORY. SOURCE_LITERAL_OR_TRANSITIVE_HELPER_UNION</x:v>
      </x:c>
    </x:row>
    <x:row r="902" ht="42" customHeight="1">
      <x:c r="A902" s="14" t="str">
        <x:v>API-698</x:v>
      </x:c>
      <x:c r="B902" s="6" t="str">
        <x:v>GET</x:v>
      </x:c>
      <x:c r="C902" s="6" t="str">
        <x:v>/api/v1/qra-foundation/projects/{project_id}/models</x:v>
      </x:c>
      <x:c r="D902" s="6" t="str">
        <x:v>READ-ONLY SHARED CONTEXT</x:v>
      </x:c>
      <x:c r="E902" s="6" t="str">
        <x:v>qra_foundation</x:v>
      </x:c>
      <x:c r="F902" s="6" t="str">
        <x:v>models</x:v>
      </x:c>
      <x:c r="G902" s="6" t="str">
        <x:v>qra_foundation.read</x:v>
      </x:c>
      <x:c r="H902" s="6" t="str">
        <x:v>LIVE_ROUTER_REGISTERED</x:v>
      </x:c>
      <x:c r="I902" s="6" t="str">
        <x:v>NO_DIRECT_LITERAL_MATCH_NOT_PROOF_UNUSED</x:v>
      </x:c>
      <x:c r="J902" s="6" t="str">
        <x:v>NOT_EXECUTED_BY_INVENTORY. SOURCE_LITERAL_OR_TRANSITIVE_HELPER_UNION</x:v>
      </x:c>
    </x:row>
    <x:row r="903" ht="42" customHeight="1">
      <x:c r="A903" s="15" t="str">
        <x:v>API-699</x:v>
      </x:c>
      <x:c r="B903" s="13" t="str">
        <x:v>POST</x:v>
      </x:c>
      <x:c r="C903" s="13" t="str">
        <x:v>/api/v1/qra-foundation/projects/{project_id}/models</x:v>
      </x:c>
      <x:c r="D903" s="13" t="str">
        <x:v>USER MODE</x:v>
      </x:c>
      <x:c r="E903" s="13" t="str">
        <x:v>qra_foundation</x:v>
      </x:c>
      <x:c r="F903" s="13" t="str">
        <x:v>create model</x:v>
      </x:c>
      <x:c r="G903" s="13" t="str">
        <x:v>qra_model.create</x:v>
      </x:c>
      <x:c r="H903" s="13" t="str">
        <x:v>LIVE_ROUTER_REGISTERED</x:v>
      </x:c>
      <x:c r="I903" s="13" t="str">
        <x:v>NO_DIRECT_LITERAL_MATCH_NOT_PROOF_UNUSED</x:v>
      </x:c>
      <x:c r="J903" s="13" t="str">
        <x:v>NOT_EXECUTED_BY_INVENTORY. SOURCE_LITERAL_OR_TRANSITIVE_HELPER_UNION</x:v>
      </x:c>
    </x:row>
    <x:row r="904" ht="42" customHeight="1">
      <x:c r="A904" s="14" t="str">
        <x:v>API-700</x:v>
      </x:c>
      <x:c r="B904" s="6" t="str">
        <x:v>GET</x:v>
      </x:c>
      <x:c r="C904" s="6" t="str">
        <x:v>/api/v1/qra-foundation/projects/{project_id}/requirements</x:v>
      </x:c>
      <x:c r="D904" s="6" t="str">
        <x:v>READ-ONLY SHARED CONTEXT</x:v>
      </x:c>
      <x:c r="E904" s="6" t="str">
        <x:v>qra_foundation</x:v>
      </x:c>
      <x:c r="F904" s="6" t="str">
        <x:v>requirements</x:v>
      </x:c>
      <x:c r="G904" s="6" t="str">
        <x:v>qra_foundation.read</x:v>
      </x:c>
      <x:c r="H904" s="6" t="str">
        <x:v>LIVE_ROUTER_REGISTERED</x:v>
      </x:c>
      <x:c r="I904" s="6" t="str">
        <x:v>frontend/src/features/qra-foundation/api.ts</x:v>
      </x:c>
      <x:c r="J904" s="6" t="str">
        <x:v>NOT_EXECUTED_BY_INVENTORY. SOURCE_LITERAL_OR_TRANSITIVE_HELPER_UNION</x:v>
      </x:c>
    </x:row>
    <x:row r="905" ht="42" customHeight="1">
      <x:c r="A905" s="15" t="str">
        <x:v>API-701</x:v>
      </x:c>
      <x:c r="B905" s="13" t="str">
        <x:v>GET</x:v>
      </x:c>
      <x:c r="C905" s="13" t="str">
        <x:v>/api/v1/risk-governance/admin/configurations</x:v>
      </x:c>
      <x:c r="D905" s="13" t="str">
        <x:v>ADMIN MODE</x:v>
      </x:c>
      <x:c r="E905" s="13" t="str">
        <x:v>risk_governance</x:v>
      </x:c>
      <x:c r="F905" s="13" t="str">
        <x:v>configurations</x:v>
      </x:c>
      <x:c r="G905" s="13" t="str">
        <x:v>risk_governance.admin.configure</x:v>
      </x:c>
      <x:c r="H905" s="13" t="str">
        <x:v>LIVE_ROUTER_REGISTERED</x:v>
      </x:c>
      <x:c r="I905" s="13" t="str">
        <x:v>NO_DIRECT_LITERAL_MATCH_NOT_PROOF_UNUSED</x:v>
      </x:c>
      <x:c r="J905" s="13" t="str">
        <x:v>NOT_EXECUTED_BY_INVENTORY. SOURCE_LITERAL_OR_TRANSITIVE_HELPER_UNION</x:v>
      </x:c>
    </x:row>
    <x:row r="906" ht="42" customHeight="1">
      <x:c r="A906" s="14" t="str">
        <x:v>API-702</x:v>
      </x:c>
      <x:c r="B906" s="6" t="str">
        <x:v>GET</x:v>
      </x:c>
      <x:c r="C906" s="6" t="str">
        <x:v>/api/v1/risk-governance/admin/configurations/{configuration_id}</x:v>
      </x:c>
      <x:c r="D906" s="6" t="str">
        <x:v>ADMIN MODE</x:v>
      </x:c>
      <x:c r="E906" s="6" t="str">
        <x:v>risk_governance</x:v>
      </x:c>
      <x:c r="F906" s="6" t="str">
        <x:v>configuration</x:v>
      </x:c>
      <x:c r="G906" s="6" t="str">
        <x:v>risk_governance.admin.configure</x:v>
      </x:c>
      <x:c r="H906" s="6" t="str">
        <x:v>LIVE_ROUTER_REGISTERED</x:v>
      </x:c>
      <x:c r="I906" s="6" t="str">
        <x:v>NO_DIRECT_LITERAL_MATCH_NOT_PROOF_UNUSED</x:v>
      </x:c>
      <x:c r="J906" s="6" t="str">
        <x:v>NOT_EXECUTED_BY_INVENTORY. SOURCE_LITERAL_OR_TRANSITIVE_HELPER_UNION</x:v>
      </x:c>
    </x:row>
    <x:row r="907" ht="42" customHeight="1">
      <x:c r="A907" s="15" t="str">
        <x:v>API-703</x:v>
      </x:c>
      <x:c r="B907" s="13" t="str">
        <x:v>PUT</x:v>
      </x:c>
      <x:c r="C907" s="13" t="str">
        <x:v>/api/v1/risk-governance/admin/configurations/{configuration_id}</x:v>
      </x:c>
      <x:c r="D907" s="13" t="str">
        <x:v>ADMIN MODE</x:v>
      </x:c>
      <x:c r="E907" s="13" t="str">
        <x:v>risk_governance</x:v>
      </x:c>
      <x:c r="F907" s="13" t="str">
        <x:v>update configuration</x:v>
      </x:c>
      <x:c r="G907" s="13" t="str">
        <x:v>risk_governance.admin.configure</x:v>
      </x:c>
      <x:c r="H907" s="13" t="str">
        <x:v>LIVE_ROUTER_REGISTERED</x:v>
      </x:c>
      <x:c r="I907" s="13" t="str">
        <x:v>NO_DIRECT_LITERAL_MATCH_NOT_PROOF_UNUSED</x:v>
      </x:c>
      <x:c r="J907" s="13" t="str">
        <x:v>NOT_EXECUTED_BY_INVENTORY. SOURCE_LITERAL_OR_TRANSITIVE_HELPER_UNION</x:v>
      </x:c>
    </x:row>
    <x:row r="908" ht="42" customHeight="1">
      <x:c r="A908" s="14" t="str">
        <x:v>API-704</x:v>
      </x:c>
      <x:c r="B908" s="6" t="str">
        <x:v>POST</x:v>
      </x:c>
      <x:c r="C908" s="6" t="str">
        <x:v>/api/v1/risk-governance/admin/configurations/{configuration_id}/archive</x:v>
      </x:c>
      <x:c r="D908" s="6" t="str">
        <x:v>ADMIN MODE</x:v>
      </x:c>
      <x:c r="E908" s="6" t="str">
        <x:v>risk_governance</x:v>
      </x:c>
      <x:c r="F908" s="6" t="str">
        <x:v>archive configuration</x:v>
      </x:c>
      <x:c r="G908" s="6" t="str">
        <x:v>risk_governance.admin.publish</x:v>
      </x:c>
      <x:c r="H908" s="6" t="str">
        <x:v>LIVE_ROUTER_REGISTERED</x:v>
      </x:c>
      <x:c r="I908" s="6" t="str">
        <x:v>NO_DIRECT_LITERAL_MATCH_NOT_PROOF_UNUSED</x:v>
      </x:c>
      <x:c r="J908" s="6" t="str">
        <x:v>NOT_EXECUTED_BY_INVENTORY. SOURCE_LITERAL_OR_TRANSITIVE_HELPER_UNION</x:v>
      </x:c>
    </x:row>
    <x:row r="909" ht="42" customHeight="1">
      <x:c r="A909" s="15" t="str">
        <x:v>API-705</x:v>
      </x:c>
      <x:c r="B909" s="13" t="str">
        <x:v>POST</x:v>
      </x:c>
      <x:c r="C909" s="13" t="str">
        <x:v>/api/v1/risk-governance/admin/configurations/{configuration_id}/clone</x:v>
      </x:c>
      <x:c r="D909" s="13" t="str">
        <x:v>ADMIN MODE</x:v>
      </x:c>
      <x:c r="E909" s="13" t="str">
        <x:v>risk_governance</x:v>
      </x:c>
      <x:c r="F909" s="13" t="str">
        <x:v>clone configuration</x:v>
      </x:c>
      <x:c r="G909" s="13" t="str">
        <x:v>risk_governance.admin.configure</x:v>
      </x:c>
      <x:c r="H909" s="13" t="str">
        <x:v>LIVE_ROUTER_REGISTERED</x:v>
      </x:c>
      <x:c r="I909" s="13" t="str">
        <x:v>NO_DIRECT_LITERAL_MATCH_NOT_PROOF_UNUSED</x:v>
      </x:c>
      <x:c r="J909" s="13" t="str">
        <x:v>NOT_EXECUTED_BY_INVENTORY. SOURCE_LITERAL_OR_TRANSITIVE_HELPER_UNION</x:v>
      </x:c>
    </x:row>
    <x:row r="910" ht="42" customHeight="1">
      <x:c r="A910" s="14" t="str">
        <x:v>API-706</x:v>
      </x:c>
      <x:c r="B910" s="6" t="str">
        <x:v>POST</x:v>
      </x:c>
      <x:c r="C910" s="6" t="str">
        <x:v>/api/v1/risk-governance/admin/configurations/{configuration_id}/publish</x:v>
      </x:c>
      <x:c r="D910" s="6" t="str">
        <x:v>ADMIN MODE</x:v>
      </x:c>
      <x:c r="E910" s="6" t="str">
        <x:v>risk_governance</x:v>
      </x:c>
      <x:c r="F910" s="6" t="str">
        <x:v>publish configuration</x:v>
      </x:c>
      <x:c r="G910" s="6" t="str">
        <x:v>risk_governance.admin.publish</x:v>
      </x:c>
      <x:c r="H910" s="6" t="str">
        <x:v>LIVE_ROUTER_REGISTERED</x:v>
      </x:c>
      <x:c r="I910" s="6" t="str">
        <x:v>NO_DIRECT_LITERAL_MATCH_NOT_PROOF_UNUSED</x:v>
      </x:c>
      <x:c r="J910" s="6" t="str">
        <x:v>NOT_EXECUTED_BY_INVENTORY. SOURCE_LITERAL_OR_TRANSITIVE_HELPER_UNION</x:v>
      </x:c>
    </x:row>
    <x:row r="911" ht="42" customHeight="1">
      <x:c r="A911" s="15" t="str">
        <x:v>API-707</x:v>
      </x:c>
      <x:c r="B911" s="13" t="str">
        <x:v>GET</x:v>
      </x:c>
      <x:c r="C911" s="13" t="str">
        <x:v>/api/v1/risk-governance/admin/effective-preview</x:v>
      </x:c>
      <x:c r="D911" s="13" t="str">
        <x:v>ADMIN MODE</x:v>
      </x:c>
      <x:c r="E911" s="13" t="str">
        <x:v>risk_governance</x:v>
      </x:c>
      <x:c r="F911" s="13" t="str">
        <x:v>effective preview</x:v>
      </x:c>
      <x:c r="G911" s="13" t="str">
        <x:v>risk_governance.admin.configure</x:v>
      </x:c>
      <x:c r="H911" s="13" t="str">
        <x:v>LIVE_ROUTER_REGISTERED</x:v>
      </x:c>
      <x:c r="I911" s="13" t="str">
        <x:v>NO_DIRECT_LITERAL_MATCH_NOT_PROOF_UNUSED</x:v>
      </x:c>
      <x:c r="J911" s="13" t="str">
        <x:v>NOT_EXECUTED_BY_INVENTORY. SOURCE_LITERAL_OR_TRANSITIVE_HELPER_UNION</x:v>
      </x:c>
    </x:row>
    <x:row r="912" ht="42" customHeight="1">
      <x:c r="A912" s="14" t="str">
        <x:v>API-708</x:v>
      </x:c>
      <x:c r="B912" s="6" t="str">
        <x:v>GET</x:v>
      </x:c>
      <x:c r="C912" s="6" t="str">
        <x:v>/api/v1/risk-governance/admin/history</x:v>
      </x:c>
      <x:c r="D912" s="6" t="str">
        <x:v>ADMIN MODE</x:v>
      </x:c>
      <x:c r="E912" s="6" t="str">
        <x:v>risk_governance</x:v>
      </x:c>
      <x:c r="F912" s="6" t="str">
        <x:v>configurations</x:v>
      </x:c>
      <x:c r="G912" s="6" t="str">
        <x:v>risk_governance.admin.configure</x:v>
      </x:c>
      <x:c r="H912" s="6" t="str">
        <x:v>LIVE_ROUTER_REGISTERED</x:v>
      </x:c>
      <x:c r="I912" s="6" t="str">
        <x:v>NO_DIRECT_LITERAL_MATCH_NOT_PROOF_UNUSED</x:v>
      </x:c>
      <x:c r="J912" s="6" t="str">
        <x:v>NOT_EXECUTED_BY_INVENTORY. SOURCE_LITERAL_OR_TRANSITIVE_HELPER_UNION</x:v>
      </x:c>
    </x:row>
    <x:row r="913" ht="42" customHeight="1">
      <x:c r="A913" s="15" t="str">
        <x:v>API-709</x:v>
      </x:c>
      <x:c r="B913" s="13" t="str">
        <x:v>POST</x:v>
      </x:c>
      <x:c r="C913" s="13" t="str">
        <x:v>/api/v1/risk-governance/admin/preview</x:v>
      </x:c>
      <x:c r="D913" s="13" t="str">
        <x:v>ADMIN MODE</x:v>
      </x:c>
      <x:c r="E913" s="13" t="str">
        <x:v>risk_governance</x:v>
      </x:c>
      <x:c r="F913" s="13" t="str">
        <x:v>preview</x:v>
      </x:c>
      <x:c r="G913" s="13" t="str">
        <x:v>risk_governance.admin.configure</x:v>
      </x:c>
      <x:c r="H913" s="13" t="str">
        <x:v>LIVE_ROUTER_REGISTERED</x:v>
      </x:c>
      <x:c r="I913" s="13" t="str">
        <x:v>NO_DIRECT_LITERAL_MATCH_NOT_PROOF_UNUSED</x:v>
      </x:c>
      <x:c r="J913" s="13" t="str">
        <x:v>NOT_EXECUTED_BY_INVENTORY. SOURCE_LITERAL_OR_TRANSITIVE_HELPER_UNION</x:v>
      </x:c>
    </x:row>
    <x:row r="914" ht="42" customHeight="1">
      <x:c r="A914" s="14" t="str">
        <x:v>API-710</x:v>
      </x:c>
      <x:c r="B914" s="6" t="str">
        <x:v>GET</x:v>
      </x:c>
      <x:c r="C914" s="6" t="str">
        <x:v>/api/v1/risk-governance/effective</x:v>
      </x:c>
      <x:c r="D914" s="6" t="str">
        <x:v>READ-ONLY SHARED CONTEXT</x:v>
      </x:c>
      <x:c r="E914" s="6" t="str">
        <x:v>risk_governance</x:v>
      </x:c>
      <x:c r="F914" s="6" t="str">
        <x:v>effective</x:v>
      </x:c>
      <x:c r="G914" s="6" t="str">
        <x:v>risk_governance.read</x:v>
      </x:c>
      <x:c r="H914" s="6" t="str">
        <x:v>LIVE_ROUTER_REGISTERED</x:v>
      </x:c>
      <x:c r="I914" s="6" t="str">
        <x:v>frontend/src/features/risk-governance/policyApi.ts</x:v>
      </x:c>
      <x:c r="J914" s="6" t="str">
        <x:v>NOT_EXECUTED_BY_INVENTORY. SOURCE_LITERAL_OR_TRANSITIVE_HELPER_UNION</x:v>
      </x:c>
    </x:row>
    <x:row r="915" ht="42" customHeight="1">
      <x:c r="A915" s="15" t="str">
        <x:v>API-711</x:v>
      </x:c>
      <x:c r="B915" s="13" t="str">
        <x:v>GET</x:v>
      </x:c>
      <x:c r="C915" s="13" t="str">
        <x:v>/api/v1/risk-governance/operators</x:v>
      </x:c>
      <x:c r="D915" s="13" t="str">
        <x:v>READ-ONLY SHARED CONTEXT</x:v>
      </x:c>
      <x:c r="E915" s="13" t="str">
        <x:v>risk_governance</x:v>
      </x:c>
      <x:c r="F915" s="13" t="str">
        <x:v>operators</x:v>
      </x:c>
      <x:c r="G915" s="13" t="str">
        <x:v>risk_governance.read</x:v>
      </x:c>
      <x:c r="H915" s="13" t="str">
        <x:v>LIVE_ROUTER_REGISTERED</x:v>
      </x:c>
      <x:c r="I915" s="13" t="str">
        <x:v>NO_DIRECT_LITERAL_MATCH_NOT_PROOF_UNUSED</x:v>
      </x:c>
      <x:c r="J915" s="13" t="str">
        <x:v>NOT_EXECUTED_BY_INVENTORY. SOURCE_LITERAL_OR_TRANSITIVE_HELPER_UNION</x:v>
      </x:c>
    </x:row>
    <x:row r="916" ht="42" customHeight="1">
      <x:c r="A916" s="14" t="str">
        <x:v>API-712</x:v>
      </x:c>
      <x:c r="B916" s="6" t="str">
        <x:v>POST</x:v>
      </x:c>
      <x:c r="C916" s="6" t="str">
        <x:v>/api/v1/risk-governance/threshold-evaluation</x:v>
      </x:c>
      <x:c r="D916" s="6" t="str">
        <x:v>USER MODE</x:v>
      </x:c>
      <x:c r="E916" s="6" t="str">
        <x:v>risk_governance</x:v>
      </x:c>
      <x:c r="F916" s="6" t="str">
        <x:v>evaluate threshold</x:v>
      </x:c>
      <x:c r="G916" s="6" t="str">
        <x:v>risk_governance.read</x:v>
      </x:c>
      <x:c r="H916" s="6" t="str">
        <x:v>LIVE_ROUTER_REGISTERED</x:v>
      </x:c>
      <x:c r="I916" s="6" t="str">
        <x:v>NO_DIRECT_LITERAL_MATCH_NOT_PROOF_UNUSED</x:v>
      </x:c>
      <x:c r="J916" s="6" t="str">
        <x:v>NOT_EXECUTED_BY_INVENTORY. SOURCE_LITERAL_OR_TRANSITIVE_HELPER_UNION</x:v>
      </x:c>
    </x:row>
    <x:row r="917" ht="42" customHeight="1">
      <x:c r="A917" s="15" t="str">
        <x:v>API-713</x:v>
      </x:c>
      <x:c r="B917" s="13" t="str">
        <x:v>GET</x:v>
      </x:c>
      <x:c r="C917" s="13" t="str">
        <x:v>/api/v1/portfolios/{portfolio_id}/investment-gate-risk-evidence</x:v>
      </x:c>
      <x:c r="D917" s="13" t="str">
        <x:v>READ-ONLY SHARED CONTEXT</x:v>
      </x:c>
      <x:c r="E917" s="13" t="str">
        <x:v>risk_readiness</x:v>
      </x:c>
      <x:c r="F917" s="13" t="str">
        <x:v>investment gate evidence</x:v>
      </x:c>
      <x:c r="G917" s="13" t="str">
        <x:v>investment_gate_risk_evidence.read</x:v>
      </x:c>
      <x:c r="H917" s="13" t="str">
        <x:v>LIVE_ROUTER_REGISTERED</x:v>
      </x:c>
      <x:c r="I917" s="13" t="str">
        <x:v>frontend/src/features/risk-readiness/api.ts</x:v>
      </x:c>
      <x:c r="J917" s="13" t="str">
        <x:v>NOT_EXECUTED_BY_INVENTORY. SOURCE_LITERAL_OR_TRANSITIVE_HELPER_UNION</x:v>
      </x:c>
    </x:row>
    <x:row r="918" ht="42" customHeight="1">
      <x:c r="A918" s="14" t="str">
        <x:v>API-714</x:v>
      </x:c>
      <x:c r="B918" s="6" t="str">
        <x:v>GET</x:v>
      </x:c>
      <x:c r="C918" s="6" t="str">
        <x:v>/api/v1/portfolios/{portfolio_id}/projects-risk-readiness</x:v>
      </x:c>
      <x:c r="D918" s="6" t="str">
        <x:v>READ-ONLY SHARED CONTEXT</x:v>
      </x:c>
      <x:c r="E918" s="6" t="str">
        <x:v>risk_readiness</x:v>
      </x:c>
      <x:c r="F918" s="6" t="str">
        <x:v>portfolio projects</x:v>
      </x:c>
      <x:c r="G918" s="6" t="str">
        <x:v>risk_readiness.read</x:v>
      </x:c>
      <x:c r="H918" s="6" t="str">
        <x:v>LIVE_ROUTER_REGISTERED</x:v>
      </x:c>
      <x:c r="I918" s="6" t="str">
        <x:v>NO_DIRECT_LITERAL_MATCH_NOT_PROOF_UNUSED</x:v>
      </x:c>
      <x:c r="J918" s="6" t="str">
        <x:v>NOT_EXECUTED_BY_INVENTORY. SOURCE_LITERAL_OR_TRANSITIVE_HELPER_UNION</x:v>
      </x:c>
    </x:row>
    <x:row r="919" ht="42" customHeight="1">
      <x:c r="A919" s="15" t="str">
        <x:v>API-715</x:v>
      </x:c>
      <x:c r="B919" s="13" t="str">
        <x:v>GET</x:v>
      </x:c>
      <x:c r="C919" s="13" t="str">
        <x:v>/api/v1/portfolios/{portfolio_id}/risk-readiness</x:v>
      </x:c>
      <x:c r="D919" s="13" t="str">
        <x:v>READ-ONLY SHARED CONTEXT</x:v>
      </x:c>
      <x:c r="E919" s="13" t="str">
        <x:v>risk_readiness</x:v>
      </x:c>
      <x:c r="F919" s="13" t="str">
        <x:v>portfolio readiness</x:v>
      </x:c>
      <x:c r="G919" s="13" t="str">
        <x:v>risk_readiness.read</x:v>
      </x:c>
      <x:c r="H919" s="13" t="str">
        <x:v>LIVE_ROUTER_REGISTERED</x:v>
      </x:c>
      <x:c r="I919" s="13" t="str">
        <x:v>frontend/src/features/risk-readiness/api.ts</x:v>
      </x:c>
      <x:c r="J919" s="13" t="str">
        <x:v>NOT_EXECUTED_BY_INVENTORY. SOURCE_LITERAL_OR_TRANSITIVE_HELPER_UNION</x:v>
      </x:c>
    </x:row>
    <x:row r="920" ht="42" customHeight="1">
      <x:c r="A920" s="14" t="str">
        <x:v>API-716</x:v>
      </x:c>
      <x:c r="B920" s="6" t="str">
        <x:v>GET</x:v>
      </x:c>
      <x:c r="C920" s="6" t="str">
        <x:v>/api/v1/projects/{project_id}/risk-readiness</x:v>
      </x:c>
      <x:c r="D920" s="6" t="str">
        <x:v>READ-ONLY SHARED CONTEXT</x:v>
      </x:c>
      <x:c r="E920" s="6" t="str">
        <x:v>risk_readiness</x:v>
      </x:c>
      <x:c r="F920" s="6" t="str">
        <x:v>project readiness</x:v>
      </x:c>
      <x:c r="G920" s="6" t="str">
        <x:v>risk_readiness.read</x:v>
      </x:c>
      <x:c r="H920" s="6" t="str">
        <x:v>LIVE_ROUTER_REGISTERED</x:v>
      </x:c>
      <x:c r="I920" s="6" t="str">
        <x:v>frontend/src/features/risk-readiness/api.ts</x:v>
      </x:c>
      <x:c r="J920" s="6" t="str">
        <x:v>NOT_EXECUTED_BY_INVENTORY. SOURCE_LITERAL_OR_TRANSITIVE_HELPER_UNION</x:v>
      </x:c>
    </x:row>
    <x:row r="921" ht="42" customHeight="1">
      <x:c r="A921" s="15" t="str">
        <x:v>API-717</x:v>
      </x:c>
      <x:c r="B921" s="13" t="str">
        <x:v>GET</x:v>
      </x:c>
      <x:c r="C921" s="13" t="str">
        <x:v>/api/v1/projects/{project_id}/risk-readiness-assessments</x:v>
      </x:c>
      <x:c r="D921" s="13" t="str">
        <x:v>READ-ONLY SHARED CONTEXT</x:v>
      </x:c>
      <x:c r="E921" s="13" t="str">
        <x:v>risk_readiness</x:v>
      </x:c>
      <x:c r="F921" s="13" t="str">
        <x:v>assessments</x:v>
      </x:c>
      <x:c r="G921" s="13" t="str">
        <x:v>risk_readiness.read</x:v>
      </x:c>
      <x:c r="H921" s="13" t="str">
        <x:v>LIVE_ROUTER_REGISTERED</x:v>
      </x:c>
      <x:c r="I921" s="13" t="str">
        <x:v>frontend/src/features/risk-readiness/api.ts</x:v>
      </x:c>
      <x:c r="J921" s="13" t="str">
        <x:v>NOT_EXECUTED_BY_INVENTORY. SOURCE_LITERAL_OR_TRANSITIVE_HELPER_UNION</x:v>
      </x:c>
    </x:row>
    <x:row r="922" ht="42" customHeight="1">
      <x:c r="A922" s="14" t="str">
        <x:v>API-718</x:v>
      </x:c>
      <x:c r="B922" s="6" t="str">
        <x:v>POST</x:v>
      </x:c>
      <x:c r="C922" s="6" t="str">
        <x:v>/api/v1/projects/{project_id}/risk-readiness-assessments</x:v>
      </x:c>
      <x:c r="D922" s="6" t="str">
        <x:v>USER MODE</x:v>
      </x:c>
      <x:c r="E922" s="6" t="str">
        <x:v>risk_readiness</x:v>
      </x:c>
      <x:c r="F922" s="6" t="str">
        <x:v>create assessment</x:v>
      </x:c>
      <x:c r="G922" s="6" t="str">
        <x:v>risk_readiness_assessment.create</x:v>
      </x:c>
      <x:c r="H922" s="6" t="str">
        <x:v>LIVE_ROUTER_REGISTERED</x:v>
      </x:c>
      <x:c r="I922" s="6" t="str">
        <x:v>frontend/src/features/risk-readiness/api.ts</x:v>
      </x:c>
      <x:c r="J922" s="6" t="str">
        <x:v>NOT_EXECUTED_BY_INVENTORY. SOURCE_LITERAL_OR_TRANSITIVE_HELPER_UNION</x:v>
      </x:c>
    </x:row>
    <x:row r="923" ht="42" customHeight="1">
      <x:c r="A923" s="15" t="str">
        <x:v>API-719</x:v>
      </x:c>
      <x:c r="B923" s="13" t="str">
        <x:v>POST</x:v>
      </x:c>
      <x:c r="C923" s="13" t="str">
        <x:v>/api/v1/projects/{project_id}/risk-readiness/refresh</x:v>
      </x:c>
      <x:c r="D923" s="13" t="str">
        <x:v>USER MODE</x:v>
      </x:c>
      <x:c r="E923" s="13" t="str">
        <x:v>risk_readiness</x:v>
      </x:c>
      <x:c r="F923" s="13" t="str">
        <x:v>refresh apply</x:v>
      </x:c>
      <x:c r="G923" s="13" t="str">
        <x:v>risk_readiness.refresh</x:v>
      </x:c>
      <x:c r="H923" s="13" t="str">
        <x:v>LIVE_ROUTER_REGISTERED</x:v>
      </x:c>
      <x:c r="I923" s="13" t="str">
        <x:v>NO_DIRECT_LITERAL_MATCH_NOT_PROOF_UNUSED</x:v>
      </x:c>
      <x:c r="J923" s="13" t="str">
        <x:v>NOT_EXECUTED_BY_INVENTORY. SOURCE_LITERAL_OR_TRANSITIVE_HELPER_UNION</x:v>
      </x:c>
    </x:row>
    <x:row r="924" ht="42" customHeight="1">
      <x:c r="A924" s="14" t="str">
        <x:v>API-720</x:v>
      </x:c>
      <x:c r="B924" s="6" t="str">
        <x:v>GET</x:v>
      </x:c>
      <x:c r="C924" s="6" t="str">
        <x:v>/api/v1/projects/{project_id}/risk-readiness/refresh-preview</x:v>
      </x:c>
      <x:c r="D924" s="6" t="str">
        <x:v>READ-ONLY SHARED CONTEXT</x:v>
      </x:c>
      <x:c r="E924" s="6" t="str">
        <x:v>risk_readiness</x:v>
      </x:c>
      <x:c r="F924" s="6" t="str">
        <x:v>refresh preview</x:v>
      </x:c>
      <x:c r="G924" s="6" t="str">
        <x:v>risk_readiness.refresh</x:v>
      </x:c>
      <x:c r="H924" s="6" t="str">
        <x:v>LIVE_ROUTER_REGISTERED</x:v>
      </x:c>
      <x:c r="I924" s="6" t="str">
        <x:v>frontend/src/features/risk-readiness/api.ts</x:v>
      </x:c>
      <x:c r="J924" s="6" t="str">
        <x:v>NOT_EXECUTED_BY_INVENTORY. SOURCE_LITERAL_OR_TRANSITIVE_HELPER_UNION</x:v>
      </x:c>
    </x:row>
    <x:row r="925" ht="42" customHeight="1">
      <x:c r="A925" s="15" t="str">
        <x:v>API-721</x:v>
      </x:c>
      <x:c r="B925" s="13" t="str">
        <x:v>GET</x:v>
      </x:c>
      <x:c r="C925" s="13" t="str">
        <x:v>/api/v1/projects/{project_id}/risks</x:v>
      </x:c>
      <x:c r="D925" s="13" t="str">
        <x:v>READ-ONLY SHARED CONTEXT</x:v>
      </x:c>
      <x:c r="E925" s="13" t="str">
        <x:v>risk_readiness</x:v>
      </x:c>
      <x:c r="F925" s="13" t="str">
        <x:v>risks</x:v>
      </x:c>
      <x:c r="G925" s="13" t="str">
        <x:v>project_risk.read</x:v>
      </x:c>
      <x:c r="H925" s="13" t="str">
        <x:v>LIVE_ROUTER_REGISTERED</x:v>
      </x:c>
      <x:c r="I925" s="13" t="str">
        <x:v>frontend/src/features/risk-readiness/api.ts</x:v>
      </x:c>
      <x:c r="J925" s="13" t="str">
        <x:v>NOT_EXECUTED_BY_INVENTORY. SOURCE_LITERAL_OR_TRANSITIVE_HELPER_UNION</x:v>
      </x:c>
    </x:row>
    <x:row r="926" ht="42" customHeight="1">
      <x:c r="A926" s="14" t="str">
        <x:v>API-722</x:v>
      </x:c>
      <x:c r="B926" s="6" t="str">
        <x:v>POST</x:v>
      </x:c>
      <x:c r="C926" s="6" t="str">
        <x:v>/api/v1/projects/{project_id}/risks</x:v>
      </x:c>
      <x:c r="D926" s="6" t="str">
        <x:v>USER MODE</x:v>
      </x:c>
      <x:c r="E926" s="6" t="str">
        <x:v>risk_readiness</x:v>
      </x:c>
      <x:c r="F926" s="6" t="str">
        <x:v>create risk</x:v>
      </x:c>
      <x:c r="G926" s="6" t="str">
        <x:v>project_risk.create</x:v>
      </x:c>
      <x:c r="H926" s="6" t="str">
        <x:v>LIVE_ROUTER_REGISTERED</x:v>
      </x:c>
      <x:c r="I926" s="6" t="str">
        <x:v>frontend/src/features/risk-readiness/api.ts</x:v>
      </x:c>
      <x:c r="J926" s="6" t="str">
        <x:v>NOT_EXECUTED_BY_INVENTORY. SOURCE_LITERAL_OR_TRANSITIVE_HELPER_UNION</x:v>
      </x:c>
    </x:row>
    <x:row r="927" ht="42" customHeight="1">
      <x:c r="A927" s="15" t="str">
        <x:v>API-723</x:v>
      </x:c>
      <x:c r="B927" s="13" t="str">
        <x:v>GET</x:v>
      </x:c>
      <x:c r="C927" s="13" t="str">
        <x:v>/api/v1/risk-readiness-assessments/{assessment_id}</x:v>
      </x:c>
      <x:c r="D927" s="13" t="str">
        <x:v>READ-ONLY SHARED CONTEXT</x:v>
      </x:c>
      <x:c r="E927" s="13" t="str">
        <x:v>risk_readiness</x:v>
      </x:c>
      <x:c r="F927" s="13" t="str">
        <x:v>assessment</x:v>
      </x:c>
      <x:c r="G927" s="13" t="str">
        <x:v>risk_readiness.read</x:v>
      </x:c>
      <x:c r="H927" s="13" t="str">
        <x:v>LIVE_ROUTER_REGISTERED</x:v>
      </x:c>
      <x:c r="I927" s="13" t="str">
        <x:v>NO_DIRECT_LITERAL_MATCH_NOT_PROOF_UNUSED</x:v>
      </x:c>
      <x:c r="J927" s="13" t="str">
        <x:v>NOT_EXECUTED_BY_INVENTORY. SOURCE_LITERAL_OR_TRANSITIVE_HELPER_UNION</x:v>
      </x:c>
    </x:row>
    <x:row r="928" ht="42" customHeight="1">
      <x:c r="A928" s="14" t="str">
        <x:v>API-724</x:v>
      </x:c>
      <x:c r="B928" s="6" t="str">
        <x:v>PUT</x:v>
      </x:c>
      <x:c r="C928" s="6" t="str">
        <x:v>/api/v1/risk-readiness-assessments/{assessment_id}</x:v>
      </x:c>
      <x:c r="D928" s="6" t="str">
        <x:v>USER MODE</x:v>
      </x:c>
      <x:c r="E928" s="6" t="str">
        <x:v>risk_readiness</x:v>
      </x:c>
      <x:c r="F928" s="6" t="str">
        <x:v>update assessment</x:v>
      </x:c>
      <x:c r="G928" s="6" t="str">
        <x:v>risk_readiness_assessment.edit</x:v>
      </x:c>
      <x:c r="H928" s="6" t="str">
        <x:v>LIVE_ROUTER_REGISTERED</x:v>
      </x:c>
      <x:c r="I928" s="6" t="str">
        <x:v>NO_DIRECT_LITERAL_MATCH_NOT_PROOF_UNUSED</x:v>
      </x:c>
      <x:c r="J928" s="6" t="str">
        <x:v>NOT_EXECUTED_BY_INVENTORY. SOURCE_LITERAL_OR_TRANSITIVE_HELPER_UNION</x:v>
      </x:c>
    </x:row>
    <x:row r="929" ht="42" customHeight="1">
      <x:c r="A929" s="15" t="str">
        <x:v>API-725</x:v>
      </x:c>
      <x:c r="B929" s="13" t="str">
        <x:v>POST</x:v>
      </x:c>
      <x:c r="C929" s="13" t="str">
        <x:v>/api/v1/risk-readiness-assessments/{assessment_id}/complete</x:v>
      </x:c>
      <x:c r="D929" s="13" t="str">
        <x:v>USER MODE</x:v>
      </x:c>
      <x:c r="E929" s="13" t="str">
        <x:v>risk_readiness</x:v>
      </x:c>
      <x:c r="F929" s="13" t="str">
        <x:v>complete assessment</x:v>
      </x:c>
      <x:c r="G929" s="13" t="str">
        <x:v>risk_readiness_assessment.complete</x:v>
      </x:c>
      <x:c r="H929" s="13" t="str">
        <x:v>LIVE_ROUTER_REGISTERED</x:v>
      </x:c>
      <x:c r="I929" s="13" t="str">
        <x:v>frontend/src/features/risk-readiness/api.ts</x:v>
      </x:c>
      <x:c r="J929" s="13" t="str">
        <x:v>NOT_EXECUTED_BY_INVENTORY. SOURCE_LITERAL_OR_TRANSITIVE_HELPER_UNION</x:v>
      </x:c>
    </x:row>
    <x:row r="930" ht="42" customHeight="1">
      <x:c r="A930" s="14" t="str">
        <x:v>API-726</x:v>
      </x:c>
      <x:c r="B930" s="6" t="str">
        <x:v>POST</x:v>
      </x:c>
      <x:c r="C930" s="6" t="str">
        <x:v>/api/v1/risk-readiness-assessments/{assessment_id}/reassess</x:v>
      </x:c>
      <x:c r="D930" s="6" t="str">
        <x:v>USER MODE</x:v>
      </x:c>
      <x:c r="E930" s="6" t="str">
        <x:v>risk_readiness</x:v>
      </x:c>
      <x:c r="F930" s="6" t="str">
        <x:v>reassess</x:v>
      </x:c>
      <x:c r="G930" s="6" t="str">
        <x:v>risk_readiness_assessment.reassess</x:v>
      </x:c>
      <x:c r="H930" s="6" t="str">
        <x:v>LIVE_ROUTER_REGISTERED</x:v>
      </x:c>
      <x:c r="I930" s="6" t="str">
        <x:v>NO_DIRECT_LITERAL_MATCH_NOT_PROOF_UNUSED</x:v>
      </x:c>
      <x:c r="J930" s="6" t="str">
        <x:v>NOT_EXECUTED_BY_INVENTORY. SOURCE_LITERAL_OR_TRANSITIVE_HELPER_UNION</x:v>
      </x:c>
    </x:row>
    <x:row r="931" ht="42" customHeight="1">
      <x:c r="A931" s="15" t="str">
        <x:v>API-727</x:v>
      </x:c>
      <x:c r="B931" s="13" t="str">
        <x:v>GET</x:v>
      </x:c>
      <x:c r="C931" s="13" t="str">
        <x:v>/api/v1/risk-readiness/admin/configurations</x:v>
      </x:c>
      <x:c r="D931" s="13" t="str">
        <x:v>ADMIN MODE</x:v>
      </x:c>
      <x:c r="E931" s="13" t="str">
        <x:v>risk_readiness</x:v>
      </x:c>
      <x:c r="F931" s="13" t="str">
        <x:v>configurations</x:v>
      </x:c>
      <x:c r="G931" s="13" t="str">
        <x:v>risk_readiness.admin.configure</x:v>
      </x:c>
      <x:c r="H931" s="13" t="str">
        <x:v>LIVE_ROUTER_REGISTERED</x:v>
      </x:c>
      <x:c r="I931" s="13" t="str">
        <x:v>frontend/src/features/risk-readiness/api.ts</x:v>
      </x:c>
      <x:c r="J931" s="13" t="str">
        <x:v>NOT_EXECUTED_BY_INVENTORY. SOURCE_LITERAL_OR_TRANSITIVE_HELPER_UNION</x:v>
      </x:c>
    </x:row>
    <x:row r="932" ht="42" customHeight="1">
      <x:c r="A932" s="14" t="str">
        <x:v>API-728</x:v>
      </x:c>
      <x:c r="B932" s="6" t="str">
        <x:v>POST</x:v>
      </x:c>
      <x:c r="C932" s="6" t="str">
        <x:v>/api/v1/risk-readiness/admin/configurations/preview</x:v>
      </x:c>
      <x:c r="D932" s="6" t="str">
        <x:v>ADMIN MODE</x:v>
      </x:c>
      <x:c r="E932" s="6" t="str">
        <x:v>risk_readiness</x:v>
      </x:c>
      <x:c r="F932" s="6" t="str">
        <x:v>preview configuration</x:v>
      </x:c>
      <x:c r="G932" s="6" t="str">
        <x:v>risk_readiness.admin.configure</x:v>
      </x:c>
      <x:c r="H932" s="6" t="str">
        <x:v>LIVE_ROUTER_REGISTERED</x:v>
      </x:c>
      <x:c r="I932" s="6" t="str">
        <x:v>frontend/src/features/risk-readiness/api.ts</x:v>
      </x:c>
      <x:c r="J932" s="6" t="str">
        <x:v>NOT_EXECUTED_BY_INVENTORY. SOURCE_LITERAL_OR_TRANSITIVE_HELPER_UNION</x:v>
      </x:c>
    </x:row>
    <x:row r="933" ht="42" customHeight="1">
      <x:c r="A933" s="15" t="str">
        <x:v>API-729</x:v>
      </x:c>
      <x:c r="B933" s="13" t="str">
        <x:v>PUT</x:v>
      </x:c>
      <x:c r="C933" s="13" t="str">
        <x:v>/api/v1/risk-readiness/admin/configurations/{configuration_id}</x:v>
      </x:c>
      <x:c r="D933" s="13" t="str">
        <x:v>ADMIN MODE</x:v>
      </x:c>
      <x:c r="E933" s="13" t="str">
        <x:v>risk_readiness</x:v>
      </x:c>
      <x:c r="F933" s="13" t="str">
        <x:v>update configuration</x:v>
      </x:c>
      <x:c r="G933" s="13" t="str">
        <x:v>risk_readiness.admin.configure</x:v>
      </x:c>
      <x:c r="H933" s="13" t="str">
        <x:v>LIVE_ROUTER_REGISTERED</x:v>
      </x:c>
      <x:c r="I933" s="13" t="str">
        <x:v>frontend/src/features/risk-readiness/api.ts</x:v>
      </x:c>
      <x:c r="J933" s="13" t="str">
        <x:v>NOT_EXECUTED_BY_INVENTORY. SOURCE_LITERAL_OR_TRANSITIVE_HELPER_UNION</x:v>
      </x:c>
    </x:row>
    <x:row r="934" ht="42" customHeight="1">
      <x:c r="A934" s="14" t="str">
        <x:v>API-730</x:v>
      </x:c>
      <x:c r="B934" s="6" t="str">
        <x:v>POST</x:v>
      </x:c>
      <x:c r="C934" s="6" t="str">
        <x:v>/api/v1/risk-readiness/admin/configurations/{configuration_id}/clone</x:v>
      </x:c>
      <x:c r="D934" s="6" t="str">
        <x:v>ADMIN MODE</x:v>
      </x:c>
      <x:c r="E934" s="6" t="str">
        <x:v>risk_readiness</x:v>
      </x:c>
      <x:c r="F934" s="6" t="str">
        <x:v>clone configuration</x:v>
      </x:c>
      <x:c r="G934" s="6" t="str">
        <x:v>risk_readiness.admin.configure</x:v>
      </x:c>
      <x:c r="H934" s="6" t="str">
        <x:v>LIVE_ROUTER_REGISTERED</x:v>
      </x:c>
      <x:c r="I934" s="6" t="str">
        <x:v>frontend/src/features/risk-readiness/api.ts</x:v>
      </x:c>
      <x:c r="J934" s="6" t="str">
        <x:v>NOT_EXECUTED_BY_INVENTORY. SOURCE_LITERAL_OR_TRANSITIVE_HELPER_UNION</x:v>
      </x:c>
    </x:row>
    <x:row r="935" ht="42" customHeight="1">
      <x:c r="A935" s="15" t="str">
        <x:v>API-731</x:v>
      </x:c>
      <x:c r="B935" s="13" t="str">
        <x:v>POST</x:v>
      </x:c>
      <x:c r="C935" s="13" t="str">
        <x:v>/api/v1/risk-readiness/admin/configurations/{configuration_id}/publish</x:v>
      </x:c>
      <x:c r="D935" s="13" t="str">
        <x:v>ADMIN MODE</x:v>
      </x:c>
      <x:c r="E935" s="13" t="str">
        <x:v>risk_readiness</x:v>
      </x:c>
      <x:c r="F935" s="13" t="str">
        <x:v>publish configuration</x:v>
      </x:c>
      <x:c r="G935" s="13" t="str">
        <x:v>risk_readiness.admin.publish</x:v>
      </x:c>
      <x:c r="H935" s="13" t="str">
        <x:v>LIVE_ROUTER_REGISTERED</x:v>
      </x:c>
      <x:c r="I935" s="13" t="str">
        <x:v>frontend/src/features/risk-readiness/api.ts</x:v>
      </x:c>
      <x:c r="J935" s="13" t="str">
        <x:v>NOT_EXECUTED_BY_INVENTORY. SOURCE_LITERAL_OR_TRANSITIVE_HELPER_UNION</x:v>
      </x:c>
    </x:row>
    <x:row r="936" ht="42" customHeight="1">
      <x:c r="A936" s="14" t="str">
        <x:v>API-732</x:v>
      </x:c>
      <x:c r="B936" s="6" t="str">
        <x:v>GET</x:v>
      </x:c>
      <x:c r="C936" s="6" t="str">
        <x:v>/api/v1/risk-readiness/overview</x:v>
      </x:c>
      <x:c r="D936" s="6" t="str">
        <x:v>READ-ONLY SHARED CONTEXT</x:v>
      </x:c>
      <x:c r="E936" s="6" t="str">
        <x:v>risk_readiness</x:v>
      </x:c>
      <x:c r="F936" s="6" t="str">
        <x:v>overview</x:v>
      </x:c>
      <x:c r="G936" s="6" t="str">
        <x:v>risk_readiness.read</x:v>
      </x:c>
      <x:c r="H936" s="6" t="str">
        <x:v>LIVE_ROUTER_REGISTERED</x:v>
      </x:c>
      <x:c r="I936" s="6" t="str">
        <x:v>frontend/src/features/risk-readiness/api.ts</x:v>
      </x:c>
      <x:c r="J936" s="6" t="str">
        <x:v>NOT_EXECUTED_BY_INVENTORY. SOURCE_LITERAL_OR_TRANSITIVE_HELPER_UNION</x:v>
      </x:c>
    </x:row>
    <x:row r="937" ht="42" customHeight="1">
      <x:c r="A937" s="15" t="str">
        <x:v>API-733</x:v>
      </x:c>
      <x:c r="B937" s="13" t="str">
        <x:v>GET</x:v>
      </x:c>
      <x:c r="C937" s="13" t="str">
        <x:v>/api/v1/risks/{risk_id}</x:v>
      </x:c>
      <x:c r="D937" s="13" t="str">
        <x:v>READ-ONLY SHARED CONTEXT</x:v>
      </x:c>
      <x:c r="E937" s="13" t="str">
        <x:v>risk_readiness</x:v>
      </x:c>
      <x:c r="F937" s="13" t="str">
        <x:v>risk</x:v>
      </x:c>
      <x:c r="G937" s="13" t="str">
        <x:v>project_risk.read</x:v>
      </x:c>
      <x:c r="H937" s="13" t="str">
        <x:v>LIVE_ROUTER_REGISTERED</x:v>
      </x:c>
      <x:c r="I937" s="13" t="str">
        <x:v>frontend/src/features/risk-readiness/api.ts</x:v>
      </x:c>
      <x:c r="J937" s="13" t="str">
        <x:v>NOT_EXECUTED_BY_INVENTORY. SOURCE_LITERAL_OR_TRANSITIVE_HELPER_UNION</x:v>
      </x:c>
    </x:row>
    <x:row r="938" ht="42" customHeight="1">
      <x:c r="A938" s="14" t="str">
        <x:v>API-734</x:v>
      </x:c>
      <x:c r="B938" s="6" t="str">
        <x:v>PUT</x:v>
      </x:c>
      <x:c r="C938" s="6" t="str">
        <x:v>/api/v1/risks/{risk_id}</x:v>
      </x:c>
      <x:c r="D938" s="6" t="str">
        <x:v>USER MODE</x:v>
      </x:c>
      <x:c r="E938" s="6" t="str">
        <x:v>risk_readiness</x:v>
      </x:c>
      <x:c r="F938" s="6" t="str">
        <x:v>update risk</x:v>
      </x:c>
      <x:c r="G938" s="6" t="str">
        <x:v>project_risk.edit</x:v>
      </x:c>
      <x:c r="H938" s="6" t="str">
        <x:v>LIVE_ROUTER_REGISTERED</x:v>
      </x:c>
      <x:c r="I938" s="6" t="str">
        <x:v>frontend/src/features/risk-readiness/api.ts</x:v>
      </x:c>
      <x:c r="J938" s="6" t="str">
        <x:v>NOT_EXECUTED_BY_INVENTORY. SOURCE_LITERAL_OR_TRANSITIVE_HELPER_UNION</x:v>
      </x:c>
    </x:row>
    <x:row r="939" ht="42" customHeight="1">
      <x:c r="A939" s="15" t="str">
        <x:v>API-735</x:v>
      </x:c>
      <x:c r="B939" s="13" t="str">
        <x:v>POST</x:v>
      </x:c>
      <x:c r="C939" s="13" t="str">
        <x:v>/api/v1/risks/{risk_id}/accept-residual</x:v>
      </x:c>
      <x:c r="D939" s="13" t="str">
        <x:v>USER MODE</x:v>
      </x:c>
      <x:c r="E939" s="13" t="str">
        <x:v>risk_readiness</x:v>
      </x:c>
      <x:c r="F939" s="13" t="str">
        <x:v>accept residual</x:v>
      </x:c>
      <x:c r="G939" s="13" t="str">
        <x:v>project_risk.accept</x:v>
      </x:c>
      <x:c r="H939" s="13" t="str">
        <x:v>LIVE_ROUTER_REGISTERED</x:v>
      </x:c>
      <x:c r="I939" s="13" t="str">
        <x:v>frontend/src/features/risk-readiness/api.ts</x:v>
      </x:c>
      <x:c r="J939" s="13" t="str">
        <x:v>NOT_EXECUTED_BY_INVENTORY. SOURCE_LITERAL_OR_TRANSITIVE_HELPER_UNION</x:v>
      </x:c>
    </x:row>
    <x:row r="940" ht="42" customHeight="1">
      <x:c r="A940" s="14" t="str">
        <x:v>API-736</x:v>
      </x:c>
      <x:c r="B940" s="6" t="str">
        <x:v>POST</x:v>
      </x:c>
      <x:c r="C940" s="6" t="str">
        <x:v>/api/v1/risks/{risk_id}/status</x:v>
      </x:c>
      <x:c r="D940" s="6" t="str">
        <x:v>USER MODE</x:v>
      </x:c>
      <x:c r="E940" s="6" t="str">
        <x:v>risk_readiness</x:v>
      </x:c>
      <x:c r="F940" s="6" t="str">
        <x:v>change risk status</x:v>
      </x:c>
      <x:c r="G940" s="6" t="str">
        <x:v>project_risk.manage_status</x:v>
      </x:c>
      <x:c r="H940" s="6" t="str">
        <x:v>LIVE_ROUTER_REGISTERED</x:v>
      </x:c>
      <x:c r="I940" s="6" t="str">
        <x:v>frontend/src/features/risk-readiness/api.ts</x:v>
      </x:c>
      <x:c r="J940" s="6" t="str">
        <x:v>NOT_EXECUTED_BY_INVENTORY. SOURCE_LITERAL_OR_TRANSITIVE_HELPER_UNION</x:v>
      </x:c>
    </x:row>
    <x:row r="941" ht="42" customHeight="1">
      <x:c r="A941" s="15" t="str">
        <x:v>API-737</x:v>
      </x:c>
      <x:c r="B941" s="13" t="str">
        <x:v>GET</x:v>
      </x:c>
      <x:c r="C941" s="13" t="str">
        <x:v>/api/v1/projects/{project_id}/benefits-readiness-evidence</x:v>
      </x:c>
      <x:c r="D941" s="13" t="str">
        <x:v>READ-ONLY SHARED CONTEXT</x:v>
      </x:c>
      <x:c r="E941" s="13" t="str">
        <x:v>strategic_benefits</x:v>
      </x:c>
      <x:c r="F941" s="13" t="str">
        <x:v>project benefits evidence</x:v>
      </x:c>
      <x:c r="G941" s="13" t="str">
        <x:v>benefits_plan.read</x:v>
      </x:c>
      <x:c r="H941" s="13" t="str">
        <x:v>LIVE_ROUTER_REGISTERED</x:v>
      </x:c>
      <x:c r="I941" s="13" t="str">
        <x:v>frontend/src/features/strategic-benefits/api.ts</x:v>
      </x:c>
      <x:c r="J941" s="13" t="str">
        <x:v>NOT_EXECUTED_BY_INVENTORY. SOURCE_LITERAL_OR_TRANSITIVE_HELPER_UNION</x:v>
      </x:c>
    </x:row>
    <x:row r="942" ht="42" customHeight="1">
      <x:c r="A942" s="14" t="str">
        <x:v>API-738</x:v>
      </x:c>
      <x:c r="B942" s="6" t="str">
        <x:v>GET</x:v>
      </x:c>
      <x:c r="C942" s="6" t="str">
        <x:v>/api/v1/projects/{project_id}/strategic-benefits-plan</x:v>
      </x:c>
      <x:c r="D942" s="6" t="str">
        <x:v>READ-ONLY SHARED CONTEXT</x:v>
      </x:c>
      <x:c r="E942" s="6" t="str">
        <x:v>strategic_benefits</x:v>
      </x:c>
      <x:c r="F942" s="6" t="str">
        <x:v>project plan</x:v>
      </x:c>
      <x:c r="G942" s="6" t="str">
        <x:v>benefits_plan.read</x:v>
      </x:c>
      <x:c r="H942" s="6" t="str">
        <x:v>LIVE_ROUTER_REGISTERED</x:v>
      </x:c>
      <x:c r="I942" s="6" t="str">
        <x:v>frontend/src/features/strategic-benefits/api.ts</x:v>
      </x:c>
      <x:c r="J942" s="6" t="str">
        <x:v>NOT_EXECUTED_BY_INVENTORY. SOURCE_LITERAL_OR_TRANSITIVE_HELPER_UNION</x:v>
      </x:c>
    </x:row>
    <x:row r="943" ht="42" customHeight="1">
      <x:c r="A943" s="15" t="str">
        <x:v>API-739</x:v>
      </x:c>
      <x:c r="B943" s="13" t="str">
        <x:v>GET</x:v>
      </x:c>
      <x:c r="C943" s="13" t="str">
        <x:v>/api/v1/strategic-benefits-plans</x:v>
      </x:c>
      <x:c r="D943" s="13" t="str">
        <x:v>READ-ONLY SHARED CONTEXT</x:v>
      </x:c>
      <x:c r="E943" s="13" t="str">
        <x:v>strategic_benefits</x:v>
      </x:c>
      <x:c r="F943" s="13" t="str">
        <x:v>list plans</x:v>
      </x:c>
      <x:c r="G943" s="13" t="str">
        <x:v>benefits_plan.read</x:v>
      </x:c>
      <x:c r="H943" s="13" t="str">
        <x:v>LIVE_ROUTER_REGISTERED</x:v>
      </x:c>
      <x:c r="I943" s="13" t="str">
        <x:v>frontend/src/features/strategic-benefits/api.ts</x:v>
      </x:c>
      <x:c r="J943" s="13" t="str">
        <x:v>NOT_EXECUTED_BY_INVENTORY. SOURCE_LITERAL_OR_TRANSITIVE_HELPER_UNION</x:v>
      </x:c>
    </x:row>
    <x:row r="944" ht="42" customHeight="1">
      <x:c r="A944" s="14" t="str">
        <x:v>API-740</x:v>
      </x:c>
      <x:c r="B944" s="6" t="str">
        <x:v>POST</x:v>
      </x:c>
      <x:c r="C944" s="6" t="str">
        <x:v>/api/v1/strategic-benefits-plans</x:v>
      </x:c>
      <x:c r="D944" s="6" t="str">
        <x:v>USER MODE</x:v>
      </x:c>
      <x:c r="E944" s="6" t="str">
        <x:v>strategic_benefits</x:v>
      </x:c>
      <x:c r="F944" s="6" t="str">
        <x:v>create plan</x:v>
      </x:c>
      <x:c r="G944" s="6" t="str">
        <x:v>benefits_plan.create</x:v>
      </x:c>
      <x:c r="H944" s="6" t="str">
        <x:v>LIVE_ROUTER_REGISTERED</x:v>
      </x:c>
      <x:c r="I944" s="6" t="str">
        <x:v>frontend/src/features/strategic-benefits/api.ts</x:v>
      </x:c>
      <x:c r="J944" s="6" t="str">
        <x:v>NOT_EXECUTED_BY_INVENTORY. SOURCE_LITERAL_OR_TRANSITIVE_HELPER_UNION</x:v>
      </x:c>
    </x:row>
    <x:row r="945" ht="42" customHeight="1">
      <x:c r="A945" s="15" t="str">
        <x:v>API-741</x:v>
      </x:c>
      <x:c r="B945" s="13" t="str">
        <x:v>GET</x:v>
      </x:c>
      <x:c r="C945" s="13" t="str">
        <x:v>/api/v1/strategic-benefits-plans/admin/configurations</x:v>
      </x:c>
      <x:c r="D945" s="13" t="str">
        <x:v>ADMIN MODE</x:v>
      </x:c>
      <x:c r="E945" s="13" t="str">
        <x:v>strategic_benefits</x:v>
      </x:c>
      <x:c r="F945" s="13" t="str">
        <x:v>configurations</x:v>
      </x:c>
      <x:c r="G945" s="13" t="str">
        <x:v>benefits_plan.admin.configure</x:v>
      </x:c>
      <x:c r="H945" s="13" t="str">
        <x:v>LIVE_ROUTER_REGISTERED</x:v>
      </x:c>
      <x:c r="I945" s="13" t="str">
        <x:v>frontend/src/features/strategic-benefits/api.ts</x:v>
      </x:c>
      <x:c r="J945" s="13" t="str">
        <x:v>NOT_EXECUTED_BY_INVENTORY. SOURCE_LITERAL_OR_TRANSITIVE_HELPER_UNION</x:v>
      </x:c>
    </x:row>
    <x:row r="946" ht="42" customHeight="1">
      <x:c r="A946" s="14" t="str">
        <x:v>API-742</x:v>
      </x:c>
      <x:c r="B946" s="6" t="str">
        <x:v>POST</x:v>
      </x:c>
      <x:c r="C946" s="6" t="str">
        <x:v>/api/v1/strategic-benefits-plans/admin/configurations/effective-preview</x:v>
      </x:c>
      <x:c r="D946" s="6" t="str">
        <x:v>ADMIN MODE</x:v>
      </x:c>
      <x:c r="E946" s="6" t="str">
        <x:v>strategic_benefits</x:v>
      </x:c>
      <x:c r="F946" s="6" t="str">
        <x:v>configuration preview</x:v>
      </x:c>
      <x:c r="G946" s="6" t="str">
        <x:v>benefits_plan.admin.configure</x:v>
      </x:c>
      <x:c r="H946" s="6" t="str">
        <x:v>LIVE_ROUTER_REGISTERED</x:v>
      </x:c>
      <x:c r="I946" s="6" t="str">
        <x:v>frontend/src/features/strategic-benefits/api.ts</x:v>
      </x:c>
      <x:c r="J946" s="6" t="str">
        <x:v>NOT_EXECUTED_BY_INVENTORY. SOURCE_LITERAL_OR_TRANSITIVE_HELPER_UNION</x:v>
      </x:c>
    </x:row>
    <x:row r="947" ht="42" customHeight="1">
      <x:c r="A947" s="15" t="str">
        <x:v>API-743</x:v>
      </x:c>
      <x:c r="B947" s="13" t="str">
        <x:v>PUT</x:v>
      </x:c>
      <x:c r="C947" s="13" t="str">
        <x:v>/api/v1/strategic-benefits-plans/admin/configurations/{configuration_id}</x:v>
      </x:c>
      <x:c r="D947" s="13" t="str">
        <x:v>ADMIN MODE</x:v>
      </x:c>
      <x:c r="E947" s="13" t="str">
        <x:v>strategic_benefits</x:v>
      </x:c>
      <x:c r="F947" s="13" t="str">
        <x:v>update configuration</x:v>
      </x:c>
      <x:c r="G947" s="13" t="str">
        <x:v>benefits_plan.admin.configure</x:v>
      </x:c>
      <x:c r="H947" s="13" t="str">
        <x:v>LIVE_ROUTER_REGISTERED</x:v>
      </x:c>
      <x:c r="I947" s="13" t="str">
        <x:v>frontend/src/features/strategic-benefits/api.ts</x:v>
      </x:c>
      <x:c r="J947" s="13" t="str">
        <x:v>NOT_EXECUTED_BY_INVENTORY. SOURCE_LITERAL_OR_TRANSITIVE_HELPER_UNION</x:v>
      </x:c>
    </x:row>
    <x:row r="948" ht="42" customHeight="1">
      <x:c r="A948" s="14" t="str">
        <x:v>API-744</x:v>
      </x:c>
      <x:c r="B948" s="6" t="str">
        <x:v>POST</x:v>
      </x:c>
      <x:c r="C948" s="6" t="str">
        <x:v>/api/v1/strategic-benefits-plans/admin/configurations/{configuration_id}/archive</x:v>
      </x:c>
      <x:c r="D948" s="6" t="str">
        <x:v>ADMIN MODE</x:v>
      </x:c>
      <x:c r="E948" s="6" t="str">
        <x:v>strategic_benefits</x:v>
      </x:c>
      <x:c r="F948" s="6" t="str">
        <x:v>archive configuration</x:v>
      </x:c>
      <x:c r="G948" s="6" t="str">
        <x:v>benefits_plan.admin.publish</x:v>
      </x:c>
      <x:c r="H948" s="6" t="str">
        <x:v>LIVE_ROUTER_REGISTERED</x:v>
      </x:c>
      <x:c r="I948" s="6" t="str">
        <x:v>frontend/src/features/strategic-benefits/api.ts</x:v>
      </x:c>
      <x:c r="J948" s="6" t="str">
        <x:v>NOT_EXECUTED_BY_INVENTORY. SOURCE_LITERAL_OR_TRANSITIVE_HELPER_UNION</x:v>
      </x:c>
    </x:row>
    <x:row r="949" ht="42" customHeight="1">
      <x:c r="A949" s="15" t="str">
        <x:v>API-745</x:v>
      </x:c>
      <x:c r="B949" s="13" t="str">
        <x:v>POST</x:v>
      </x:c>
      <x:c r="C949" s="13" t="str">
        <x:v>/api/v1/strategic-benefits-plans/admin/configurations/{configuration_id}/clone</x:v>
      </x:c>
      <x:c r="D949" s="13" t="str">
        <x:v>ADMIN MODE</x:v>
      </x:c>
      <x:c r="E949" s="13" t="str">
        <x:v>strategic_benefits</x:v>
      </x:c>
      <x:c r="F949" s="13" t="str">
        <x:v>clone configuration</x:v>
      </x:c>
      <x:c r="G949" s="13" t="str">
        <x:v>benefits_plan.admin.configure</x:v>
      </x:c>
      <x:c r="H949" s="13" t="str">
        <x:v>LIVE_ROUTER_REGISTERED</x:v>
      </x:c>
      <x:c r="I949" s="13" t="str">
        <x:v>frontend/src/features/strategic-benefits/api.ts</x:v>
      </x:c>
      <x:c r="J949" s="13" t="str">
        <x:v>NOT_EXECUTED_BY_INVENTORY. SOURCE_LITERAL_OR_TRANSITIVE_HELPER_UNION</x:v>
      </x:c>
    </x:row>
    <x:row r="950" ht="42" customHeight="1">
      <x:c r="A950" s="14" t="str">
        <x:v>API-746</x:v>
      </x:c>
      <x:c r="B950" s="6" t="str">
        <x:v>POST</x:v>
      </x:c>
      <x:c r="C950" s="6" t="str">
        <x:v>/api/v1/strategic-benefits-plans/admin/configurations/{configuration_id}/publish</x:v>
      </x:c>
      <x:c r="D950" s="6" t="str">
        <x:v>ADMIN MODE</x:v>
      </x:c>
      <x:c r="E950" s="6" t="str">
        <x:v>strategic_benefits</x:v>
      </x:c>
      <x:c r="F950" s="6" t="str">
        <x:v>publish configuration</x:v>
      </x:c>
      <x:c r="G950" s="6" t="str">
        <x:v>benefits_plan.admin.publish</x:v>
      </x:c>
      <x:c r="H950" s="6" t="str">
        <x:v>LIVE_ROUTER_REGISTERED</x:v>
      </x:c>
      <x:c r="I950" s="6" t="str">
        <x:v>frontend/src/features/strategic-benefits/api.ts</x:v>
      </x:c>
      <x:c r="J950" s="6" t="str">
        <x:v>NOT_EXECUTED_BY_INVENTORY. SOURCE_LITERAL_OR_TRANSITIVE_HELPER_UNION</x:v>
      </x:c>
    </x:row>
    <x:row r="951" ht="42" customHeight="1">
      <x:c r="A951" s="15" t="str">
        <x:v>API-747</x:v>
      </x:c>
      <x:c r="B951" s="13" t="str">
        <x:v>GET</x:v>
      </x:c>
      <x:c r="C951" s="13" t="str">
        <x:v>/api/v1/strategic-benefits-plans/options</x:v>
      </x:c>
      <x:c r="D951" s="13" t="str">
        <x:v>READ-ONLY SHARED CONTEXT</x:v>
      </x:c>
      <x:c r="E951" s="13" t="str">
        <x:v>strategic_benefits</x:v>
      </x:c>
      <x:c r="F951" s="13" t="str">
        <x:v>options</x:v>
      </x:c>
      <x:c r="G951" s="13" t="str">
        <x:v>benefits_plan.read</x:v>
      </x:c>
      <x:c r="H951" s="13" t="str">
        <x:v>LIVE_ROUTER_REGISTERED</x:v>
      </x:c>
      <x:c r="I951" s="13" t="str">
        <x:v>NO_DIRECT_LITERAL_MATCH_NOT_PROOF_UNUSED</x:v>
      </x:c>
      <x:c r="J951" s="13" t="str">
        <x:v>NOT_EXECUTED_BY_INVENTORY. SOURCE_LITERAL_OR_TRANSITIVE_HELPER_UNION</x:v>
      </x:c>
    </x:row>
    <x:row r="952" ht="42" customHeight="1">
      <x:c r="A952" s="14" t="str">
        <x:v>API-748</x:v>
      </x:c>
      <x:c r="B952" s="6" t="str">
        <x:v>GET</x:v>
      </x:c>
      <x:c r="C952" s="6" t="str">
        <x:v>/api/v1/strategic-benefits-plans/{plan_id}</x:v>
      </x:c>
      <x:c r="D952" s="6" t="str">
        <x:v>READ-ONLY SHARED CONTEXT</x:v>
      </x:c>
      <x:c r="E952" s="6" t="str">
        <x:v>strategic_benefits</x:v>
      </x:c>
      <x:c r="F952" s="6" t="str">
        <x:v>get plan</x:v>
      </x:c>
      <x:c r="G952" s="6" t="str">
        <x:v>benefits_plan.read</x:v>
      </x:c>
      <x:c r="H952" s="6" t="str">
        <x:v>LIVE_ROUTER_REGISTERED</x:v>
      </x:c>
      <x:c r="I952" s="6" t="str">
        <x:v>frontend/src/features/strategic-benefits/api.ts</x:v>
      </x:c>
      <x:c r="J952" s="6" t="str">
        <x:v>NOT_EXECUTED_BY_INVENTORY. SOURCE_LITERAL_OR_TRANSITIVE_HELPER_UNION</x:v>
      </x:c>
    </x:row>
    <x:row r="953" ht="42" customHeight="1">
      <x:c r="A953" s="15" t="str">
        <x:v>API-749</x:v>
      </x:c>
      <x:c r="B953" s="13" t="str">
        <x:v>GET</x:v>
      </x:c>
      <x:c r="C953" s="13" t="str">
        <x:v>/api/v1/strategic-benefits-plans/{plan_id}/history</x:v>
      </x:c>
      <x:c r="D953" s="13" t="str">
        <x:v>READ-ONLY SHARED CONTEXT</x:v>
      </x:c>
      <x:c r="E953" s="13" t="str">
        <x:v>strategic_benefits</x:v>
      </x:c>
      <x:c r="F953" s="13" t="str">
        <x:v>history</x:v>
      </x:c>
      <x:c r="G953" s="13" t="str">
        <x:v>benefits_plan.read</x:v>
      </x:c>
      <x:c r="H953" s="13" t="str">
        <x:v>LIVE_ROUTER_REGISTERED</x:v>
      </x:c>
      <x:c r="I953" s="13" t="str">
        <x:v>frontend/src/features/strategic-benefits/api.ts</x:v>
      </x:c>
      <x:c r="J953" s="13" t="str">
        <x:v>NOT_EXECUTED_BY_INVENTORY. SOURCE_LITERAL_OR_TRANSITIVE_HELPER_UNION</x:v>
      </x:c>
    </x:row>
    <x:row r="954" ht="42" customHeight="1">
      <x:c r="A954" s="14" t="str">
        <x:v>API-750</x:v>
      </x:c>
      <x:c r="B954" s="6" t="str">
        <x:v>POST</x:v>
      </x:c>
      <x:c r="C954" s="6" t="str">
        <x:v>/api/v1/strategic-benefits-plans/{plan_id}/new-revision</x:v>
      </x:c>
      <x:c r="D954" s="6" t="str">
        <x:v>USER MODE</x:v>
      </x:c>
      <x:c r="E954" s="6" t="str">
        <x:v>strategic_benefits</x:v>
      </x:c>
      <x:c r="F954" s="6" t="str">
        <x:v>new revision</x:v>
      </x:c>
      <x:c r="G954" s="6" t="str">
        <x:v>benefits_plan.create_revision</x:v>
      </x:c>
      <x:c r="H954" s="6" t="str">
        <x:v>LIVE_ROUTER_REGISTERED</x:v>
      </x:c>
      <x:c r="I954" s="6" t="str">
        <x:v>frontend/src/features/strategic-benefits/api.ts</x:v>
      </x:c>
      <x:c r="J954" s="6" t="str">
        <x:v>NOT_EXECUTED_BY_INVENTORY. SOURCE_LITERAL_OR_TRANSITIVE_HELPER_UNION</x:v>
      </x:c>
    </x:row>
    <x:row r="955" ht="42" customHeight="1">
      <x:c r="A955" s="15" t="str">
        <x:v>API-751</x:v>
      </x:c>
      <x:c r="B955" s="13" t="str">
        <x:v>GET</x:v>
      </x:c>
      <x:c r="C955" s="13" t="str">
        <x:v>/api/v1/strategic-benefits-plans/{plan_id}/readiness</x:v>
      </x:c>
      <x:c r="D955" s="13" t="str">
        <x:v>READ-ONLY SHARED CONTEXT</x:v>
      </x:c>
      <x:c r="E955" s="13" t="str">
        <x:v>strategic_benefits</x:v>
      </x:c>
      <x:c r="F955" s="13" t="str">
        <x:v>readiness</x:v>
      </x:c>
      <x:c r="G955" s="13" t="str">
        <x:v>benefits_plan.read</x:v>
      </x:c>
      <x:c r="H955" s="13" t="str">
        <x:v>LIVE_ROUTER_REGISTERED</x:v>
      </x:c>
      <x:c r="I955" s="13" t="str">
        <x:v>frontend/src/features/strategic-benefits/api.ts</x:v>
      </x:c>
      <x:c r="J955" s="13" t="str">
        <x:v>NOT_EXECUTED_BY_INVENTORY. SOURCE_LITERAL_OR_TRANSITIVE_HELPER_UNION</x:v>
      </x:c>
    </x:row>
    <x:row r="956" ht="42" customHeight="1">
      <x:c r="A956" s="14" t="str">
        <x:v>API-752</x:v>
      </x:c>
      <x:c r="B956" s="6" t="str">
        <x:v>POST</x:v>
      </x:c>
      <x:c r="C956" s="6" t="str">
        <x:v>/api/v1/strategic-benefits-plans/{plan_id}/refresh-apply</x:v>
      </x:c>
      <x:c r="D956" s="6" t="str">
        <x:v>USER MODE</x:v>
      </x:c>
      <x:c r="E956" s="6" t="str">
        <x:v>strategic_benefits</x:v>
      </x:c>
      <x:c r="F956" s="6" t="str">
        <x:v>refresh apply</x:v>
      </x:c>
      <x:c r="G956" s="6" t="str">
        <x:v>benefits_plan.refresh</x:v>
      </x:c>
      <x:c r="H956" s="6" t="str">
        <x:v>LIVE_ROUTER_REGISTERED</x:v>
      </x:c>
      <x:c r="I956" s="6" t="str">
        <x:v>frontend/src/features/strategic-benefits/api.ts</x:v>
      </x:c>
      <x:c r="J956" s="6" t="str">
        <x:v>NOT_EXECUTED_BY_INVENTORY. SOURCE_LITERAL_OR_TRANSITIVE_HELPER_UNION</x:v>
      </x:c>
    </x:row>
    <x:row r="957" ht="42" customHeight="1">
      <x:c r="A957" s="15" t="str">
        <x:v>API-753</x:v>
      </x:c>
      <x:c r="B957" s="13" t="str">
        <x:v>POST</x:v>
      </x:c>
      <x:c r="C957" s="13" t="str">
        <x:v>/api/v1/strategic-benefits-plans/{plan_id}/refresh-preview</x:v>
      </x:c>
      <x:c r="D957" s="13" t="str">
        <x:v>USER MODE</x:v>
      </x:c>
      <x:c r="E957" s="13" t="str">
        <x:v>strategic_benefits</x:v>
      </x:c>
      <x:c r="F957" s="13" t="str">
        <x:v>refresh preview</x:v>
      </x:c>
      <x:c r="G957" s="13" t="str">
        <x:v>benefits_plan.refresh</x:v>
      </x:c>
      <x:c r="H957" s="13" t="str">
        <x:v>LIVE_ROUTER_REGISTERED</x:v>
      </x:c>
      <x:c r="I957" s="13" t="str">
        <x:v>frontend/src/features/strategic-benefits/api.ts</x:v>
      </x:c>
      <x:c r="J957" s="13" t="str">
        <x:v>NOT_EXECUTED_BY_INVENTORY. SOURCE_LITERAL_OR_TRANSITIVE_HELPER_UNION</x:v>
      </x:c>
    </x:row>
    <x:row r="958" ht="42" customHeight="1">
      <x:c r="A958" s="14" t="str">
        <x:v>API-754</x:v>
      </x:c>
      <x:c r="B958" s="6" t="str">
        <x:v>GET</x:v>
      </x:c>
      <x:c r="C958" s="6" t="str">
        <x:v>/api/v1/strategic-benefits-plans/{plan_id}/traceability</x:v>
      </x:c>
      <x:c r="D958" s="6" t="str">
        <x:v>READ-ONLY SHARED CONTEXT</x:v>
      </x:c>
      <x:c r="E958" s="6" t="str">
        <x:v>strategic_benefits</x:v>
      </x:c>
      <x:c r="F958" s="6" t="str">
        <x:v>traceability</x:v>
      </x:c>
      <x:c r="G958" s="6" t="str">
        <x:v>benefits_plan.read</x:v>
      </x:c>
      <x:c r="H958" s="6" t="str">
        <x:v>LIVE_ROUTER_REGISTERED</x:v>
      </x:c>
      <x:c r="I958" s="6" t="str">
        <x:v>frontend/src/features/strategic-benefits/api.ts</x:v>
      </x:c>
      <x:c r="J958" s="6" t="str">
        <x:v>NOT_EXECUTED_BY_INVENTORY. SOURCE_LITERAL_OR_TRANSITIVE_HELPER_UNION</x:v>
      </x:c>
    </x:row>
    <x:row r="959" ht="42" customHeight="1">
      <x:c r="A959" s="15" t="str">
        <x:v>API-755</x:v>
      </x:c>
      <x:c r="B959" s="13" t="str">
        <x:v>PUT</x:v>
      </x:c>
      <x:c r="C959" s="13" t="str">
        <x:v>/api/v1/strategic-benefits-plans/{plan_id}/versions/{version_id}</x:v>
      </x:c>
      <x:c r="D959" s="13" t="str">
        <x:v>USER MODE</x:v>
      </x:c>
      <x:c r="E959" s="13" t="str">
        <x:v>strategic_benefits</x:v>
      </x:c>
      <x:c r="F959" s="13" t="str">
        <x:v>update version</x:v>
      </x:c>
      <x:c r="G959" s="13" t="str">
        <x:v>benefits_plan.edit</x:v>
      </x:c>
      <x:c r="H959" s="13" t="str">
        <x:v>LIVE_ROUTER_REGISTERED</x:v>
      </x:c>
      <x:c r="I959" s="13" t="str">
        <x:v>frontend/src/features/strategic-benefits/api.ts</x:v>
      </x:c>
      <x:c r="J959" s="13" t="str">
        <x:v>NOT_EXECUTED_BY_INVENTORY. SOURCE_LITERAL_OR_TRANSITIVE_HELPER_UNION</x:v>
      </x:c>
    </x:row>
    <x:row r="960" ht="42" customHeight="1">
      <x:c r="A960" s="14" t="str">
        <x:v>API-756</x:v>
      </x:c>
      <x:c r="B960" s="6" t="str">
        <x:v>POST</x:v>
      </x:c>
      <x:c r="C960" s="6" t="str">
        <x:v>/api/v1/strategic-benefits-plans/{plan_id}/versions/{version_id}/benefits</x:v>
      </x:c>
      <x:c r="D960" s="6" t="str">
        <x:v>USER MODE</x:v>
      </x:c>
      <x:c r="E960" s="6" t="str">
        <x:v>strategic_benefits</x:v>
      </x:c>
      <x:c r="F960" s="6" t="str">
        <x:v>add benefit</x:v>
      </x:c>
      <x:c r="G960" s="6" t="str">
        <x:v>benefits_plan.edit</x:v>
      </x:c>
      <x:c r="H960" s="6" t="str">
        <x:v>LIVE_ROUTER_REGISTERED</x:v>
      </x:c>
      <x:c r="I960" s="6" t="str">
        <x:v>frontend/src/features/strategic-benefits/api.ts</x:v>
      </x:c>
      <x:c r="J960" s="6" t="str">
        <x:v>NOT_EXECUTED_BY_INVENTORY. SOURCE_LITERAL_OR_TRANSITIVE_HELPER_UNION</x:v>
      </x:c>
    </x:row>
    <x:row r="961" ht="42" customHeight="1">
      <x:c r="A961" s="15" t="str">
        <x:v>API-757</x:v>
      </x:c>
      <x:c r="B961" s="13" t="str">
        <x:v>PUT</x:v>
      </x:c>
      <x:c r="C961" s="13" t="str">
        <x:v>/api/v1/strategic-benefits-plans/{plan_id}/versions/{version_id}/benefits/{benefit_id}</x:v>
      </x:c>
      <x:c r="D961" s="13" t="str">
        <x:v>USER MODE</x:v>
      </x:c>
      <x:c r="E961" s="13" t="str">
        <x:v>strategic_benefits</x:v>
      </x:c>
      <x:c r="F961" s="13" t="str">
        <x:v>update benefit</x:v>
      </x:c>
      <x:c r="G961" s="13" t="str">
        <x:v>benefits_plan.edit</x:v>
      </x:c>
      <x:c r="H961" s="13" t="str">
        <x:v>LIVE_ROUTER_REGISTERED</x:v>
      </x:c>
      <x:c r="I961" s="13" t="str">
        <x:v>frontend/src/features/strategic-benefits/api.ts</x:v>
      </x:c>
      <x:c r="J961" s="13" t="str">
        <x:v>NOT_EXECUTED_BY_INVENTORY. SOURCE_LITERAL_OR_TRANSITIVE_HELPER_UNION</x:v>
      </x:c>
    </x:row>
    <x:row r="962" ht="42" customHeight="1">
      <x:c r="A962" s="14" t="str">
        <x:v>API-758</x:v>
      </x:c>
      <x:c r="B962" s="6" t="str">
        <x:v>POST</x:v>
      </x:c>
      <x:c r="C962" s="6" t="str">
        <x:v>/api/v1/strategic-benefits-plans/{plan_id}/versions/{version_id}/benefits/{benefit_id}/measures</x:v>
      </x:c>
      <x:c r="D962" s="6" t="str">
        <x:v>USER MODE</x:v>
      </x:c>
      <x:c r="E962" s="6" t="str">
        <x:v>strategic_benefits</x:v>
      </x:c>
      <x:c r="F962" s="6" t="str">
        <x:v>add measure</x:v>
      </x:c>
      <x:c r="G962" s="6" t="str">
        <x:v>benefits_plan.edit</x:v>
      </x:c>
      <x:c r="H962" s="6" t="str">
        <x:v>LIVE_ROUTER_REGISTERED</x:v>
      </x:c>
      <x:c r="I962" s="6" t="str">
        <x:v>frontend/src/features/strategic-benefits/api.ts</x:v>
      </x:c>
      <x:c r="J962" s="6" t="str">
        <x:v>NOT_EXECUTED_BY_INVENTORY. SOURCE_LITERAL_OR_TRANSITIVE_HELPER_UNION</x:v>
      </x:c>
    </x:row>
    <x:row r="963" ht="42" customHeight="1">
      <x:c r="A963" s="15" t="str">
        <x:v>API-759</x:v>
      </x:c>
      <x:c r="B963" s="13" t="str">
        <x:v>PUT</x:v>
      </x:c>
      <x:c r="C963" s="13" t="str">
        <x:v>/api/v1/strategic-benefits-plans/{plan_id}/versions/{version_id}/benefits/{benefit_id}/measures/{measure_id}</x:v>
      </x:c>
      <x:c r="D963" s="13" t="str">
        <x:v>USER MODE</x:v>
      </x:c>
      <x:c r="E963" s="13" t="str">
        <x:v>strategic_benefits</x:v>
      </x:c>
      <x:c r="F963" s="13" t="str">
        <x:v>update measure</x:v>
      </x:c>
      <x:c r="G963" s="13" t="str">
        <x:v>benefits_plan.edit</x:v>
      </x:c>
      <x:c r="H963" s="13" t="str">
        <x:v>LIVE_ROUTER_REGISTERED</x:v>
      </x:c>
      <x:c r="I963" s="13" t="str">
        <x:v>frontend/src/features/strategic-benefits/api.ts</x:v>
      </x:c>
      <x:c r="J963" s="13" t="str">
        <x:v>NOT_EXECUTED_BY_INVENTORY. SOURCE_LITERAL_OR_TRANSITIVE_HELPER_UNION</x:v>
      </x:c>
    </x:row>
    <x:row r="964" ht="42" customHeight="1">
      <x:c r="A964" s="14" t="str">
        <x:v>API-760</x:v>
      </x:c>
      <x:c r="B964" s="6" t="str">
        <x:v>POST</x:v>
      </x:c>
      <x:c r="C964" s="6" t="str">
        <x:v>/api/v1/strategic-benefits-plans/{plan_id}/versions/{version_id}/return</x:v>
      </x:c>
      <x:c r="D964" s="6" t="str">
        <x:v>USER MODE</x:v>
      </x:c>
      <x:c r="E964" s="6" t="str">
        <x:v>strategic_benefits</x:v>
      </x:c>
      <x:c r="F964" s="6" t="str">
        <x:v>return version</x:v>
      </x:c>
      <x:c r="G964" s="6" t="str">
        <x:v>benefits_plan.review</x:v>
      </x:c>
      <x:c r="H964" s="6" t="str">
        <x:v>LIVE_ROUTER_REGISTERED</x:v>
      </x:c>
      <x:c r="I964" s="6" t="str">
        <x:v>NO_DIRECT_LITERAL_MATCH_NOT_PROOF_UNUSED</x:v>
      </x:c>
      <x:c r="J964" s="6" t="str">
        <x:v>NOT_EXECUTED_BY_INVENTORY. SOURCE_LITERAL_OR_TRANSITIVE_HELPER_UNION</x:v>
      </x:c>
    </x:row>
    <x:row r="965" ht="42" customHeight="1">
      <x:c r="A965" s="15" t="str">
        <x:v>API-761</x:v>
      </x:c>
      <x:c r="B965" s="13" t="str">
        <x:v>POST</x:v>
      </x:c>
      <x:c r="C965" s="13" t="str">
        <x:v>/api/v1/strategic-benefits-plans/{plan_id}/versions/{version_id}/void</x:v>
      </x:c>
      <x:c r="D965" s="13" t="str">
        <x:v>USER MODE</x:v>
      </x:c>
      <x:c r="E965" s="13" t="str">
        <x:v>strategic_benefits</x:v>
      </x:c>
      <x:c r="F965" s="13" t="str">
        <x:v>void version</x:v>
      </x:c>
      <x:c r="G965" s="13" t="str">
        <x:v>benefits_plan.edit</x:v>
      </x:c>
      <x:c r="H965" s="13" t="str">
        <x:v>LIVE_ROUTER_REGISTERED</x:v>
      </x:c>
      <x:c r="I965" s="13" t="str">
        <x:v>NO_DIRECT_LITERAL_MATCH_NOT_PROOF_UNUSED</x:v>
      </x:c>
      <x:c r="J965" s="13" t="str">
        <x:v>NOT_EXECUTED_BY_INVENTORY. SOURCE_LITERAL_OR_TRANSITIVE_HELPER_UNION</x:v>
      </x:c>
    </x:row>
    <x:row r="966" ht="42" customHeight="1">
      <x:c r="A966" s="14" t="str">
        <x:v>API-762</x:v>
      </x:c>
      <x:c r="B966" s="6" t="str">
        <x:v>GET</x:v>
      </x:c>
      <x:c r="C966" s="6" t="str">
        <x:v>/api/v1/ideas/{idea_id}/strategic-gate-decisions</x:v>
      </x:c>
      <x:c r="D966" s="6" t="str">
        <x:v>READ-ONLY SHARED CONTEXT</x:v>
      </x:c>
      <x:c r="E966" s="6" t="str">
        <x:v>strategic_gate</x:v>
      </x:c>
      <x:c r="F966" s="6" t="str">
        <x:v>idea decisions</x:v>
      </x:c>
      <x:c r="G966" s="6" t="str">
        <x:v>strategic_gate.read</x:v>
      </x:c>
      <x:c r="H966" s="6" t="str">
        <x:v>LIVE_ROUTER_REGISTERED</x:v>
      </x:c>
      <x:c r="I966" s="6" t="str">
        <x:v>frontend/src/features/strategic-gate/api.ts</x:v>
      </x:c>
      <x:c r="J966" s="6" t="str">
        <x:v>NOT_EXECUTED_BY_INVENTORY. SOURCE_LITERAL_OR_TRANSITIVE_HELPER_UNION</x:v>
      </x:c>
    </x:row>
    <x:row r="967" ht="42" customHeight="1">
      <x:c r="A967" s="15" t="str">
        <x:v>API-763</x:v>
      </x:c>
      <x:c r="B967" s="13" t="str">
        <x:v>GET</x:v>
      </x:c>
      <x:c r="C967" s="13" t="str">
        <x:v>/api/v1/project-proposals/{proposal_id}/strategic-gate-decisions</x:v>
      </x:c>
      <x:c r="D967" s="13" t="str">
        <x:v>READ-ONLY SHARED CONTEXT</x:v>
      </x:c>
      <x:c r="E967" s="13" t="str">
        <x:v>strategic_gate</x:v>
      </x:c>
      <x:c r="F967" s="13" t="str">
        <x:v>proposal decisions</x:v>
      </x:c>
      <x:c r="G967" s="13" t="str">
        <x:v>strategic_gate.read</x:v>
      </x:c>
      <x:c r="H967" s="13" t="str">
        <x:v>LIVE_ROUTER_REGISTERED</x:v>
      </x:c>
      <x:c r="I967" s="13" t="str">
        <x:v>frontend/src/features/strategic-gate/api.ts</x:v>
      </x:c>
      <x:c r="J967" s="13" t="str">
        <x:v>NOT_EXECUTED_BY_INVENTORY. SOURCE_LITERAL_OR_TRANSITIVE_HELPER_UNION</x:v>
      </x:c>
    </x:row>
    <x:row r="968" ht="42" customHeight="1">
      <x:c r="A968" s="14" t="str">
        <x:v>API-764</x:v>
      </x:c>
      <x:c r="B968" s="6" t="str">
        <x:v>POST</x:v>
      </x:c>
      <x:c r="C968" s="6" t="str">
        <x:v>/api/v1/project-proposals/{proposal_id}/strategic-gate-decisions/preview</x:v>
      </x:c>
      <x:c r="D968" s="6" t="str">
        <x:v>USER MODE</x:v>
      </x:c>
      <x:c r="E968" s="6" t="str">
        <x:v>strategic_gate</x:v>
      </x:c>
      <x:c r="F968" s="6" t="str">
        <x:v>proposal decision preview</x:v>
      </x:c>
      <x:c r="G968" s="6" t="str">
        <x:v>strategic_gate.create</x:v>
      </x:c>
      <x:c r="H968" s="6" t="str">
        <x:v>LIVE_ROUTER_REGISTERED</x:v>
      </x:c>
      <x:c r="I968" s="6" t="str">
        <x:v>frontend/src/features/strategic-gate/api.ts</x:v>
      </x:c>
      <x:c r="J968" s="6" t="str">
        <x:v>NOT_EXECUTED_BY_INVENTORY. SOURCE_LITERAL_OR_TRANSITIVE_HELPER_UNION</x:v>
      </x:c>
    </x:row>
    <x:row r="969" ht="42" customHeight="1">
      <x:c r="A969" s="15" t="str">
        <x:v>API-765</x:v>
      </x:c>
      <x:c r="B969" s="13" t="str">
        <x:v>GET</x:v>
      </x:c>
      <x:c r="C969" s="13" t="str">
        <x:v>/api/v1/strategic-gate-decisions</x:v>
      </x:c>
      <x:c r="D969" s="13" t="str">
        <x:v>READ-ONLY SHARED CONTEXT</x:v>
      </x:c>
      <x:c r="E969" s="13" t="str">
        <x:v>strategic_gate</x:v>
      </x:c>
      <x:c r="F969" s="13" t="str">
        <x:v>list decisions</x:v>
      </x:c>
      <x:c r="G969" s="13" t="str">
        <x:v>strategic_gate.read</x:v>
      </x:c>
      <x:c r="H969" s="13" t="str">
        <x:v>LIVE_ROUTER_REGISTERED</x:v>
      </x:c>
      <x:c r="I969" s="13" t="str">
        <x:v>frontend/src/features/strategic-gate/api.ts</x:v>
      </x:c>
      <x:c r="J969" s="13" t="str">
        <x:v>NOT_EXECUTED_BY_INVENTORY. SOURCE_LITERAL_OR_TRANSITIVE_HELPER_UNION</x:v>
      </x:c>
    </x:row>
    <x:row r="970" ht="42" customHeight="1">
      <x:c r="A970" s="14" t="str">
        <x:v>API-766</x:v>
      </x:c>
      <x:c r="B970" s="6" t="str">
        <x:v>POST</x:v>
      </x:c>
      <x:c r="C970" s="6" t="str">
        <x:v>/api/v1/strategic-gate-decisions</x:v>
      </x:c>
      <x:c r="D970" s="6" t="str">
        <x:v>USER MODE</x:v>
      </x:c>
      <x:c r="E970" s="6" t="str">
        <x:v>strategic_gate</x:v>
      </x:c>
      <x:c r="F970" s="6" t="str">
        <x:v>create</x:v>
      </x:c>
      <x:c r="G970" s="6" t="str">
        <x:v>strategic_gate.create</x:v>
      </x:c>
      <x:c r="H970" s="6" t="str">
        <x:v>LIVE_ROUTER_REGISTERED</x:v>
      </x:c>
      <x:c r="I970" s="6" t="str">
        <x:v>frontend/src/features/strategic-gate/api.ts</x:v>
      </x:c>
      <x:c r="J970" s="6" t="str">
        <x:v>NOT_EXECUTED_BY_INVENTORY. SOURCE_LITERAL_OR_TRANSITIVE_HELPER_UNION</x:v>
      </x:c>
    </x:row>
    <x:row r="971" ht="42" customHeight="1">
      <x:c r="A971" s="15" t="str">
        <x:v>API-767</x:v>
      </x:c>
      <x:c r="B971" s="13" t="str">
        <x:v>POST</x:v>
      </x:c>
      <x:c r="C971" s="13" t="str">
        <x:v>/api/v1/strategic-gate-decisions/admin/configuration/preview</x:v>
      </x:c>
      <x:c r="D971" s="13" t="str">
        <x:v>ADMIN MODE</x:v>
      </x:c>
      <x:c r="E971" s="13" t="str">
        <x:v>strategic_gate</x:v>
      </x:c>
      <x:c r="F971" s="13" t="str">
        <x:v>configuration preview</x:v>
      </x:c>
      <x:c r="G971" s="13" t="str">
        <x:v>strategic_gate.admin.configure</x:v>
      </x:c>
      <x:c r="H971" s="13" t="str">
        <x:v>LIVE_ROUTER_REGISTERED</x:v>
      </x:c>
      <x:c r="I971" s="13" t="str">
        <x:v>frontend/src/features/strategic-gate/api.ts</x:v>
      </x:c>
      <x:c r="J971" s="13" t="str">
        <x:v>NOT_EXECUTED_BY_INVENTORY. SOURCE_LITERAL_OR_TRANSITIVE_HELPER_UNION</x:v>
      </x:c>
    </x:row>
    <x:row r="972" ht="42" customHeight="1">
      <x:c r="A972" s="14" t="str">
        <x:v>API-768</x:v>
      </x:c>
      <x:c r="B972" s="6" t="str">
        <x:v>GET</x:v>
      </x:c>
      <x:c r="C972" s="6" t="str">
        <x:v>/api/v1/strategic-gate-decisions/admin/configurations/list</x:v>
      </x:c>
      <x:c r="D972" s="6" t="str">
        <x:v>ADMIN MODE</x:v>
      </x:c>
      <x:c r="E972" s="6" t="str">
        <x:v>strategic_gate</x:v>
      </x:c>
      <x:c r="F972" s="6" t="str">
        <x:v>admin configurations</x:v>
      </x:c>
      <x:c r="G972" s="6" t="str">
        <x:v>strategic_gate.admin.configure</x:v>
      </x:c>
      <x:c r="H972" s="6" t="str">
        <x:v>LIVE_ROUTER_REGISTERED</x:v>
      </x:c>
      <x:c r="I972" s="6" t="str">
        <x:v>frontend/src/features/strategic-gate/api.ts</x:v>
      </x:c>
      <x:c r="J972" s="6" t="str">
        <x:v>NOT_EXECUTED_BY_INVENTORY. SOURCE_LITERAL_OR_TRANSITIVE_HELPER_UNION</x:v>
      </x:c>
    </x:row>
    <x:row r="973" ht="42" customHeight="1">
      <x:c r="A973" s="15" t="str">
        <x:v>API-769</x:v>
      </x:c>
      <x:c r="B973" s="13" t="str">
        <x:v>PUT</x:v>
      </x:c>
      <x:c r="C973" s="13" t="str">
        <x:v>/api/v1/strategic-gate-decisions/admin/configurations/{configuration_id}</x:v>
      </x:c>
      <x:c r="D973" s="13" t="str">
        <x:v>ADMIN MODE</x:v>
      </x:c>
      <x:c r="E973" s="13" t="str">
        <x:v>strategic_gate</x:v>
      </x:c>
      <x:c r="F973" s="13" t="str">
        <x:v>update configuration</x:v>
      </x:c>
      <x:c r="G973" s="13" t="str">
        <x:v>strategic_gate.admin.configure</x:v>
      </x:c>
      <x:c r="H973" s="13" t="str">
        <x:v>LIVE_ROUTER_REGISTERED</x:v>
      </x:c>
      <x:c r="I973" s="13" t="str">
        <x:v>frontend/src/features/strategic-gate/api.ts</x:v>
      </x:c>
      <x:c r="J973" s="13" t="str">
        <x:v>NOT_EXECUTED_BY_INVENTORY. SOURCE_LITERAL_OR_TRANSITIVE_HELPER_UNION</x:v>
      </x:c>
    </x:row>
    <x:row r="974" ht="42" customHeight="1">
      <x:c r="A974" s="14" t="str">
        <x:v>API-770</x:v>
      </x:c>
      <x:c r="B974" s="6" t="str">
        <x:v>POST</x:v>
      </x:c>
      <x:c r="C974" s="6" t="str">
        <x:v>/api/v1/strategic-gate-decisions/admin/configurations/{configuration_id}/clone</x:v>
      </x:c>
      <x:c r="D974" s="6" t="str">
        <x:v>ADMIN MODE</x:v>
      </x:c>
      <x:c r="E974" s="6" t="str">
        <x:v>strategic_gate</x:v>
      </x:c>
      <x:c r="F974" s="6" t="str">
        <x:v>clone configuration</x:v>
      </x:c>
      <x:c r="G974" s="6" t="str">
        <x:v>strategic_gate.admin.configure</x:v>
      </x:c>
      <x:c r="H974" s="6" t="str">
        <x:v>LIVE_ROUTER_REGISTERED</x:v>
      </x:c>
      <x:c r="I974" s="6" t="str">
        <x:v>frontend/src/features/strategic-gate/api.ts</x:v>
      </x:c>
      <x:c r="J974" s="6" t="str">
        <x:v>NOT_EXECUTED_BY_INVENTORY. SOURCE_LITERAL_OR_TRANSITIVE_HELPER_UNION</x:v>
      </x:c>
    </x:row>
    <x:row r="975" ht="42" customHeight="1">
      <x:c r="A975" s="15" t="str">
        <x:v>API-771</x:v>
      </x:c>
      <x:c r="B975" s="13" t="str">
        <x:v>POST</x:v>
      </x:c>
      <x:c r="C975" s="13" t="str">
        <x:v>/api/v1/strategic-gate-decisions/admin/configurations/{configuration_id}/publish</x:v>
      </x:c>
      <x:c r="D975" s="13" t="str">
        <x:v>ADMIN MODE</x:v>
      </x:c>
      <x:c r="E975" s="13" t="str">
        <x:v>strategic_gate</x:v>
      </x:c>
      <x:c r="F975" s="13" t="str">
        <x:v>publish configuration</x:v>
      </x:c>
      <x:c r="G975" s="13" t="str">
        <x:v>strategic_gate.admin.publish</x:v>
      </x:c>
      <x:c r="H975" s="13" t="str">
        <x:v>LIVE_ROUTER_REGISTERED</x:v>
      </x:c>
      <x:c r="I975" s="13" t="str">
        <x:v>frontend/src/features/strategic-gate/api.ts</x:v>
      </x:c>
      <x:c r="J975" s="13" t="str">
        <x:v>NOT_EXECUTED_BY_INVENTORY. SOURCE_LITERAL_OR_TRANSITIVE_HELPER_UNION</x:v>
      </x:c>
    </x:row>
    <x:row r="976" ht="42" customHeight="1">
      <x:c r="A976" s="14" t="str">
        <x:v>API-772</x:v>
      </x:c>
      <x:c r="B976" s="6" t="str">
        <x:v>GET</x:v>
      </x:c>
      <x:c r="C976" s="6" t="str">
        <x:v>/api/v1/strategic-gate-decisions/options</x:v>
      </x:c>
      <x:c r="D976" s="6" t="str">
        <x:v>READ-ONLY SHARED CONTEXT</x:v>
      </x:c>
      <x:c r="E976" s="6" t="str">
        <x:v>strategic_gate</x:v>
      </x:c>
      <x:c r="F976" s="6" t="str">
        <x:v>options</x:v>
      </x:c>
      <x:c r="G976" s="6" t="str">
        <x:v>strategic_gate.read</x:v>
      </x:c>
      <x:c r="H976" s="6" t="str">
        <x:v>LIVE_ROUTER_REGISTERED</x:v>
      </x:c>
      <x:c r="I976" s="6" t="str">
        <x:v>frontend/src/features/strategic-gate/api.ts</x:v>
      </x:c>
      <x:c r="J976" s="6" t="str">
        <x:v>NOT_EXECUTED_BY_INVENTORY. SOURCE_LITERAL_OR_TRANSITIVE_HELPER_UNION</x:v>
      </x:c>
    </x:row>
    <x:row r="977" ht="42" customHeight="1">
      <x:c r="A977" s="15" t="str">
        <x:v>API-773</x:v>
      </x:c>
      <x:c r="B977" s="13" t="str">
        <x:v>POST</x:v>
      </x:c>
      <x:c r="C977" s="13" t="str">
        <x:v>/api/v1/strategic-gate-decisions/preview</x:v>
      </x:c>
      <x:c r="D977" s="13" t="str">
        <x:v>USER MODE</x:v>
      </x:c>
      <x:c r="E977" s="13" t="str">
        <x:v>strategic_gate</x:v>
      </x:c>
      <x:c r="F977" s="13" t="str">
        <x:v>preview</x:v>
      </x:c>
      <x:c r="G977" s="13" t="str">
        <x:v>strategic_gate.create</x:v>
      </x:c>
      <x:c r="H977" s="13" t="str">
        <x:v>LIVE_ROUTER_REGISTERED</x:v>
      </x:c>
      <x:c r="I977" s="13" t="str">
        <x:v>frontend/src/features/strategic-gate/api.ts</x:v>
      </x:c>
      <x:c r="J977" s="13" t="str">
        <x:v>NOT_EXECUTED_BY_INVENTORY. SOURCE_LITERAL_OR_TRANSITIVE_HELPER_UNION</x:v>
      </x:c>
    </x:row>
    <x:row r="978" ht="42" customHeight="1">
      <x:c r="A978" s="14" t="str">
        <x:v>API-774</x:v>
      </x:c>
      <x:c r="B978" s="6" t="str">
        <x:v>GET</x:v>
      </x:c>
      <x:c r="C978" s="6" t="str">
        <x:v>/api/v1/strategic-gate-decisions/{decision_id}</x:v>
      </x:c>
      <x:c r="D978" s="6" t="str">
        <x:v>READ-ONLY SHARED CONTEXT</x:v>
      </x:c>
      <x:c r="E978" s="6" t="str">
        <x:v>strategic_gate</x:v>
      </x:c>
      <x:c r="F978" s="6" t="str">
        <x:v>get decision</x:v>
      </x:c>
      <x:c r="G978" s="6" t="str">
        <x:v>strategic_gate.read</x:v>
      </x:c>
      <x:c r="H978" s="6" t="str">
        <x:v>LIVE_ROUTER_REGISTERED</x:v>
      </x:c>
      <x:c r="I978" s="6" t="str">
        <x:v>frontend/src/features/strategic-gate/api.ts</x:v>
      </x:c>
      <x:c r="J978" s="6" t="str">
        <x:v>NOT_EXECUTED_BY_INVENTORY. SOURCE_LITERAL_OR_TRANSITIVE_HELPER_UNION</x:v>
      </x:c>
    </x:row>
    <x:row r="979" ht="42" customHeight="1">
      <x:c r="A979" s="15" t="str">
        <x:v>API-775</x:v>
      </x:c>
      <x:c r="B979" s="13" t="str">
        <x:v>PUT</x:v>
      </x:c>
      <x:c r="C979" s="13" t="str">
        <x:v>/api/v1/strategic-gate-decisions/{decision_id}</x:v>
      </x:c>
      <x:c r="D979" s="13" t="str">
        <x:v>USER MODE</x:v>
      </x:c>
      <x:c r="E979" s="13" t="str">
        <x:v>strategic_gate</x:v>
      </x:c>
      <x:c r="F979" s="13" t="str">
        <x:v>update decision</x:v>
      </x:c>
      <x:c r="G979" s="13" t="str">
        <x:v>strategic_gate.edit</x:v>
      </x:c>
      <x:c r="H979" s="13" t="str">
        <x:v>LIVE_ROUTER_REGISTERED</x:v>
      </x:c>
      <x:c r="I979" s="13" t="str">
        <x:v>frontend/src/features/strategic-gate/api.ts</x:v>
      </x:c>
      <x:c r="J979" s="13" t="str">
        <x:v>NOT_EXECUTED_BY_INVENTORY. SOURCE_LITERAL_OR_TRANSITIVE_HELPER_UNION</x:v>
      </x:c>
    </x:row>
    <x:row r="980" ht="42" customHeight="1">
      <x:c r="A980" s="14" t="str">
        <x:v>API-776</x:v>
      </x:c>
      <x:c r="B980" s="6" t="str">
        <x:v>POST</x:v>
      </x:c>
      <x:c r="C980" s="6" t="str">
        <x:v>/api/v1/strategic-gate-decisions/{decision_id}/decide</x:v>
      </x:c>
      <x:c r="D980" s="6" t="str">
        <x:v>USER MODE</x:v>
      </x:c>
      <x:c r="E980" s="6" t="str">
        <x:v>strategic_gate</x:v>
      </x:c>
      <x:c r="F980" s="6" t="str">
        <x:v>decide</x:v>
      </x:c>
      <x:c r="G980" s="6" t="str">
        <x:v>strategic_gate.decide</x:v>
      </x:c>
      <x:c r="H980" s="6" t="str">
        <x:v>LIVE_ROUTER_REGISTERED</x:v>
      </x:c>
      <x:c r="I980" s="6" t="str">
        <x:v>frontend/src/features/strategic-gate/api.ts</x:v>
      </x:c>
      <x:c r="J980" s="6" t="str">
        <x:v>NOT_EXECUTED_BY_INVENTORY. SOURCE_LITERAL_OR_TRANSITIVE_HELPER_UNION</x:v>
      </x:c>
    </x:row>
    <x:row r="981" ht="42" customHeight="1">
      <x:c r="A981" s="15" t="str">
        <x:v>API-777</x:v>
      </x:c>
      <x:c r="B981" s="13" t="str">
        <x:v>GET</x:v>
      </x:c>
      <x:c r="C981" s="13" t="str">
        <x:v>/api/v1/strategic-gate-decisions/{decision_id}/history</x:v>
      </x:c>
      <x:c r="D981" s="13" t="str">
        <x:v>READ-ONLY SHARED CONTEXT</x:v>
      </x:c>
      <x:c r="E981" s="13" t="str">
        <x:v>strategic_gate</x:v>
      </x:c>
      <x:c r="F981" s="13" t="str">
        <x:v>history</x:v>
      </x:c>
      <x:c r="G981" s="13" t="str">
        <x:v>strategic_gate.read</x:v>
      </x:c>
      <x:c r="H981" s="13" t="str">
        <x:v>LIVE_ROUTER_REGISTERED</x:v>
      </x:c>
      <x:c r="I981" s="13" t="str">
        <x:v>frontend/src/features/strategic-gate/api.ts</x:v>
      </x:c>
      <x:c r="J981" s="13" t="str">
        <x:v>NOT_EXECUTED_BY_INVENTORY. SOURCE_LITERAL_OR_TRANSITIVE_HELPER_UNION</x:v>
      </x:c>
    </x:row>
    <x:row r="982" ht="42" customHeight="1">
      <x:c r="A982" s="14" t="str">
        <x:v>API-778</x:v>
      </x:c>
      <x:c r="B982" s="6" t="str">
        <x:v>GET</x:v>
      </x:c>
      <x:c r="C982" s="6" t="str">
        <x:v>/api/v1/strategic-gate-decisions/{decision_id}/portfolio-intake-readiness</x:v>
      </x:c>
      <x:c r="D982" s="6" t="str">
        <x:v>READ-ONLY SHARED CONTEXT</x:v>
      </x:c>
      <x:c r="E982" s="6" t="str">
        <x:v>strategic_gate</x:v>
      </x:c>
      <x:c r="F982" s="6" t="str">
        <x:v>portfolio intake readiness</x:v>
      </x:c>
      <x:c r="G982" s="6" t="str">
        <x:v>strategic_gate.read</x:v>
      </x:c>
      <x:c r="H982" s="6" t="str">
        <x:v>LIVE_ROUTER_REGISTERED</x:v>
      </x:c>
      <x:c r="I982" s="6" t="str">
        <x:v>frontend/src/features/strategic-gate/api.ts</x:v>
      </x:c>
      <x:c r="J982" s="6" t="str">
        <x:v>NOT_EXECUTED_BY_INVENTORY. SOURCE_LITERAL_OR_TRANSITIVE_HELPER_UNION</x:v>
      </x:c>
    </x:row>
    <x:row r="983" ht="42" customHeight="1">
      <x:c r="A983" s="15" t="str">
        <x:v>API-779</x:v>
      </x:c>
      <x:c r="B983" s="13" t="str">
        <x:v>POST</x:v>
      </x:c>
      <x:c r="C983" s="13" t="str">
        <x:v>/api/v1/strategic-gate-decisions/{decision_id}/return-to-preparer</x:v>
      </x:c>
      <x:c r="D983" s="13" t="str">
        <x:v>USER MODE</x:v>
      </x:c>
      <x:c r="E983" s="13" t="str">
        <x:v>strategic_gate</x:v>
      </x:c>
      <x:c r="F983" s="13" t="str">
        <x:v>return to preparer</x:v>
      </x:c>
      <x:c r="G983" s="13" t="str">
        <x:v>strategic_gate.review</x:v>
      </x:c>
      <x:c r="H983" s="13" t="str">
        <x:v>LIVE_ROUTER_REGISTERED</x:v>
      </x:c>
      <x:c r="I983" s="13" t="str">
        <x:v>NO_DIRECT_LITERAL_MATCH_NOT_PROOF_UNUSED</x:v>
      </x:c>
      <x:c r="J983" s="13" t="str">
        <x:v>NOT_EXECUTED_BY_INVENTORY. SOURCE_LITERAL_OR_TRANSITIVE_HELPER_UNION</x:v>
      </x:c>
    </x:row>
    <x:row r="984" ht="42" customHeight="1">
      <x:c r="A984" s="14" t="str">
        <x:v>API-780</x:v>
      </x:c>
      <x:c r="B984" s="6" t="str">
        <x:v>GET</x:v>
      </x:c>
      <x:c r="C984" s="6" t="str">
        <x:v>/api/v1/workspaces</x:v>
      </x:c>
      <x:c r="D984" s="6" t="str">
        <x:v>READ-ONLY SHARED CONTEXT</x:v>
      </x:c>
      <x:c r="E984" s="6" t="str">
        <x:v>workspace_context</x:v>
      </x:c>
      <x:c r="F984" s="6" t="str">
        <x:v>my workspaces</x:v>
      </x:c>
      <x:c r="G984" s="6" t="str">
        <x:v>workspace.home.read</x:v>
      </x:c>
      <x:c r="H984" s="6" t="str">
        <x:v>LIVE_ROUTER_REGISTERED</x:v>
      </x:c>
      <x:c r="I984" s="6" t="str">
        <x:v>frontend/src/features/workspace-context/api.ts</x:v>
      </x:c>
      <x:c r="J984" s="6" t="str">
        <x:v>NOT_EXECUTED_BY_INVENTORY. SOURCE_LITERAL_OR_TRANSITIVE_HELPER_UNION</x:v>
      </x:c>
    </x:row>
    <x:row r="985" ht="42" customHeight="1">
      <x:c r="A985" s="15" t="str">
        <x:v>API-781</x:v>
      </x:c>
      <x:c r="B985" s="13" t="str">
        <x:v>GET</x:v>
      </x:c>
      <x:c r="C985" s="13" t="str">
        <x:v>/api/v1/workspaces/recent</x:v>
      </x:c>
      <x:c r="D985" s="13" t="str">
        <x:v>READ-ONLY SHARED CONTEXT</x:v>
      </x:c>
      <x:c r="E985" s="13" t="str">
        <x:v>workspace_context</x:v>
      </x:c>
      <x:c r="F985" s="13" t="str">
        <x:v>recent workspaces</x:v>
      </x:c>
      <x:c r="G985" s="13" t="str">
        <x:v>workspace.recent.read</x:v>
      </x:c>
      <x:c r="H985" s="13" t="str">
        <x:v>LIVE_ROUTER_REGISTERED</x:v>
      </x:c>
      <x:c r="I985" s="13" t="str">
        <x:v>frontend/src/features/workspace-context/api.ts</x:v>
      </x:c>
      <x:c r="J985" s="13" t="str">
        <x:v>NOT_EXECUTED_BY_INVENTORY. SOURCE_LITERAL_OR_TRANSITIVE_HELPER_UNION</x:v>
      </x:c>
    </x:row>
    <x:row r="986" ht="42" customHeight="1">
      <x:c r="A986" s="14" t="str">
        <x:v>API-782</x:v>
      </x:c>
      <x:c r="B986" s="6" t="str">
        <x:v>GET</x:v>
      </x:c>
      <x:c r="C986" s="6" t="str">
        <x:v>/api/v1/workspaces/{workspace_id}/context</x:v>
      </x:c>
      <x:c r="D986" s="6" t="str">
        <x:v>READ-ONLY SHARED CONTEXT</x:v>
      </x:c>
      <x:c r="E986" s="6" t="str">
        <x:v>workspace_context</x:v>
      </x:c>
      <x:c r="F986" s="6" t="str">
        <x:v>workspace context</x:v>
      </x:c>
      <x:c r="G986" s="6" t="str">
        <x:v>workspace.open</x:v>
      </x:c>
      <x:c r="H986" s="6" t="str">
        <x:v>LIVE_ROUTER_REGISTERED</x:v>
      </x:c>
      <x:c r="I986" s="6" t="str">
        <x:v>frontend/src/features/workspace-context/api.ts</x:v>
      </x:c>
      <x:c r="J986" s="6" t="str">
        <x:v>NOT_EXECUTED_BY_INVENTORY. SOURCE_LITERAL_OR_TRANSITIVE_HELPER_UNION</x:v>
      </x:c>
    </x:row>
    <x:row r="987" ht="42" customHeight="1">
      <x:c r="A987" s="15" t="str">
        <x:v>API-783</x:v>
      </x:c>
      <x:c r="B987" s="13" t="str">
        <x:v>GET</x:v>
      </x:c>
      <x:c r="C987" s="13" t="str">
        <x:v>/api/v1/workspaces/{workspace_id}/home</x:v>
      </x:c>
      <x:c r="D987" s="13" t="str">
        <x:v>READ-ONLY SHARED CONTEXT</x:v>
      </x:c>
      <x:c r="E987" s="13" t="str">
        <x:v>workspace_context</x:v>
      </x:c>
      <x:c r="F987" s="13" t="str">
        <x:v>workspace home</x:v>
      </x:c>
      <x:c r="G987" s="13" t="str">
        <x:v>workspace.home.read</x:v>
      </x:c>
      <x:c r="H987" s="13" t="str">
        <x:v>LIVE_ROUTER_REGISTERED</x:v>
      </x:c>
      <x:c r="I987" s="13" t="str">
        <x:v>frontend/src/features/workspace-context/api.ts</x:v>
      </x:c>
      <x:c r="J987" s="13" t="str">
        <x:v>NOT_EXECUTED_BY_INVENTORY. SOURCE_LITERAL_OR_TRANSITIVE_HELPER_UNION</x:v>
      </x:c>
    </x:row>
    <x:row r="988" ht="42" customHeight="1">
      <x:c r="A988" s="14" t="str">
        <x:v>API-784</x:v>
      </x:c>
      <x:c r="B988" s="6" t="str">
        <x:v>PUT</x:v>
      </x:c>
      <x:c r="C988" s="6" t="str">
        <x:v>/api/v1/workspaces/{workspace_id}/last-route</x:v>
      </x:c>
      <x:c r="D988" s="6" t="str">
        <x:v>USER MODE</x:v>
      </x:c>
      <x:c r="E988" s="6" t="str">
        <x:v>workspace_context</x:v>
      </x:c>
      <x:c r="F988" s="6" t="str">
        <x:v>update last route</x:v>
      </x:c>
      <x:c r="G988" s="6" t="str">
        <x:v>workspace.recent.write</x:v>
      </x:c>
      <x:c r="H988" s="6" t="str">
        <x:v>LIVE_ROUTER_REGISTERED</x:v>
      </x:c>
      <x:c r="I988" s="6" t="str">
        <x:v>frontend/src/features/workspace-context/api.ts</x:v>
      </x:c>
      <x:c r="J988" s="6" t="str">
        <x:v>NOT_EXECUTED_BY_INVENTORY. SOURCE_LITERAL_OR_TRANSITIVE_HELPER_UNION</x:v>
      </x:c>
    </x:row>
    <x:row r="989" ht="42" customHeight="1">
      <x:c r="A989" s="15" t="str">
        <x:v>API-785</x:v>
      </x:c>
      <x:c r="B989" s="13" t="str">
        <x:v>GET</x:v>
      </x:c>
      <x:c r="C989" s="13" t="str">
        <x:v>/api/v1/workspaces/{workspace_id}/modules/{module_code}</x:v>
      </x:c>
      <x:c r="D989" s="13" t="str">
        <x:v>READ-ONLY SHARED CONTEXT</x:v>
      </x:c>
      <x:c r="E989" s="13" t="str">
        <x:v>workspace_context</x:v>
      </x:c>
      <x:c r="F989" s="13" t="str">
        <x:v>workspace module access</x:v>
      </x:c>
      <x:c r="G989" s="13" t="str">
        <x:v>workspace.navigator.read</x:v>
      </x:c>
      <x:c r="H989" s="13" t="str">
        <x:v>LIVE_ROUTER_REGISTERED</x:v>
      </x:c>
      <x:c r="I989" s="13" t="str">
        <x:v>NO_DIRECT_LITERAL_MATCH_NOT_PROOF_UNUSED</x:v>
      </x:c>
      <x:c r="J989" s="13" t="str">
        <x:v>NOT_EXECUTED_BY_INVENTORY. SOURCE_LITERAL_OR_TRANSITIVE_HELPER_UNION</x:v>
      </x:c>
    </x:row>
    <x:row r="990" ht="42" customHeight="1">
      <x:c r="A990" s="14" t="str">
        <x:v>API-786</x:v>
      </x:c>
      <x:c r="B990" s="6" t="str">
        <x:v>GET</x:v>
      </x:c>
      <x:c r="C990" s="6" t="str">
        <x:v>/api/v1/workspaces/{workspace_id}/navigator</x:v>
      </x:c>
      <x:c r="D990" s="6" t="str">
        <x:v>READ-ONLY SHARED CONTEXT</x:v>
      </x:c>
      <x:c r="E990" s="6" t="str">
        <x:v>workspace_context</x:v>
      </x:c>
      <x:c r="F990" s="6" t="str">
        <x:v>workspace navigator</x:v>
      </x:c>
      <x:c r="G990" s="6" t="str">
        <x:v>workspace.navigator.read</x:v>
      </x:c>
      <x:c r="H990" s="6" t="str">
        <x:v>LIVE_ROUTER_REGISTERED</x:v>
      </x:c>
      <x:c r="I990" s="6" t="str">
        <x:v>NO_DIRECT_LITERAL_MATCH_NOT_PROOF_UNUSED</x:v>
      </x:c>
      <x:c r="J990" s="6" t="str">
        <x:v>NOT_EXECUTED_BY_INVENTORY. SOURCE_LITERAL_OR_TRANSITIVE_HELPER_UNION</x:v>
      </x:c>
    </x:row>
    <x:row r="991" ht="42" customHeight="1">
      <x:c r="A991" s="15" t="str">
        <x:v>API-787</x:v>
      </x:c>
      <x:c r="B991" s="13" t="str">
        <x:v>POST</x:v>
      </x:c>
      <x:c r="C991" s="13" t="str">
        <x:v>/api/v1/workspaces/{workspace_id}/open</x:v>
      </x:c>
      <x:c r="D991" s="13" t="str">
        <x:v>USER MODE</x:v>
      </x:c>
      <x:c r="E991" s="13" t="str">
        <x:v>workspace_context</x:v>
      </x:c>
      <x:c r="F991" s="13" t="str">
        <x:v>open workspace</x:v>
      </x:c>
      <x:c r="G991" s="13" t="str">
        <x:v>workspace.open</x:v>
      </x:c>
      <x:c r="H991" s="13" t="str">
        <x:v>LIVE_ROUTER_REGISTERED</x:v>
      </x:c>
      <x:c r="I991" s="13" t="str">
        <x:v>frontend/src/features/workspace-context/api.ts</x:v>
      </x:c>
      <x:c r="J991" s="13" t="str">
        <x:v>NOT_EXECUTED_BY_INVENTORY. SOURCE_LITERAL_OR_TRANSITIVE_HELPER_UNION</x:v>
      </x:c>
    </x:row>
  </x:sheetData>
  <x:pageMargins left="0.7" right="0.7" top="0.75" bottom="0.75" header="0.3" footer="0.3"/>
  <x:tableParts count="1">
    <x:tablePart xmlns:r="http://schemas.openxmlformats.org/officeDocument/2006/relationships" r:id="Rba826e1d91154003"/>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2" hidden="0" customWidth="1"/>
    <x:col min="2" max="2" width="12" hidden="0" customWidth="1"/>
    <x:col min="3" max="3" width="9" hidden="0" customWidth="1"/>
    <x:col min="4" max="4" width="9" hidden="0" customWidth="1"/>
    <x:col min="5" max="5" width="62" hidden="0" customWidth="1"/>
    <x:col min="6" max="6" width="68" hidden="0" customWidth="1"/>
    <x:col min="7" max="7" width="70" hidden="0" customWidth="1"/>
    <x:col min="8" max="8" width="31" hidden="0" customWidth="1"/>
    <x:col min="9" max="9" width="12" hidden="0" customWidth="1"/>
    <x:col min="10" max="10" width="44" hidden="0" customWidth="1"/>
    <x:col min="11" max="11" width="12" hidden="0" customWidth="1"/>
    <x:col min="12" max="12" width="58" hidden="0" customWidth="1"/>
  </x:cols>
  <x:sheetData>
    <x:row r="2" ht="26" customHeight="1">
      <x:c r="A2" s="1" t="str">
        <x:v>Navegación canónica y contexto Workspace</x:v>
      </x:c>
    </x:row>
    <x:row r="3">
      <x:c r="A3" s="2"/>
      <x:c r="B3" s="2"/>
      <x:c r="C3" s="2"/>
      <x:c r="D3" s="2"/>
      <x:c r="E3" s="2"/>
      <x:c r="F3" s="2"/>
      <x:c r="G3" s="2"/>
      <x:c r="H3" s="2"/>
      <x:c r="I3" s="2"/>
      <x:c r="J3" s="2"/>
      <x:c r="K3" s="2"/>
      <x:c r="L3" s="2"/>
    </x:row>
    <x:row r="4">
      <x:c r="A4" s="3" t="str">
        <x:v>Corte 14 octubre 2026</x:v>
      </x:c>
      <x:c r="B4" s="3"/>
      <x:c r="C4" s="3"/>
      <x:c r="D4" s="3" t="str">
        <x:v>Fuente del registro</x:v>
      </x:c>
      <x:c r="E4" s="3" t="str">
        <x:v>Blueprint canónico inspeccionado. Alias de landing no demuestra pantalla duplicada.</x:v>
      </x:c>
      <x:c r="F4" s="3"/>
      <x:c r="G4" s="3"/>
      <x:c r="H4" s="3"/>
      <x:c r="I4" s="3"/>
      <x:c r="J4" s="3"/>
      <x:c r="K4" s="3"/>
      <x:c r="L4" s="3"/>
    </x:row>
    <x:row r="5">
      <x:c r="A5" s="3" t="str">
        <x:v>Registros</x:v>
      </x:c>
      <x:c r="B5" s="3" t="n">
        <x:f>COUNTA(A8:A204)</x:f>
        <x:v>197</x:v>
      </x:c>
      <x:c r="C5" s="3"/>
      <x:c r="D5" s="3"/>
      <x:c r="E5" s="3"/>
      <x:c r="F5" s="3"/>
      <x:c r="G5" s="3"/>
      <x:c r="H5" s="3"/>
      <x:c r="I5" s="3"/>
      <x:c r="J5" s="3"/>
      <x:c r="K5" s="3"/>
      <x:c r="L5" s="3"/>
    </x:row>
    <x:row r="7" ht="34" customHeight="1">
      <x:c r="A7" s="10" t="str">
        <x:v>ID</x:v>
      </x:c>
      <x:c r="B7" s="11" t="str">
        <x:v>Modo</x:v>
      </x:c>
      <x:c r="C7" s="11" t="str">
        <x:v>Fase</x:v>
      </x:c>
      <x:c r="D7" s="11" t="str">
        <x:v>Orden</x:v>
      </x:c>
      <x:c r="E7" s="11" t="str">
        <x:v>Ruta</x:v>
      </x:c>
      <x:c r="F7" s="11" t="str">
        <x:v>Breadcrumb</x:v>
      </x:c>
      <x:c r="G7" s="11" t="str">
        <x:v>Componente</x:v>
      </x:c>
      <x:c r="H7" s="11" t="str">
        <x:v>Clasificación</x:v>
      </x:c>
      <x:c r="I7" s="11" t="str">
        <x:v>Uso</x:v>
      </x:c>
      <x:c r="J7" s="11" t="str">
        <x:v>Duplicidad</x:v>
      </x:c>
      <x:c r="K7" s="11" t="str">
        <x:v>Retiro</x:v>
      </x:c>
      <x:c r="L7" s="12" t="str">
        <x:v>Dependencias</x:v>
      </x:c>
    </x:row>
    <x:row r="8" ht="42" customHeight="1">
      <x:c r="A8" s="14" t="str">
        <x:v>NAV-1</x:v>
      </x:c>
      <x:c r="B8" s="6" t="str">
        <x:v>ADMIN</x:v>
      </x:c>
      <x:c r="C8" s="6" t="n">
        <x:v>0</x:v>
      </x:c>
      <x:c r="D8" s="6" t="n">
        <x:v>1</x:v>
      </x:c>
      <x:c r="E8" s="6" t="str">
        <x:v>/app/admin/strategy/enterprise-strategy-overview</x:v>
      </x:c>
      <x:c r="F8" s="6" t="str">
        <x:v>Enterprise Strategy Manager &gt; Enterprise Foundation &gt; Foundation Configuration / Preview</x:v>
      </x:c>
      <x:c r="G8" s="6" t="str">
        <x:v>frontend/src/features/enterprise-strategy/EnterpriseStrategyLanding.tsx</x:v>
      </x:c>
      <x:c r="H8" s="6" t="str">
        <x:v>READ_ONLY_SHARED</x:v>
      </x:c>
      <x:c r="I8" s="19" t="b">
        <x:v>1</x:v>
      </x:c>
      <x:c r="J8" s="6" t="str">
        <x:v>ANCESTOR_LANDING_ALIAS_SAME_ROUTE</x:v>
      </x:c>
      <x:c r="K8" s="19" t="b">
        <x:v>0</x:v>
      </x:c>
      <x:c r="L8" s="6" t="str"/>
    </x:row>
    <x:row r="9" ht="42" customHeight="1">
      <x:c r="A9" s="15" t="str">
        <x:v>NAV-2</x:v>
      </x:c>
      <x:c r="B9" s="13" t="str">
        <x:v>ADMIN</x:v>
      </x:c>
      <x:c r="C9" s="13" t="n">
        <x:v>0</x:v>
      </x:c>
      <x:c r="D9" s="13" t="n">
        <x:v>2</x:v>
      </x:c>
      <x:c r="E9" s="13" t="str">
        <x:v>/app/admin/strategy/enterprise-structure-configuration</x:v>
      </x:c>
      <x:c r="F9" s="13" t="str">
        <x:v>Enterprise Strategy Manager &gt; Enterprise Foundation &gt; Enterprise Structure &amp; Workspace Manager</x:v>
      </x:c>
      <x:c r="G9" s="13" t="str">
        <x:v>frontend/src/features/enterprise-structure/pages/AdminEnterpriseStructurePage.tsx</x:v>
      </x:c>
      <x:c r="H9" s="13" t="str">
        <x:v>ADMIN_CONFIGURATION</x:v>
      </x:c>
      <x:c r="I9" s="20" t="b">
        <x:v>1</x:v>
      </x:c>
      <x:c r="J9" s="13" t="str">
        <x:v>NONE</x:v>
      </x:c>
      <x:c r="K9" s="20" t="b">
        <x:v>0</x:v>
      </x:c>
      <x:c r="L9" s="13" t="str"/>
    </x:row>
    <x:row r="10" ht="42" customHeight="1">
      <x:c r="A10" s="14" t="str">
        <x:v>NAV-3</x:v>
      </x:c>
      <x:c r="B10" s="6" t="str">
        <x:v>ADMIN</x:v>
      </x:c>
      <x:c r="C10" s="6" t="n">
        <x:v>0</x:v>
      </x:c>
      <x:c r="D10" s="6" t="n">
        <x:v>3</x:v>
      </x:c>
      <x:c r="E10" s="6" t="str">
        <x:v>/app/admin/strategy/workspace-types</x:v>
      </x:c>
      <x:c r="F10" s="6" t="str">
        <x:v>Enterprise Strategy Manager &gt; Enterprise Foundation &gt; Workspace Types</x:v>
      </x:c>
      <x:c r="G10" s="6" t="str">
        <x:v>frontend/src/components/AdminConfigurationView.tsx</x:v>
      </x:c>
      <x:c r="H10" s="6" t="str">
        <x:v>ADMIN_CONFIGURATION</x:v>
      </x:c>
      <x:c r="I10" s="19" t="b">
        <x:v>1</x:v>
      </x:c>
      <x:c r="J10" s="6" t="str">
        <x:v>NONE</x:v>
      </x:c>
      <x:c r="K10" s="19" t="b">
        <x:v>0</x:v>
      </x:c>
      <x:c r="L10" s="6" t="str"/>
    </x:row>
    <x:row r="11" ht="42" customHeight="1">
      <x:c r="A11" s="15" t="str">
        <x:v>NAV-4</x:v>
      </x:c>
      <x:c r="B11" s="13" t="str">
        <x:v>ADMIN</x:v>
      </x:c>
      <x:c r="C11" s="13" t="n">
        <x:v>0</x:v>
      </x:c>
      <x:c r="D11" s="13" t="n">
        <x:v>4</x:v>
      </x:c>
      <x:c r="E11" s="13" t="str">
        <x:v>/app/admin/strategy/enterprise-workspace-structure</x:v>
      </x:c>
      <x:c r="F11" s="13" t="str">
        <x:v>Enterprise Strategy Manager &gt; Enterprise Foundation &gt; Composition Rules</x:v>
      </x:c>
      <x:c r="G11" s="13" t="str">
        <x:v>frontend/src/features/enterprise-structure/pages/AdminEnterpriseStructurePage.tsx</x:v>
      </x:c>
      <x:c r="H11" s="13" t="str">
        <x:v>ADMIN_CONFIGURATION</x:v>
      </x:c>
      <x:c r="I11" s="20" t="b">
        <x:v>1</x:v>
      </x:c>
      <x:c r="J11" s="13" t="str">
        <x:v>NONE</x:v>
      </x:c>
      <x:c r="K11" s="20" t="b">
        <x:v>0</x:v>
      </x:c>
      <x:c r="L11" s="13" t="str"/>
    </x:row>
    <x:row r="12" ht="42" customHeight="1">
      <x:c r="A12" s="14" t="str">
        <x:v>NAV-5</x:v>
      </x:c>
      <x:c r="B12" s="6" t="str">
        <x:v>ADMIN</x:v>
      </x:c>
      <x:c r="C12" s="6" t="n">
        <x:v>0</x:v>
      </x:c>
      <x:c r="D12" s="6" t="n">
        <x:v>5</x:v>
      </x:c>
      <x:c r="E12" s="6" t="str">
        <x:v>/app/admin/strategy/foundation-strategic-objectives</x:v>
      </x:c>
      <x:c r="F12" s="6" t="str">
        <x:v>Enterprise Strategy Manager &gt; Enterprise Foundation &gt; Strategic Objectives</x:v>
      </x:c>
      <x:c r="G12" s="6" t="str">
        <x:v>frontend/src/features/enterprise-structure/pages/AdminEnterpriseStructurePage.tsx</x:v>
      </x:c>
      <x:c r="H12" s="6" t="str">
        <x:v>ADMIN_CONFIGURATION</x:v>
      </x:c>
      <x:c r="I12" s="19" t="b">
        <x:v>1</x:v>
      </x:c>
      <x:c r="J12" s="6" t="str">
        <x:v>NONE</x:v>
      </x:c>
      <x:c r="K12" s="19" t="b">
        <x:v>0</x:v>
      </x:c>
      <x:c r="L12" s="6" t="str"/>
    </x:row>
    <x:row r="13" ht="42" customHeight="1">
      <x:c r="A13" s="15" t="str">
        <x:v>NAV-6</x:v>
      </x:c>
      <x:c r="B13" s="13" t="str">
        <x:v>ADMIN</x:v>
      </x:c>
      <x:c r="C13" s="13" t="n">
        <x:v>0</x:v>
      </x:c>
      <x:c r="D13" s="13" t="n">
        <x:v>6</x:v>
      </x:c>
      <x:c r="E13" s="13" t="str">
        <x:v>/app/admin/strategy/workspace-defaults</x:v>
      </x:c>
      <x:c r="F13" s="13" t="str">
        <x:v>Enterprise Strategy Manager &gt; Enterprise Foundation &gt; Workspace Defaults &amp; Inheritance</x:v>
      </x:c>
      <x:c r="G13" s="13" t="str">
        <x:v>frontend/src/components/AdminConfigurationView.tsx</x:v>
      </x:c>
      <x:c r="H13" s="13" t="str">
        <x:v>ADMIN_CONFIGURATION</x:v>
      </x:c>
      <x:c r="I13" s="20" t="b">
        <x:v>1</x:v>
      </x:c>
      <x:c r="J13" s="13" t="str">
        <x:v>NONE</x:v>
      </x:c>
      <x:c r="K13" s="20" t="b">
        <x:v>0</x:v>
      </x:c>
      <x:c r="L13" s="13" t="str"/>
    </x:row>
    <x:row r="14" ht="42" customHeight="1">
      <x:c r="A14" s="14" t="str">
        <x:v>NAV-7</x:v>
      </x:c>
      <x:c r="B14" s="6" t="str">
        <x:v>ADMIN</x:v>
      </x:c>
      <x:c r="C14" s="6" t="n">
        <x:v>0</x:v>
      </x:c>
      <x:c r="D14" s="6" t="n">
        <x:v>7</x:v>
      </x:c>
      <x:c r="E14" s="6" t="str">
        <x:v>/app/admin/strategy/module-catalog-activation</x:v>
      </x:c>
      <x:c r="F14" s="6" t="str">
        <x:v>Enterprise Strategy Manager &gt; Enterprise Foundation &gt; Module Catalog &amp; Activation</x:v>
      </x:c>
      <x:c r="G14" s="6" t="str">
        <x:v>frontend/src/components/AdminConfigurationView.tsx</x:v>
      </x:c>
      <x:c r="H14" s="6" t="str">
        <x:v>ADMIN_CONFIGURATION</x:v>
      </x:c>
      <x:c r="I14" s="19" t="b">
        <x:v>1</x:v>
      </x:c>
      <x:c r="J14" s="6" t="str">
        <x:v>NONE</x:v>
      </x:c>
      <x:c r="K14" s="19" t="b">
        <x:v>0</x:v>
      </x:c>
      <x:c r="L14" s="6" t="str"/>
    </x:row>
    <x:row r="15" ht="42" customHeight="1">
      <x:c r="A15" s="15" t="str">
        <x:v>NAV-8</x:v>
      </x:c>
      <x:c r="B15" s="13" t="str">
        <x:v>ADMIN</x:v>
      </x:c>
      <x:c r="C15" s="13" t="n">
        <x:v>0</x:v>
      </x:c>
      <x:c r="D15" s="13" t="n">
        <x:v>8</x:v>
      </x:c>
      <x:c r="E15" s="13" t="str">
        <x:v>/app/admin/strategy/workspace-navigation-profiles</x:v>
      </x:c>
      <x:c r="F15" s="13" t="str">
        <x:v>Enterprise Strategy Manager &gt; Enterprise Foundation &gt; Workspace Navigation Profiles</x:v>
      </x:c>
      <x:c r="G15" s="13" t="str">
        <x:v>frontend/src/components/AdminConfigurationView.tsx</x:v>
      </x:c>
      <x:c r="H15" s="13" t="str">
        <x:v>ADMIN_CONFIGURATION</x:v>
      </x:c>
      <x:c r="I15" s="20" t="b">
        <x:v>1</x:v>
      </x:c>
      <x:c r="J15" s="13" t="str">
        <x:v>NONE</x:v>
      </x:c>
      <x:c r="K15" s="20" t="b">
        <x:v>0</x:v>
      </x:c>
      <x:c r="L15" s="13" t="str"/>
    </x:row>
    <x:row r="16" ht="42" customHeight="1">
      <x:c r="A16" s="14" t="str">
        <x:v>NAV-9</x:v>
      </x:c>
      <x:c r="B16" s="6" t="str">
        <x:v>ADMIN</x:v>
      </x:c>
      <x:c r="C16" s="6" t="n">
        <x:v>0</x:v>
      </x:c>
      <x:c r="D16" s="6" t="n">
        <x:v>9</x:v>
      </x:c>
      <x:c r="E16" s="6" t="str">
        <x:v>/app/admin/strategy/risk-governance-configuration</x:v>
      </x:c>
      <x:c r="F16" s="6" t="str">
        <x:v>Enterprise Strategy Manager &gt; Enterprise Foundation &gt; Risk Governance</x:v>
      </x:c>
      <x:c r="G16" s="6" t="str">
        <x:v>frontend/src/features/risk-governance/RiskGovernanceAdminView.tsx</x:v>
      </x:c>
      <x:c r="H16" s="6" t="str">
        <x:v>ADMIN_CONFIGURATION</x:v>
      </x:c>
      <x:c r="I16" s="19" t="b">
        <x:v>1</x:v>
      </x:c>
      <x:c r="J16" s="6" t="str">
        <x:v>NONE</x:v>
      </x:c>
      <x:c r="K16" s="19" t="b">
        <x:v>0</x:v>
      </x:c>
      <x:c r="L16" s="6" t="str"/>
    </x:row>
    <x:row r="17" ht="53" customHeight="1">
      <x:c r="A17" s="15" t="str">
        <x:v>NAV-10</x:v>
      </x:c>
      <x:c r="B17" s="13" t="str">
        <x:v>ADMIN</x:v>
      </x:c>
      <x:c r="C17" s="13" t="n">
        <x:v>1</x:v>
      </x:c>
      <x:c r="D17" s="13" t="n">
        <x:v>1</x:v>
      </x:c>
      <x:c r="E17" s="13" t="str">
        <x:v>/app/admin/strategy/capital-planning-configuration</x:v>
      </x:c>
      <x:c r="F17" s="13" t="str">
        <x:v>Enterprise Strategy Manager &gt; Strategic Capital Planning &amp; Demand Configuration &gt; Strategic Capital Planning &amp; Demand Configuration</x:v>
      </x:c>
      <x:c r="G17" s="13" t="str">
        <x:v>frontend/src/features/capital-planning/CapitalPlanningAdminView.tsx</x:v>
      </x:c>
      <x:c r="H17" s="13" t="str">
        <x:v>ADMIN_CONFIGURATION</x:v>
      </x:c>
      <x:c r="I17" s="20" t="b">
        <x:v>1</x:v>
      </x:c>
      <x:c r="J17" s="13" t="str">
        <x:v>ANCESTOR_LANDING_ALIAS_SAME_ROUTE</x:v>
      </x:c>
      <x:c r="K17" s="20" t="b">
        <x:v>0</x:v>
      </x:c>
      <x:c r="L17" s="13" t="str"/>
    </x:row>
    <x:row r="18" ht="42" customHeight="1">
      <x:c r="A18" s="14" t="str">
        <x:v>NAV-11</x:v>
      </x:c>
      <x:c r="B18" s="6" t="str">
        <x:v>ADMIN</x:v>
      </x:c>
      <x:c r="C18" s="6" t="n">
        <x:v>1</x:v>
      </x:c>
      <x:c r="D18" s="6" t="n">
        <x:v>2</x:v>
      </x:c>
      <x:c r="E18" s="6" t="str">
        <x:v>/app/admin/strategy/strategic-capital-bucket-configuration</x:v>
      </x:c>
      <x:c r="F18" s="6" t="str">
        <x:v>Enterprise Strategy Manager &gt; Strategic Capital Planning &amp; Demand Configuration &gt; Strategic Capital Buckets</x:v>
      </x:c>
      <x:c r="G18" s="6" t="str">
        <x:v>frontend/src/features/capital-planning/CapitalPlanningAdminView.tsx</x:v>
      </x:c>
      <x:c r="H18" s="6" t="str">
        <x:v>ADMIN_CONFIGURATION</x:v>
      </x:c>
      <x:c r="I18" s="19" t="b">
        <x:v>1</x:v>
      </x:c>
      <x:c r="J18" s="6" t="str">
        <x:v>NONE</x:v>
      </x:c>
      <x:c r="K18" s="19" t="b">
        <x:v>0</x:v>
      </x:c>
      <x:c r="L18" s="6" t="str"/>
    </x:row>
    <x:row r="19" ht="42" customHeight="1">
      <x:c r="A19" s="15" t="str">
        <x:v>NAV-12</x:v>
      </x:c>
      <x:c r="B19" s="13" t="str">
        <x:v>ADMIN</x:v>
      </x:c>
      <x:c r="C19" s="13" t="n">
        <x:v>2</x:v>
      </x:c>
      <x:c r="D19" s="13" t="n">
        <x:v>1</x:v>
      </x:c>
      <x:c r="E19" s="13" t="str">
        <x:v>/app/admin/strategy/idea-demand-configuration</x:v>
      </x:c>
      <x:c r="F19" s="13" t="str">
        <x:v>Enterprise Strategy Manager &gt; Investment Origination &amp; Shaping Configuration &gt; Idea &amp; Demand Configuration</x:v>
      </x:c>
      <x:c r="G19" s="13" t="str">
        <x:v>frontend/src/features/idea-demand/IdeaDemandAdminView.tsx</x:v>
      </x:c>
      <x:c r="H19" s="13" t="str">
        <x:v>ADMIN_CONFIGURATION</x:v>
      </x:c>
      <x:c r="I19" s="20" t="b">
        <x:v>1</x:v>
      </x:c>
      <x:c r="J19" s="13" t="str">
        <x:v>ANCESTOR_LANDING_ALIAS_SAME_ROUTE</x:v>
      </x:c>
      <x:c r="K19" s="20" t="b">
        <x:v>0</x:v>
      </x:c>
      <x:c r="L19" s="13" t="str"/>
    </x:row>
    <x:row r="20" ht="42" customHeight="1">
      <x:c r="A20" s="14" t="str">
        <x:v>NAV-13</x:v>
      </x:c>
      <x:c r="B20" s="6" t="str">
        <x:v>ADMIN</x:v>
      </x:c>
      <x:c r="C20" s="6" t="n">
        <x:v>2</x:v>
      </x:c>
      <x:c r="D20" s="6" t="n">
        <x:v>2</x:v>
      </x:c>
      <x:c r="E20" s="6" t="str">
        <x:v>/app/admin/strategy/business-analysis-configuration</x:v>
      </x:c>
      <x:c r="F20" s="6" t="str">
        <x:v>Enterprise Strategy Manager &gt; Investment Origination &amp; Shaping Configuration &gt; Business Analysis Configuration</x:v>
      </x:c>
      <x:c r="G20" s="6" t="str">
        <x:v>frontend/src/features/business-analysis/BusinessAnalysisAdminView.tsx</x:v>
      </x:c>
      <x:c r="H20" s="6" t="str">
        <x:v>ADMIN_CONFIGURATION</x:v>
      </x:c>
      <x:c r="I20" s="19" t="b">
        <x:v>1</x:v>
      </x:c>
      <x:c r="J20" s="6" t="str">
        <x:v>NONE</x:v>
      </x:c>
      <x:c r="K20" s="19" t="b">
        <x:v>0</x:v>
      </x:c>
      <x:c r="L20" s="6" t="str"/>
    </x:row>
    <x:row r="21" ht="42" customHeight="1">
      <x:c r="A21" s="15" t="str">
        <x:v>NAV-14</x:v>
      </x:c>
      <x:c r="B21" s="13" t="str">
        <x:v>ADMIN</x:v>
      </x:c>
      <x:c r="C21" s="13" t="n">
        <x:v>2</x:v>
      </x:c>
      <x:c r="D21" s="13" t="n">
        <x:v>3</x:v>
      </x:c>
      <x:c r="E21" s="13" t="str">
        <x:v>/app/admin/strategy/project-proposal-configuration</x:v>
      </x:c>
      <x:c r="F21" s="13" t="str">
        <x:v>Enterprise Strategy Manager &gt; Investment Origination &amp; Shaping Configuration &gt; Project Proposal Configuration</x:v>
      </x:c>
      <x:c r="G21" s="13" t="str">
        <x:v>frontend/src/features/project-proposal/ProjectProposalAdminView.tsx</x:v>
      </x:c>
      <x:c r="H21" s="13" t="str">
        <x:v>ADMIN_CONFIGURATION</x:v>
      </x:c>
      <x:c r="I21" s="20" t="b">
        <x:v>1</x:v>
      </x:c>
      <x:c r="J21" s="13" t="str">
        <x:v>NONE</x:v>
      </x:c>
      <x:c r="K21" s="20" t="b">
        <x:v>0</x:v>
      </x:c>
      <x:c r="L21" s="13" t="str"/>
    </x:row>
    <x:row r="22" ht="42" customHeight="1">
      <x:c r="A22" s="14" t="str">
        <x:v>NAV-15</x:v>
      </x:c>
      <x:c r="B22" s="6" t="str">
        <x:v>ADMIN</x:v>
      </x:c>
      <x:c r="C22" s="6" t="n">
        <x:v>3</x:v>
      </x:c>
      <x:c r="D22" s="6" t="n">
        <x:v>1</x:v>
      </x:c>
      <x:c r="E22" s="6" t="str">
        <x:v>/app/admin/strategy/strategic-gate-configuration</x:v>
      </x:c>
      <x:c r="F22" s="6" t="str">
        <x:v>Enterprise Strategy Manager &gt; Strategic Gate Decision Configuration &gt; Strategic Gate Decision Configuration</x:v>
      </x:c>
      <x:c r="G22" s="6" t="str">
        <x:v>frontend/src/features/strategic-gate/StrategicGateAdminView.tsx</x:v>
      </x:c>
      <x:c r="H22" s="6" t="str">
        <x:v>ADMIN_CONFIGURATION</x:v>
      </x:c>
      <x:c r="I22" s="19" t="b">
        <x:v>1</x:v>
      </x:c>
      <x:c r="J22" s="6" t="str">
        <x:v>ANCESTOR_LANDING_ALIAS_SAME_ROUTE</x:v>
      </x:c>
      <x:c r="K22" s="19" t="b">
        <x:v>0</x:v>
      </x:c>
      <x:c r="L22" s="6" t="str"/>
    </x:row>
    <x:row r="23" ht="42" customHeight="1">
      <x:c r="A23" s="15" t="str">
        <x:v>NAV-16</x:v>
      </x:c>
      <x:c r="B23" s="13" t="str">
        <x:v>ADMIN</x:v>
      </x:c>
      <x:c r="C23" s="13" t="n">
        <x:v>4</x:v>
      </x:c>
      <x:c r="D23" s="13" t="n">
        <x:v>1</x:v>
      </x:c>
      <x:c r="E23" s="13" t="str">
        <x:v>/app/admin/strategy/portfolio-planning-configuration</x:v>
      </x:c>
      <x:c r="F23" s="13" t="str">
        <x:v>Enterprise Strategy Manager &gt; Portfolio Planning &amp; Review Configuration &gt; Portfolio Intake</x:v>
      </x:c>
      <x:c r="G23" s="13" t="str">
        <x:v>frontend/src/features/portfolio-planning/PortfolioPlanningAdminView.tsx</x:v>
      </x:c>
      <x:c r="H23" s="13" t="str">
        <x:v>ADMIN_CONFIGURATION</x:v>
      </x:c>
      <x:c r="I23" s="20" t="b">
        <x:v>1</x:v>
      </x:c>
      <x:c r="J23" s="13" t="str">
        <x:v>ANCESTOR_LANDING_ALIAS_SAME_ROUTE</x:v>
      </x:c>
      <x:c r="K23" s="20" t="b">
        <x:v>0</x:v>
      </x:c>
      <x:c r="L23" s="13" t="str"/>
    </x:row>
    <x:row r="24" ht="42" customHeight="1">
      <x:c r="A24" s="14" t="str">
        <x:v>NAV-17</x:v>
      </x:c>
      <x:c r="B24" s="6" t="str">
        <x:v>ADMIN</x:v>
      </x:c>
      <x:c r="C24" s="6" t="n">
        <x:v>4</x:v>
      </x:c>
      <x:c r="D24" s="6" t="n">
        <x:v>2</x:v>
      </x:c>
      <x:c r="E24" s="6" t="str">
        <x:v>/app/admin/strategy/portfolio-evaluation-configuration</x:v>
      </x:c>
      <x:c r="F24" s="6" t="str">
        <x:v>Enterprise Strategy Manager &gt; Portfolio Planning &amp; Review Configuration &gt; Evaluation &amp; Prioritization</x:v>
      </x:c>
      <x:c r="G24" s="6" t="str">
        <x:v>frontend/src/features/portfolio-evaluation/PortfolioEvaluationAdminView.tsx</x:v>
      </x:c>
      <x:c r="H24" s="6" t="str">
        <x:v>ADMIN_CONFIGURATION</x:v>
      </x:c>
      <x:c r="I24" s="19" t="b">
        <x:v>1</x:v>
      </x:c>
      <x:c r="J24" s="6" t="str">
        <x:v>NONE</x:v>
      </x:c>
      <x:c r="K24" s="19" t="b">
        <x:v>0</x:v>
      </x:c>
      <x:c r="L24" s="6" t="str"/>
    </x:row>
    <x:row r="25" ht="42" customHeight="1">
      <x:c r="A25" s="15" t="str">
        <x:v>NAV-18</x:v>
      </x:c>
      <x:c r="B25" s="13" t="str">
        <x:v>ADMIN</x:v>
      </x:c>
      <x:c r="C25" s="13" t="n">
        <x:v>4</x:v>
      </x:c>
      <x:c r="D25" s="13" t="n">
        <x:v>3</x:v>
      </x:c>
      <x:c r="E25" s="13" t="str">
        <x:v>/app/admin/strategy/portfolio-analysis-configuration</x:v>
      </x:c>
      <x:c r="F25" s="13" t="str">
        <x:v>Enterprise Strategy Manager &gt; Portfolio Planning &amp; Review Configuration &gt; Portfolio Analysis</x:v>
      </x:c>
      <x:c r="G25" s="13" t="str">
        <x:v>frontend/src/features/portfolio-analysis/PortfolioAnalysisAdminView.tsx</x:v>
      </x:c>
      <x:c r="H25" s="13" t="str">
        <x:v>ADMIN_CONFIGURATION</x:v>
      </x:c>
      <x:c r="I25" s="20" t="b">
        <x:v>1</x:v>
      </x:c>
      <x:c r="J25" s="13" t="str">
        <x:v>NONE</x:v>
      </x:c>
      <x:c r="K25" s="20" t="b">
        <x:v>0</x:v>
      </x:c>
      <x:c r="L25" s="13" t="str"/>
    </x:row>
    <x:row r="26" ht="42" customHeight="1">
      <x:c r="A26" s="14" t="str">
        <x:v>NAV-19</x:v>
      </x:c>
      <x:c r="B26" s="6" t="str">
        <x:v>ADMIN</x:v>
      </x:c>
      <x:c r="C26" s="6" t="n">
        <x:v>4</x:v>
      </x:c>
      <x:c r="D26" s="6" t="n">
        <x:v>4</x:v>
      </x:c>
      <x:c r="E26" s="6" t="str">
        <x:v>/app/admin/strategy/portfolio-review-configuration</x:v>
      </x:c>
      <x:c r="F26" s="6" t="str">
        <x:v>Enterprise Strategy Manager &gt; Portfolio Planning &amp; Review Configuration &gt; Periodic Portfolio Review</x:v>
      </x:c>
      <x:c r="G26" s="6" t="str">
        <x:v>frontend/src/features/portfolio-review/PortfolioReviewAdminView.tsx</x:v>
      </x:c>
      <x:c r="H26" s="6" t="str">
        <x:v>ADMIN_CONFIGURATION</x:v>
      </x:c>
      <x:c r="I26" s="19" t="b">
        <x:v>1</x:v>
      </x:c>
      <x:c r="J26" s="6" t="str">
        <x:v>NONE</x:v>
      </x:c>
      <x:c r="K26" s="19" t="b">
        <x:v>0</x:v>
      </x:c>
      <x:c r="L26" s="6" t="str"/>
    </x:row>
    <x:row r="27" ht="42" customHeight="1">
      <x:c r="A27" s="15" t="str">
        <x:v>NAV-20</x:v>
      </x:c>
      <x:c r="B27" s="13" t="str">
        <x:v>ADMIN</x:v>
      </x:c>
      <x:c r="C27" s="13" t="n">
        <x:v>5</x:v>
      </x:c>
      <x:c r="D27" s="13" t="n">
        <x:v>1</x:v>
      </x:c>
      <x:c r="E27" s="13" t="str">
        <x:v>/app/admin/strategy/portfolio-budget-planning-configuration</x:v>
      </x:c>
      <x:c r="F27" s="13" t="str">
        <x:v>Enterprise Strategy Manager &gt; Portfolio Scenario Planning Configuration &gt; Budget Planning</x:v>
      </x:c>
      <x:c r="G27" s="13" t="str">
        <x:v>frontend/src/features/portfolio-budget/PortfolioBudgetAdminView.tsx</x:v>
      </x:c>
      <x:c r="H27" s="13" t="str">
        <x:v>ADMIN_CONFIGURATION</x:v>
      </x:c>
      <x:c r="I27" s="20" t="b">
        <x:v>1</x:v>
      </x:c>
      <x:c r="J27" s="13" t="str">
        <x:v>ANCESTOR_LANDING_ALIAS_SAME_ROUTE</x:v>
      </x:c>
      <x:c r="K27" s="20" t="b">
        <x:v>0</x:v>
      </x:c>
      <x:c r="L27" s="13" t="str"/>
    </x:row>
    <x:row r="28" ht="42" customHeight="1">
      <x:c r="A28" s="14" t="str">
        <x:v>NAV-21</x:v>
      </x:c>
      <x:c r="B28" s="6" t="str">
        <x:v>ADMIN</x:v>
      </x:c>
      <x:c r="C28" s="6" t="n">
        <x:v>5</x:v>
      </x:c>
      <x:c r="D28" s="6" t="n">
        <x:v>2</x:v>
      </x:c>
      <x:c r="E28" s="6" t="str">
        <x:v>/app/admin/strategy/portfolio-resource-planning-configuration</x:v>
      </x:c>
      <x:c r="F28" s="6" t="str">
        <x:v>Enterprise Strategy Manager &gt; Portfolio Scenario Planning Configuration &gt; Resource Planning</x:v>
      </x:c>
      <x:c r="G28" s="6" t="str">
        <x:v>frontend/src/features/portfolio-resource/PortfolioResourceAdminView.tsx</x:v>
      </x:c>
      <x:c r="H28" s="6" t="str">
        <x:v>ADMIN_CONFIGURATION</x:v>
      </x:c>
      <x:c r="I28" s="19" t="b">
        <x:v>1</x:v>
      </x:c>
      <x:c r="J28" s="6" t="str">
        <x:v>NONE</x:v>
      </x:c>
      <x:c r="K28" s="19" t="b">
        <x:v>0</x:v>
      </x:c>
      <x:c r="L28" s="6" t="str"/>
    </x:row>
    <x:row r="29" ht="42" customHeight="1">
      <x:c r="A29" s="15" t="str">
        <x:v>NAV-22</x:v>
      </x:c>
      <x:c r="B29" s="13" t="str">
        <x:v>ADMIN</x:v>
      </x:c>
      <x:c r="C29" s="13" t="n">
        <x:v>5</x:v>
      </x:c>
      <x:c r="D29" s="13" t="n">
        <x:v>3</x:v>
      </x:c>
      <x:c r="E29" s="13" t="str">
        <x:v>/app/admin/strategy/portfolio-scenario-convergence-configuration</x:v>
      </x:c>
      <x:c r="F29" s="13" t="str">
        <x:v>Enterprise Strategy Manager &gt; Portfolio Scenario Planning Configuration &gt; Scenario Convergence</x:v>
      </x:c>
      <x:c r="G29" s="13" t="str">
        <x:v>frontend/src/features/portfolio-convergence/PortfolioConvergenceAdminView.tsx</x:v>
      </x:c>
      <x:c r="H29" s="13" t="str">
        <x:v>ADMIN_CONFIGURATION</x:v>
      </x:c>
      <x:c r="I29" s="20" t="b">
        <x:v>1</x:v>
      </x:c>
      <x:c r="J29" s="13" t="str">
        <x:v>NONE</x:v>
      </x:c>
      <x:c r="K29" s="20" t="b">
        <x:v>0</x:v>
      </x:c>
      <x:c r="L29" s="13" t="str"/>
    </x:row>
    <x:row r="30" ht="42" customHeight="1">
      <x:c r="A30" s="14" t="str">
        <x:v>NAV-23</x:v>
      </x:c>
      <x:c r="B30" s="6" t="str">
        <x:v>ADMIN</x:v>
      </x:c>
      <x:c r="C30" s="6" t="n">
        <x:v>6</x:v>
      </x:c>
      <x:c r="D30" s="6" t="n">
        <x:v>1</x:v>
      </x:c>
      <x:c r="E30" s="6" t="str">
        <x:v>/app/admin/strategy/project-definition-configuration</x:v>
      </x:c>
      <x:c r="F30" s="6" t="str">
        <x:v>Enterprise Strategy Manager &gt; Project Definition &amp; Investment Case &gt; Project Definition / FEL</x:v>
      </x:c>
      <x:c r="G30" s="6" t="str">
        <x:v>frontend/src/features/project-definition/ProjectDefinitionAdminView.tsx</x:v>
      </x:c>
      <x:c r="H30" s="6" t="str">
        <x:v>ADMIN_CONFIGURATION</x:v>
      </x:c>
      <x:c r="I30" s="19" t="b">
        <x:v>1</x:v>
      </x:c>
      <x:c r="J30" s="6" t="str">
        <x:v>ANCESTOR_LANDING_ALIAS_SAME_ROUTE</x:v>
      </x:c>
      <x:c r="K30" s="19" t="b">
        <x:v>0</x:v>
      </x:c>
      <x:c r="L30" s="6" t="str"/>
    </x:row>
    <x:row r="31" ht="42" customHeight="1">
      <x:c r="A31" s="15" t="str">
        <x:v>NAV-24</x:v>
      </x:c>
      <x:c r="B31" s="13" t="str">
        <x:v>ADMIN</x:v>
      </x:c>
      <x:c r="C31" s="13" t="n">
        <x:v>6</x:v>
      </x:c>
      <x:c r="D31" s="13" t="n">
        <x:v>2</x:v>
      </x:c>
      <x:c r="E31" s="13" t="str">
        <x:v>/app/admin/strategy/business-case-configuration</x:v>
      </x:c>
      <x:c r="F31" s="13" t="str">
        <x:v>Enterprise Strategy Manager &gt; Project Definition &amp; Investment Case &gt; Business Case Manager</x:v>
      </x:c>
      <x:c r="G31" s="13" t="str">
        <x:v>frontend/src/features/business-case/BusinessCaseAdminView.tsx</x:v>
      </x:c>
      <x:c r="H31" s="13" t="str">
        <x:v>ADMIN_CONFIGURATION</x:v>
      </x:c>
      <x:c r="I31" s="20" t="b">
        <x:v>1</x:v>
      </x:c>
      <x:c r="J31" s="13" t="str">
        <x:v>NONE</x:v>
      </x:c>
      <x:c r="K31" s="20" t="b">
        <x:v>0</x:v>
      </x:c>
      <x:c r="L31" s="13" t="str"/>
    </x:row>
    <x:row r="32" ht="42" customHeight="1">
      <x:c r="A32" s="14" t="str">
        <x:v>NAV-25</x:v>
      </x:c>
      <x:c r="B32" s="6" t="str">
        <x:v>ADMIN</x:v>
      </x:c>
      <x:c r="C32" s="6" t="n">
        <x:v>6</x:v>
      </x:c>
      <x:c r="D32" s="6" t="n">
        <x:v>3</x:v>
      </x:c>
      <x:c r="E32" s="6" t="str">
        <x:v>/app/admin/strategy/benefits-configuration</x:v>
      </x:c>
      <x:c r="F32" s="6" t="str">
        <x:v>Enterprise Strategy Manager &gt; Project Definition &amp; Investment Case &gt; Benefits Configuration</x:v>
      </x:c>
      <x:c r="G32" s="6" t="str">
        <x:v>frontend/src/features/strategic-benefits/StrategicBenefitsAdminView.tsx</x:v>
      </x:c>
      <x:c r="H32" s="6" t="str">
        <x:v>ADMIN_CONFIGURATION</x:v>
      </x:c>
      <x:c r="I32" s="19" t="b">
        <x:v>1</x:v>
      </x:c>
      <x:c r="J32" s="6" t="str">
        <x:v>NONE</x:v>
      </x:c>
      <x:c r="K32" s="19" t="b">
        <x:v>0</x:v>
      </x:c>
      <x:c r="L32" s="6" t="str"/>
    </x:row>
    <x:row r="33" ht="42" customHeight="1">
      <x:c r="A33" s="15" t="str">
        <x:v>NAV-26</x:v>
      </x:c>
      <x:c r="B33" s="13" t="str">
        <x:v>ADMIN</x:v>
      </x:c>
      <x:c r="C33" s="13" t="n">
        <x:v>6</x:v>
      </x:c>
      <x:c r="D33" s="13" t="n">
        <x:v>4</x:v>
      </x:c>
      <x:c r="E33" s="13" t="str">
        <x:v>/app/admin/strategy/commercial-strategy-configuration</x:v>
      </x:c>
      <x:c r="F33" s="13" t="str">
        <x:v>Enterprise Strategy Manager &gt; Project Definition &amp; Investment Case &gt; Commercial Strategy Configuration</x:v>
      </x:c>
      <x:c r="G33" s="13" t="str">
        <x:v>frontend/src/features/commercial-strategy/CommercialStrategyAdminView.tsx</x:v>
      </x:c>
      <x:c r="H33" s="13" t="str">
        <x:v>ADMIN_CONFIGURATION</x:v>
      </x:c>
      <x:c r="I33" s="20" t="b">
        <x:v>1</x:v>
      </x:c>
      <x:c r="J33" s="13" t="str">
        <x:v>NONE</x:v>
      </x:c>
      <x:c r="K33" s="20" t="b">
        <x:v>0</x:v>
      </x:c>
      <x:c r="L33" s="13" t="str"/>
    </x:row>
    <x:row r="34" ht="42" customHeight="1">
      <x:c r="A34" s="14" t="str">
        <x:v>NAV-27</x:v>
      </x:c>
      <x:c r="B34" s="6" t="str">
        <x:v>ADMIN</x:v>
      </x:c>
      <x:c r="C34" s="6" t="n">
        <x:v>6</x:v>
      </x:c>
      <x:c r="D34" s="6" t="n">
        <x:v>5</x:v>
      </x:c>
      <x:c r="E34" s="6" t="str">
        <x:v>/app/admin/strategy/funds-manager-configuration</x:v>
      </x:c>
      <x:c r="F34" s="6" t="str">
        <x:v>Enterprise Strategy Manager &gt; Project Definition &amp; Investment Case &gt; Funds &amp; Funding Readiness</x:v>
      </x:c>
      <x:c r="G34" s="6" t="str">
        <x:v>frontend/src/features/funds-manager/FundsManagerAdminView.tsx</x:v>
      </x:c>
      <x:c r="H34" s="6" t="str">
        <x:v>ADMIN_CONFIGURATION</x:v>
      </x:c>
      <x:c r="I34" s="19" t="b">
        <x:v>1</x:v>
      </x:c>
      <x:c r="J34" s="6" t="str">
        <x:v>NONE</x:v>
      </x:c>
      <x:c r="K34" s="19" t="b">
        <x:v>0</x:v>
      </x:c>
      <x:c r="L34" s="6" t="str"/>
    </x:row>
    <x:row r="35" ht="42" customHeight="1">
      <x:c r="A35" s="15" t="str">
        <x:v>NAV-28</x:v>
      </x:c>
      <x:c r="B35" s="13" t="str">
        <x:v>ADMIN</x:v>
      </x:c>
      <x:c r="C35" s="13" t="n">
        <x:v>6</x:v>
      </x:c>
      <x:c r="D35" s="13" t="n">
        <x:v>6</x:v>
      </x:c>
      <x:c r="E35" s="13" t="str">
        <x:v>/app/admin/strategy/financial-model-configuration</x:v>
      </x:c>
      <x:c r="F35" s="13" t="str">
        <x:v>Enterprise Strategy Manager &gt; Project Definition &amp; Investment Case &gt; Economic &amp; Financial Model</x:v>
      </x:c>
      <x:c r="G35" s="13" t="str">
        <x:v>frontend/src/features/economic-financial-model/EconomicFinancialModelAdminView.tsx</x:v>
      </x:c>
      <x:c r="H35" s="13" t="str">
        <x:v>ADMIN_CONFIGURATION</x:v>
      </x:c>
      <x:c r="I35" s="20" t="b">
        <x:v>1</x:v>
      </x:c>
      <x:c r="J35" s="13" t="str">
        <x:v>NONE</x:v>
      </x:c>
      <x:c r="K35" s="20" t="b">
        <x:v>0</x:v>
      </x:c>
      <x:c r="L35" s="13" t="str"/>
    </x:row>
    <x:row r="36" ht="42" customHeight="1">
      <x:c r="A36" s="14" t="str">
        <x:v>NAV-29</x:v>
      </x:c>
      <x:c r="B36" s="6" t="str">
        <x:v>ADMIN</x:v>
      </x:c>
      <x:c r="C36" s="6" t="n">
        <x:v>6</x:v>
      </x:c>
      <x:c r="D36" s="6" t="n">
        <x:v>7</x:v>
      </x:c>
      <x:c r="E36" s="6" t="str">
        <x:v>/app/admin/strategy/risk-readiness-configuration</x:v>
      </x:c>
      <x:c r="F36" s="6" t="str">
        <x:v>Enterprise Strategy Manager &gt; Project Definition &amp; Investment Case &gt; Risk Readiness</x:v>
      </x:c>
      <x:c r="G36" s="6" t="str">
        <x:v>frontend/src/features/risk-readiness/RiskReadinessAdminView.tsx</x:v>
      </x:c>
      <x:c r="H36" s="6" t="str">
        <x:v>ADMIN_CONFIGURATION</x:v>
      </x:c>
      <x:c r="I36" s="19" t="b">
        <x:v>1</x:v>
      </x:c>
      <x:c r="J36" s="6" t="str">
        <x:v>NONE</x:v>
      </x:c>
      <x:c r="K36" s="19" t="b">
        <x:v>0</x:v>
      </x:c>
      <x:c r="L36" s="6" t="str"/>
    </x:row>
    <x:row r="37" ht="42" customHeight="1">
      <x:c r="A37" s="15" t="str">
        <x:v>NAV-30</x:v>
      </x:c>
      <x:c r="B37" s="13" t="str">
        <x:v>ADMIN</x:v>
      </x:c>
      <x:c r="C37" s="13" t="n">
        <x:v>6</x:v>
      </x:c>
      <x:c r="D37" s="13" t="n">
        <x:v>8</x:v>
      </x:c>
      <x:c r="E37" s="13" t="str">
        <x:v>/app/admin/strategy/permit-readiness-configuration</x:v>
      </x:c>
      <x:c r="F37" s="13" t="str">
        <x:v>Enterprise Strategy Manager &gt; Project Definition &amp; Investment Case &gt; Permit Readiness</x:v>
      </x:c>
      <x:c r="G37" s="13" t="str">
        <x:v>frontend/src/features/permit-readiness/PermitReadinessAdminView.tsx</x:v>
      </x:c>
      <x:c r="H37" s="13" t="str">
        <x:v>ADMIN_CONFIGURATION</x:v>
      </x:c>
      <x:c r="I37" s="20" t="b">
        <x:v>1</x:v>
      </x:c>
      <x:c r="J37" s="13" t="str">
        <x:v>NONE</x:v>
      </x:c>
      <x:c r="K37" s="20" t="b">
        <x:v>0</x:v>
      </x:c>
      <x:c r="L37" s="13" t="str"/>
    </x:row>
    <x:row r="38" ht="42" customHeight="1">
      <x:c r="A38" s="14" t="str">
        <x:v>NAV-31</x:v>
      </x:c>
      <x:c r="B38" s="6" t="str">
        <x:v>ADMIN</x:v>
      </x:c>
      <x:c r="C38" s="6" t="n">
        <x:v>6</x:v>
      </x:c>
      <x:c r="D38" s="6" t="n">
        <x:v>9</x:v>
      </x:c>
      <x:c r="E38" s="6" t="str">
        <x:v>/app/admin/strategy/basic-data-configuration</x:v>
      </x:c>
      <x:c r="F38" s="6" t="str">
        <x:v>Enterprise Strategy Manager &gt; Project Definition &amp; Investment Case &gt; Basic Data Readiness Configuration</x:v>
      </x:c>
      <x:c r="G38" s="6" t="str">
        <x:v>frontend/src/features/basic-data/BasicDataAdminView.tsx</x:v>
      </x:c>
      <x:c r="H38" s="6" t="str">
        <x:v>ADMIN_CONFIGURATION</x:v>
      </x:c>
      <x:c r="I38" s="19" t="b">
        <x:v>1</x:v>
      </x:c>
      <x:c r="J38" s="6" t="str">
        <x:v>NONE</x:v>
      </x:c>
      <x:c r="K38" s="19" t="b">
        <x:v>0</x:v>
      </x:c>
      <x:c r="L38" s="6" t="str"/>
    </x:row>
    <x:row r="39" ht="42" customHeight="1">
      <x:c r="A39" s="15" t="str">
        <x:v>NAV-32</x:v>
      </x:c>
      <x:c r="B39" s="13" t="str">
        <x:v>ADMIN</x:v>
      </x:c>
      <x:c r="C39" s="13" t="n">
        <x:v>6</x:v>
      </x:c>
      <x:c r="D39" s="13" t="n">
        <x:v>10</x:v>
      </x:c>
      <x:c r="E39" s="13" t="str">
        <x:v>/app/admin/strategy/owner-capability-configuration</x:v>
      </x:c>
      <x:c r="F39" s="13" t="str">
        <x:v>Enterprise Strategy Manager &gt; Project Definition &amp; Investment Case &gt; Owner Capability Readiness Configuration</x:v>
      </x:c>
      <x:c r="G39" s="13" t="str">
        <x:v>frontend/src/features/owner-capability/OwnerCapabilityAdminView.tsx</x:v>
      </x:c>
      <x:c r="H39" s="13" t="str">
        <x:v>ADMIN_CONFIGURATION</x:v>
      </x:c>
      <x:c r="I39" s="20" t="b">
        <x:v>1</x:v>
      </x:c>
      <x:c r="J39" s="13" t="str">
        <x:v>NONE</x:v>
      </x:c>
      <x:c r="K39" s="20" t="b">
        <x:v>0</x:v>
      </x:c>
      <x:c r="L39" s="13" t="str"/>
    </x:row>
    <x:row r="40" ht="42" customHeight="1">
      <x:c r="A40" s="14" t="str">
        <x:v>NAV-33</x:v>
      </x:c>
      <x:c r="B40" s="6" t="str">
        <x:v>ADMIN</x:v>
      </x:c>
      <x:c r="C40" s="6" t="n">
        <x:v>6</x:v>
      </x:c>
      <x:c r="D40" s="6" t="n">
        <x:v>11</x:v>
      </x:c>
      <x:c r="E40" s="6" t="str">
        <x:v>/app/admin/strategy/qra-methodology-source-readiness</x:v>
      </x:c>
      <x:c r="F40" s="6" t="str">
        <x:v>Enterprise Strategy Manager &gt; Project Definition &amp; Investment Case &gt; QRA Methodology &amp; Source Readiness</x:v>
      </x:c>
      <x:c r="G40" s="6" t="str">
        <x:v>frontend/src/features/qra-foundation/QraFoundationAdminView.tsx</x:v>
      </x:c>
      <x:c r="H40" s="6" t="str">
        <x:v>ADMIN_CONFIGURATION</x:v>
      </x:c>
      <x:c r="I40" s="19" t="b">
        <x:v>1</x:v>
      </x:c>
      <x:c r="J40" s="6" t="str">
        <x:v>NONE</x:v>
      </x:c>
      <x:c r="K40" s="19" t="b">
        <x:v>0</x:v>
      </x:c>
      <x:c r="L40" s="6" t="str"/>
    </x:row>
    <x:row r="41" ht="42" customHeight="1">
      <x:c r="A41" s="15" t="str">
        <x:v>NAV-34</x:v>
      </x:c>
      <x:c r="B41" s="13" t="str">
        <x:v>ADMIN</x:v>
      </x:c>
      <x:c r="C41" s="13" t="n">
        <x:v>7</x:v>
      </x:c>
      <x:c r="D41" s="13" t="n">
        <x:v>1</x:v>
      </x:c>
      <x:c r="E41" s="13" t="str">
        <x:v>/app/admin/strategy/investment-decision-evidence-policy</x:v>
      </x:c>
      <x:c r="F41" s="13" t="str">
        <x:v>Enterprise Strategy Manager &gt; Investment Governance &gt; Evidence &amp; Decision Policy</x:v>
      </x:c>
      <x:c r="G41" s="13" t="str">
        <x:v>frontend/src/features/investment-evidence-policy/InvestmentEvidencePolicyAdminView.tsx</x:v>
      </x:c>
      <x:c r="H41" s="13" t="str">
        <x:v>ADMIN_CONFIGURATION</x:v>
      </x:c>
      <x:c r="I41" s="20" t="b">
        <x:v>1</x:v>
      </x:c>
      <x:c r="J41" s="13" t="str">
        <x:v>ANCESTOR_LANDING_ALIAS_SAME_ROUTE</x:v>
      </x:c>
      <x:c r="K41" s="20" t="b">
        <x:v>0</x:v>
      </x:c>
      <x:c r="L41" s="13" t="str"/>
    </x:row>
    <x:row r="42" ht="42" customHeight="1">
      <x:c r="A42" s="14" t="str">
        <x:v>NAV-35</x:v>
      </x:c>
      <x:c r="B42" s="6" t="str">
        <x:v>ADMIN</x:v>
      </x:c>
      <x:c r="C42" s="6" t="n">
        <x:v>7</x:v>
      </x:c>
      <x:c r="D42" s="6" t="n">
        <x:v>2</x:v>
      </x:c>
      <x:c r="E42" s="6" t="str">
        <x:v>/app/admin/strategy/investment-gate-preparation-configuration</x:v>
      </x:c>
      <x:c r="F42" s="6" t="str">
        <x:v>Enterprise Strategy Manager &gt; Investment Governance &gt; Investment Gate Preparation</x:v>
      </x:c>
      <x:c r="G42" s="6" t="str">
        <x:v>frontend/src/features/investment-gate-preparation/InvestmentGatePreparationAdminView.tsx</x:v>
      </x:c>
      <x:c r="H42" s="6" t="str">
        <x:v>ADMIN_CONFIGURATION</x:v>
      </x:c>
      <x:c r="I42" s="19" t="b">
        <x:v>1</x:v>
      </x:c>
      <x:c r="J42" s="6" t="str">
        <x:v>NONE</x:v>
      </x:c>
      <x:c r="K42" s="19" t="b">
        <x:v>0</x:v>
      </x:c>
      <x:c r="L42" s="6" t="str"/>
    </x:row>
    <x:row r="43" ht="42" customHeight="1">
      <x:c r="A43" s="15" t="str">
        <x:v>NAV-36</x:v>
      </x:c>
      <x:c r="B43" s="13" t="str">
        <x:v>ADMIN</x:v>
      </x:c>
      <x:c r="C43" s="13" t="n">
        <x:v>7</x:v>
      </x:c>
      <x:c r="D43" s="13" t="n">
        <x:v>3</x:v>
      </x:c>
      <x:c r="E43" s="13" t="str">
        <x:v>/app/admin/strategy/investment-decision-configuration</x:v>
      </x:c>
      <x:c r="F43" s="13" t="str">
        <x:v>Enterprise Strategy Manager &gt; Investment Governance &gt; Investment Decision / FID</x:v>
      </x:c>
      <x:c r="G43" s="13" t="str">
        <x:v>frontend/src/features/investment-decision/InvestmentDecisionAdminView.tsx</x:v>
      </x:c>
      <x:c r="H43" s="13" t="str">
        <x:v>ADMIN_CONFIGURATION</x:v>
      </x:c>
      <x:c r="I43" s="20" t="b">
        <x:v>1</x:v>
      </x:c>
      <x:c r="J43" s="13" t="str">
        <x:v>NONE</x:v>
      </x:c>
      <x:c r="K43" s="20" t="b">
        <x:v>0</x:v>
      </x:c>
      <x:c r="L43" s="13" t="str"/>
    </x:row>
    <x:row r="44" ht="42" customHeight="1">
      <x:c r="A44" s="14" t="str">
        <x:v>NAV-37</x:v>
      </x:c>
      <x:c r="B44" s="6" t="str">
        <x:v>ADMIN</x:v>
      </x:c>
      <x:c r="C44" s="6" t="n">
        <x:v>7</x:v>
      </x:c>
      <x:c r="D44" s="6" t="n">
        <x:v>4</x:v>
      </x:c>
      <x:c r="E44" s="6" t="str">
        <x:v>/app/admin/strategy/post-fid-governance-configuration</x:v>
      </x:c>
      <x:c r="F44" s="6" t="str">
        <x:v>Enterprise Strategy Manager &gt; Investment Governance &gt; Post-FID Project Governance</x:v>
      </x:c>
      <x:c r="G44" s="6" t="str">
        <x:v>frontend/src/features/post-fid-governance/PostFIDGovernanceAdminView.tsx</x:v>
      </x:c>
      <x:c r="H44" s="6" t="str">
        <x:v>ADMIN_CONFIGURATION</x:v>
      </x:c>
      <x:c r="I44" s="19" t="b">
        <x:v>1</x:v>
      </x:c>
      <x:c r="J44" s="6" t="str">
        <x:v>NONE</x:v>
      </x:c>
      <x:c r="K44" s="19" t="b">
        <x:v>0</x:v>
      </x:c>
      <x:c r="L44" s="6" t="str"/>
    </x:row>
    <x:row r="45" ht="42" customHeight="1">
      <x:c r="A45" s="15" t="str">
        <x:v>NAV-38</x:v>
      </x:c>
      <x:c r="B45" s="13" t="str">
        <x:v>USER</x:v>
      </x:c>
      <x:c r="C45" s="13" t="n">
        <x:v>0</x:v>
      </x:c>
      <x:c r="D45" s="13" t="n">
        <x:v>1</x:v>
      </x:c>
      <x:c r="E45" s="13" t="str">
        <x:v>/app/strategy/enterprise-strategy-overview</x:v>
      </x:c>
      <x:c r="F45" s="13" t="str">
        <x:v>Enterprise Strategy Manager &gt; Enterprise Foundation &gt; Foundation Status</x:v>
      </x:c>
      <x:c r="G45" s="13" t="str">
        <x:v>frontend/src/features/enterprise-strategy/EnterpriseStrategyLanding.tsx</x:v>
      </x:c>
      <x:c r="H45" s="13" t="str">
        <x:v>READ_ONLY_SHARED</x:v>
      </x:c>
      <x:c r="I45" s="20" t="b">
        <x:v>1</x:v>
      </x:c>
      <x:c r="J45" s="13" t="str">
        <x:v>ANCESTOR_LANDING_ALIAS_SAME_ROUTE</x:v>
      </x:c>
      <x:c r="K45" s="20" t="b">
        <x:v>0</x:v>
      </x:c>
      <x:c r="L45" s="13" t="str"/>
    </x:row>
    <x:row r="46" ht="42" customHeight="1">
      <x:c r="A46" s="14" t="str">
        <x:v>NAV-39</x:v>
      </x:c>
      <x:c r="B46" s="6" t="str">
        <x:v>USER</x:v>
      </x:c>
      <x:c r="C46" s="6" t="n">
        <x:v>0</x:v>
      </x:c>
      <x:c r="D46" s="6" t="n">
        <x:v>2</x:v>
      </x:c>
      <x:c r="E46" s="6" t="str">
        <x:v>/app/strategy/enterprise-explorer</x:v>
      </x:c>
      <x:c r="F46" s="6" t="str">
        <x:v>Enterprise Strategy Manager &gt; Enterprise Foundation &gt; Enterprise Explorer</x:v>
      </x:c>
      <x:c r="G46" s="6" t="str">
        <x:v>frontend/src/features/enterprise-structure/pages/EnterpriseExplorerPage.tsx</x:v>
      </x:c>
      <x:c r="H46" s="6" t="str">
        <x:v>READ_ONLY_SHARED</x:v>
      </x:c>
      <x:c r="I46" s="19" t="b">
        <x:v>1</x:v>
      </x:c>
      <x:c r="J46" s="6" t="str">
        <x:v>NONE</x:v>
      </x:c>
      <x:c r="K46" s="19" t="b">
        <x:v>0</x:v>
      </x:c>
      <x:c r="L46" s="6" t="str"/>
    </x:row>
    <x:row r="47" ht="42" customHeight="1">
      <x:c r="A47" s="15" t="str">
        <x:v>NAV-40</x:v>
      </x:c>
      <x:c r="B47" s="13" t="str">
        <x:v>USER</x:v>
      </x:c>
      <x:c r="C47" s="13" t="n">
        <x:v>0</x:v>
      </x:c>
      <x:c r="D47" s="13" t="n">
        <x:v>3</x:v>
      </x:c>
      <x:c r="E47" s="13" t="str">
        <x:v>/app/strategy/workspace-context</x:v>
      </x:c>
      <x:c r="F47" s="13" t="str">
        <x:v>Enterprise Strategy Manager &gt; Enterprise Foundation &gt; Workspace Context</x:v>
      </x:c>
      <x:c r="G47" s="13" t="str">
        <x:v>frontend/src/features/workspace-context/MyWorkspacesPanel.tsx</x:v>
      </x:c>
      <x:c r="H47" s="13" t="str">
        <x:v>READ_ONLY_SHARED</x:v>
      </x:c>
      <x:c r="I47" s="20" t="b">
        <x:v>1</x:v>
      </x:c>
      <x:c r="J47" s="13" t="str">
        <x:v>NONE</x:v>
      </x:c>
      <x:c r="K47" s="20" t="b">
        <x:v>0</x:v>
      </x:c>
      <x:c r="L47" s="13" t="str"/>
    </x:row>
    <x:row r="48" ht="42" customHeight="1">
      <x:c r="A48" s="14" t="str">
        <x:v>NAV-41</x:v>
      </x:c>
      <x:c r="B48" s="6" t="str">
        <x:v>USER</x:v>
      </x:c>
      <x:c r="C48" s="6" t="n">
        <x:v>1</x:v>
      </x:c>
      <x:c r="D48" s="6" t="n">
        <x:v>1</x:v>
      </x:c>
      <x:c r="E48" s="6" t="str">
        <x:v>/app/strategy/capital-planning-cycles</x:v>
      </x:c>
      <x:c r="F48" s="6" t="str">
        <x:v>Enterprise Strategy Manager &gt; Strategic Capital Planning &amp; Demand &gt; Planning Cycles</x:v>
      </x:c>
      <x:c r="G48" s="6" t="str">
        <x:v>frontend/src/features/capital-planning/CapitalPlanningWorkspace.tsx</x:v>
      </x:c>
      <x:c r="H48" s="6" t="str">
        <x:v>USER_TRANSACTION</x:v>
      </x:c>
      <x:c r="I48" s="19" t="b">
        <x:v>1</x:v>
      </x:c>
      <x:c r="J48" s="6" t="str">
        <x:v>NONE</x:v>
      </x:c>
      <x:c r="K48" s="19" t="b">
        <x:v>0</x:v>
      </x:c>
      <x:c r="L48" s="6" t="str">
        <x:v>phase-0-enterprise-foundation</x:v>
      </x:c>
    </x:row>
    <x:row r="49" ht="42" customHeight="1">
      <x:c r="A49" s="15" t="str">
        <x:v>NAV-42</x:v>
      </x:c>
      <x:c r="B49" s="13" t="str">
        <x:v>USER</x:v>
      </x:c>
      <x:c r="C49" s="13" t="n">
        <x:v>1</x:v>
      </x:c>
      <x:c r="D49" s="13" t="n">
        <x:v>2</x:v>
      </x:c>
      <x:c r="E49" s="13" t="str">
        <x:v>/app/strategy/capital-demand-pipeline</x:v>
      </x:c>
      <x:c r="F49" s="13" t="str">
        <x:v>Enterprise Strategy Manager &gt; Strategic Capital Planning &amp; Demand &gt; Capital Demand Pipeline</x:v>
      </x:c>
      <x:c r="G49" s="13" t="str">
        <x:v>frontend/src/features/capital-planning/CapitalPlanningWorkspace.tsx</x:v>
      </x:c>
      <x:c r="H49" s="13" t="str">
        <x:v>USER_TRANSACTION</x:v>
      </x:c>
      <x:c r="I49" s="20" t="b">
        <x:v>1</x:v>
      </x:c>
      <x:c r="J49" s="13" t="str">
        <x:v>ANCESTOR_LANDING_ALIAS_SAME_ROUTE</x:v>
      </x:c>
      <x:c r="K49" s="20" t="b">
        <x:v>0</x:v>
      </x:c>
      <x:c r="L49" s="13" t="str">
        <x:v>capital-planning-cycles</x:v>
      </x:c>
    </x:row>
    <x:row r="50" ht="42" customHeight="1">
      <x:c r="A50" s="14" t="str">
        <x:v>NAV-43</x:v>
      </x:c>
      <x:c r="B50" s="6" t="str">
        <x:v>USER</x:v>
      </x:c>
      <x:c r="C50" s="6" t="n">
        <x:v>1</x:v>
      </x:c>
      <x:c r="D50" s="6" t="n">
        <x:v>3</x:v>
      </x:c>
      <x:c r="E50" s="6" t="str">
        <x:v>/app/strategy/capital-demand-my</x:v>
      </x:c>
      <x:c r="F50" s="6" t="str">
        <x:v>Enterprise Strategy Manager &gt; Strategic Capital Planning &amp; Demand &gt; My Demands</x:v>
      </x:c>
      <x:c r="G50" s="6" t="str">
        <x:v>frontend/src/features/capital-planning/CapitalPlanningWorkspace.tsx</x:v>
      </x:c>
      <x:c r="H50" s="6" t="str">
        <x:v>USER_TRANSACTION</x:v>
      </x:c>
      <x:c r="I50" s="19" t="b">
        <x:v>1</x:v>
      </x:c>
      <x:c r="J50" s="6" t="str">
        <x:v>NONE</x:v>
      </x:c>
      <x:c r="K50" s="19" t="b">
        <x:v>0</x:v>
      </x:c>
      <x:c r="L50" s="6" t="str">
        <x:v>capital-planning-cycles</x:v>
      </x:c>
    </x:row>
    <x:row r="51" ht="42" customHeight="1">
      <x:c r="A51" s="15" t="str">
        <x:v>NAV-44</x:v>
      </x:c>
      <x:c r="B51" s="13" t="str">
        <x:v>USER</x:v>
      </x:c>
      <x:c r="C51" s="13" t="n">
        <x:v>1</x:v>
      </x:c>
      <x:c r="D51" s="13" t="n">
        <x:v>4</x:v>
      </x:c>
      <x:c r="E51" s="13" t="str">
        <x:v>/app/strategy/capital-demand-review</x:v>
      </x:c>
      <x:c r="F51" s="13" t="str">
        <x:v>Enterprise Strategy Manager &gt; Strategic Capital Planning &amp; Demand &gt; Demands in Review</x:v>
      </x:c>
      <x:c r="G51" s="13" t="str">
        <x:v>frontend/src/features/capital-planning/CapitalPlanningWorkspace.tsx</x:v>
      </x:c>
      <x:c r="H51" s="13" t="str">
        <x:v>USER_TRANSACTION</x:v>
      </x:c>
      <x:c r="I51" s="20" t="b">
        <x:v>1</x:v>
      </x:c>
      <x:c r="J51" s="13" t="str">
        <x:v>NONE</x:v>
      </x:c>
      <x:c r="K51" s="20" t="b">
        <x:v>0</x:v>
      </x:c>
      <x:c r="L51" s="13" t="str">
        <x:v>capital-demand-pipeline</x:v>
      </x:c>
    </x:row>
    <x:row r="52" ht="42" customHeight="1">
      <x:c r="A52" s="14" t="str">
        <x:v>NAV-45</x:v>
      </x:c>
      <x:c r="B52" s="6" t="str">
        <x:v>USER</x:v>
      </x:c>
      <x:c r="C52" s="6" t="n">
        <x:v>1</x:v>
      </x:c>
      <x:c r="D52" s="6" t="n">
        <x:v>5</x:v>
      </x:c>
      <x:c r="E52" s="6" t="str">
        <x:v>/app/strategy/capital-demand-endorsed</x:v>
      </x:c>
      <x:c r="F52" s="6" t="str">
        <x:v>Enterprise Strategy Manager &gt; Strategic Capital Planning &amp; Demand &gt; Endorsed Demands</x:v>
      </x:c>
      <x:c r="G52" s="6" t="str">
        <x:v>frontend/src/features/capital-planning/CapitalPlanningWorkspace.tsx</x:v>
      </x:c>
      <x:c r="H52" s="6" t="str">
        <x:v>USER_TRANSACTION</x:v>
      </x:c>
      <x:c r="I52" s="19" t="b">
        <x:v>1</x:v>
      </x:c>
      <x:c r="J52" s="6" t="str">
        <x:v>NONE</x:v>
      </x:c>
      <x:c r="K52" s="19" t="b">
        <x:v>0</x:v>
      </x:c>
      <x:c r="L52" s="6" t="str">
        <x:v>capital-demand-review</x:v>
      </x:c>
    </x:row>
    <x:row r="53" ht="42" customHeight="1">
      <x:c r="A53" s="15" t="str">
        <x:v>NAV-46</x:v>
      </x:c>
      <x:c r="B53" s="13" t="str">
        <x:v>USER</x:v>
      </x:c>
      <x:c r="C53" s="13" t="n">
        <x:v>1</x:v>
      </x:c>
      <x:c r="D53" s="13" t="n">
        <x:v>6</x:v>
      </x:c>
      <x:c r="E53" s="13" t="str">
        <x:v>/app/strategy/capital-demand-history</x:v>
      </x:c>
      <x:c r="F53" s="13" t="str">
        <x:v>Enterprise Strategy Manager &gt; Strategic Capital Planning &amp; Demand &gt; Demand History</x:v>
      </x:c>
      <x:c r="G53" s="13" t="str">
        <x:v>frontend/src/features/capital-planning/CapitalPlanningWorkspace.tsx</x:v>
      </x:c>
      <x:c r="H53" s="13" t="str">
        <x:v>READ_ONLY_SHARED</x:v>
      </x:c>
      <x:c r="I53" s="20" t="b">
        <x:v>1</x:v>
      </x:c>
      <x:c r="J53" s="13" t="str">
        <x:v>NONE</x:v>
      </x:c>
      <x:c r="K53" s="20" t="b">
        <x:v>0</x:v>
      </x:c>
      <x:c r="L53" s="13" t="str">
        <x:v>capital-demand-pipeline</x:v>
      </x:c>
    </x:row>
    <x:row r="54" ht="42" customHeight="1">
      <x:c r="A54" s="14" t="str">
        <x:v>NAV-47</x:v>
      </x:c>
      <x:c r="B54" s="6" t="str">
        <x:v>USER</x:v>
      </x:c>
      <x:c r="C54" s="6" t="n">
        <x:v>1</x:v>
      </x:c>
      <x:c r="D54" s="6" t="n">
        <x:v>7</x:v>
      </x:c>
      <x:c r="E54" s="6" t="str">
        <x:v>/app/strategy/strategic-capital-allocation</x:v>
      </x:c>
      <x:c r="F54" s="6" t="str">
        <x:v>Enterprise Strategy Manager &gt; Strategic Capital Planning &amp; Demand &gt; Strategic Capital Allocation</x:v>
      </x:c>
      <x:c r="G54" s="6" t="str">
        <x:v>frontend/src/features/capital-allocation/StrategicCapitalAllocationWorkspace.tsx</x:v>
      </x:c>
      <x:c r="H54" s="6" t="str">
        <x:v>USER_TRANSACTION</x:v>
      </x:c>
      <x:c r="I54" s="19" t="b">
        <x:v>1</x:v>
      </x:c>
      <x:c r="J54" s="6" t="str">
        <x:v>NONE</x:v>
      </x:c>
      <x:c r="K54" s="19" t="b">
        <x:v>0</x:v>
      </x:c>
      <x:c r="L54" s="6" t="str">
        <x:v>capital-demand-pipeline</x:v>
      </x:c>
    </x:row>
    <x:row r="55" ht="42" customHeight="1">
      <x:c r="A55" s="15" t="str">
        <x:v>NAV-48</x:v>
      </x:c>
      <x:c r="B55" s="13" t="str">
        <x:v>USER</x:v>
      </x:c>
      <x:c r="C55" s="13" t="n">
        <x:v>1</x:v>
      </x:c>
      <x:c r="D55" s="13" t="n">
        <x:v>8</x:v>
      </x:c>
      <x:c r="E55" s="13" t="str">
        <x:v>/app/strategy/strategic-capital-allocation-history</x:v>
      </x:c>
      <x:c r="F55" s="13" t="str">
        <x:v>Enterprise Strategy Manager &gt; Strategic Capital Planning &amp; Demand &gt; Allocation History</x:v>
      </x:c>
      <x:c r="G55" s="13" t="str">
        <x:v>frontend/src/features/capital-allocation/StrategicCapitalAllocationWorkspace.tsx</x:v>
      </x:c>
      <x:c r="H55" s="13" t="str">
        <x:v>READ_ONLY_SHARED</x:v>
      </x:c>
      <x:c r="I55" s="20" t="b">
        <x:v>1</x:v>
      </x:c>
      <x:c r="J55" s="13" t="str">
        <x:v>NONE</x:v>
      </x:c>
      <x:c r="K55" s="20" t="b">
        <x:v>0</x:v>
      </x:c>
      <x:c r="L55" s="13" t="str">
        <x:v>strategic-capital-allocation</x:v>
      </x:c>
    </x:row>
    <x:row r="56" ht="42" customHeight="1">
      <x:c r="A56" s="14" t="str">
        <x:v>NAV-49</x:v>
      </x:c>
      <x:c r="B56" s="6" t="str">
        <x:v>USER</x:v>
      </x:c>
      <x:c r="C56" s="6" t="n">
        <x:v>2</x:v>
      </x:c>
      <x:c r="D56" s="6" t="n">
        <x:v>1</x:v>
      </x:c>
      <x:c r="E56" s="6" t="str">
        <x:v>/app/strategy/idea-lifecycle</x:v>
      </x:c>
      <x:c r="F56" s="6" t="str">
        <x:v>Enterprise Strategy Manager &gt; Investment Origination &amp; Shaping &gt; Idea Lifecycle</x:v>
      </x:c>
      <x:c r="G56" s="6" t="str">
        <x:v>frontend/src/features/idea-demand/IdeaLifecycleWorkspace.tsx</x:v>
      </x:c>
      <x:c r="H56" s="6" t="str">
        <x:v>USER_TRANSACTION</x:v>
      </x:c>
      <x:c r="I56" s="19" t="b">
        <x:v>1</x:v>
      </x:c>
      <x:c r="J56" s="6" t="str">
        <x:v>ANCESTOR_LANDING_ALIAS_SAME_ROUTE</x:v>
      </x:c>
      <x:c r="K56" s="19" t="b">
        <x:v>0</x:v>
      </x:c>
      <x:c r="L56" s="6" t="str">
        <x:v>phase-1-strategic-capital-planning-demand</x:v>
      </x:c>
    </x:row>
    <x:row r="57" ht="42" customHeight="1">
      <x:c r="A57" s="15" t="str">
        <x:v>NAV-50</x:v>
      </x:c>
      <x:c r="B57" s="13" t="str">
        <x:v>USER</x:v>
      </x:c>
      <x:c r="C57" s="13" t="n">
        <x:v>2</x:v>
      </x:c>
      <x:c r="D57" s="13" t="n">
        <x:v>2</x:v>
      </x:c>
      <x:c r="E57" s="13" t="str">
        <x:v>/app/strategy/business-analysis-options</x:v>
      </x:c>
      <x:c r="F57" s="13" t="str">
        <x:v>Enterprise Strategy Manager &gt; Investment Origination &amp; Shaping &gt; Business Analysis &amp; Options</x:v>
      </x:c>
      <x:c r="G57" s="13" t="str">
        <x:v>frontend/src/features/business-analysis/BusinessAnalysisWorkspace.tsx</x:v>
      </x:c>
      <x:c r="H57" s="13" t="str">
        <x:v>USER_TRANSACTION</x:v>
      </x:c>
      <x:c r="I57" s="20" t="b">
        <x:v>1</x:v>
      </x:c>
      <x:c r="J57" s="13" t="str">
        <x:v>NONE</x:v>
      </x:c>
      <x:c r="K57" s="20" t="b">
        <x:v>0</x:v>
      </x:c>
      <x:c r="L57" s="13" t="str">
        <x:v>idea-lifecycle</x:v>
      </x:c>
    </x:row>
    <x:row r="58" ht="42" customHeight="1">
      <x:c r="A58" s="14" t="str">
        <x:v>NAV-51</x:v>
      </x:c>
      <x:c r="B58" s="6" t="str">
        <x:v>USER</x:v>
      </x:c>
      <x:c r="C58" s="6" t="n">
        <x:v>2</x:v>
      </x:c>
      <x:c r="D58" s="6" t="n">
        <x:v>3</x:v>
      </x:c>
      <x:c r="E58" s="6" t="str">
        <x:v>/app/strategy/project-proposal</x:v>
      </x:c>
      <x:c r="F58" s="6" t="str">
        <x:v>Enterprise Strategy Manager &gt; Investment Origination &amp; Shaping &gt; Project Proposals</x:v>
      </x:c>
      <x:c r="G58" s="6" t="str">
        <x:v>frontend/src/features/project-proposal/ProjectProposalWorkspace.tsx</x:v>
      </x:c>
      <x:c r="H58" s="6" t="str">
        <x:v>USER_TRANSACTION</x:v>
      </x:c>
      <x:c r="I58" s="19" t="b">
        <x:v>1</x:v>
      </x:c>
      <x:c r="J58" s="6" t="str">
        <x:v>NONE</x:v>
      </x:c>
      <x:c r="K58" s="19" t="b">
        <x:v>0</x:v>
      </x:c>
      <x:c r="L58" s="6" t="str">
        <x:v>business-analysis-options</x:v>
      </x:c>
    </x:row>
    <x:row r="59" ht="42" customHeight="1">
      <x:c r="A59" s="15" t="str">
        <x:v>NAV-52</x:v>
      </x:c>
      <x:c r="B59" s="13" t="str">
        <x:v>USER</x:v>
      </x:c>
      <x:c r="C59" s="13" t="n">
        <x:v>3</x:v>
      </x:c>
      <x:c r="D59" s="13" t="n">
        <x:v>1</x:v>
      </x:c>
      <x:c r="E59" s="13" t="str">
        <x:v>/app/strategy/strategic-gate-decision</x:v>
      </x:c>
      <x:c r="F59" s="13" t="str">
        <x:v>Enterprise Strategy Manager &gt; Strategic Gate &gt; Strategic Gate Decision</x:v>
      </x:c>
      <x:c r="G59" s="13" t="str">
        <x:v>frontend/src/features/strategic-gate/StrategicGateWorkspace.tsx</x:v>
      </x:c>
      <x:c r="H59" s="13" t="str">
        <x:v>USER_TRANSACTION</x:v>
      </x:c>
      <x:c r="I59" s="20" t="b">
        <x:v>1</x:v>
      </x:c>
      <x:c r="J59" s="13" t="str">
        <x:v>ANCESTOR_LANDING_ALIAS_SAME_ROUTE</x:v>
      </x:c>
      <x:c r="K59" s="20" t="b">
        <x:v>0</x:v>
      </x:c>
      <x:c r="L59" s="13" t="str">
        <x:v>project-proposals</x:v>
      </x:c>
    </x:row>
    <x:row r="60" ht="42" customHeight="1">
      <x:c r="A60" s="14" t="str">
        <x:v>NAV-53</x:v>
      </x:c>
      <x:c r="B60" s="6" t="str">
        <x:v>USER</x:v>
      </x:c>
      <x:c r="C60" s="6" t="n">
        <x:v>4</x:v>
      </x:c>
      <x:c r="D60" s="6" t="n">
        <x:v>1</x:v>
      </x:c>
      <x:c r="E60" s="6" t="str">
        <x:v>/app/strategy/portfolio-structure</x:v>
      </x:c>
      <x:c r="F60" s="6" t="str">
        <x:v>Enterprise Strategy Manager &gt; Portfolio Planning &amp; Review &gt; Portfolio Intake &amp; Planning &gt; Portfolio Structure</x:v>
      </x:c>
      <x:c r="G60" s="6" t="str">
        <x:v>frontend/src/App.tsx:EmptySubmoduleScreen</x:v>
      </x:c>
      <x:c r="H60" s="6" t="str">
        <x:v>USER_TRANSACTION</x:v>
      </x:c>
      <x:c r="I60" s="19" t="b">
        <x:v>1</x:v>
      </x:c>
      <x:c r="J60" s="6" t="str">
        <x:v>NONE</x:v>
      </x:c>
      <x:c r="K60" s="19" t="b">
        <x:v>0</x:v>
      </x:c>
      <x:c r="L60" s="6" t="str"/>
    </x:row>
    <x:row r="61" ht="42" customHeight="1">
      <x:c r="A61" s="15" t="str">
        <x:v>NAV-54</x:v>
      </x:c>
      <x:c r="B61" s="13" t="str">
        <x:v>USER</x:v>
      </x:c>
      <x:c r="C61" s="13" t="n">
        <x:v>4</x:v>
      </x:c>
      <x:c r="D61" s="13" t="n">
        <x:v>2</x:v>
      </x:c>
      <x:c r="E61" s="13" t="str">
        <x:v>/app/strategy/strategic-project-planning-entry</x:v>
      </x:c>
      <x:c r="F61" s="13" t="str">
        <x:v>Enterprise Strategy Manager &gt; Portfolio Planning &amp; Review &gt; Portfolio Intake &amp; Planning &gt; Strategic Planning Entry</x:v>
      </x:c>
      <x:c r="G61" s="13" t="str">
        <x:v>frontend/src/features/portfolio-planning/StrategicPlanningEntryWorkspace.tsx</x:v>
      </x:c>
      <x:c r="H61" s="13" t="str">
        <x:v>USER_TRANSACTION</x:v>
      </x:c>
      <x:c r="I61" s="20" t="b">
        <x:v>1</x:v>
      </x:c>
      <x:c r="J61" s="13" t="str">
        <x:v>ANCESTOR_LANDING_ALIAS_SAME_ROUTE</x:v>
      </x:c>
      <x:c r="K61" s="20" t="b">
        <x:v>0</x:v>
      </x:c>
      <x:c r="L61" s="13" t="str"/>
    </x:row>
    <x:row r="62" ht="42" customHeight="1">
      <x:c r="A62" s="14" t="str">
        <x:v>NAV-55</x:v>
      </x:c>
      <x:c r="B62" s="6" t="str">
        <x:v>USER</x:v>
      </x:c>
      <x:c r="C62" s="6" t="n">
        <x:v>4</x:v>
      </x:c>
      <x:c r="D62" s="6" t="n">
        <x:v>3</x:v>
      </x:c>
      <x:c r="E62" s="6" t="str">
        <x:v>/app/strategy/portfolio-projects</x:v>
      </x:c>
      <x:c r="F62" s="6" t="str">
        <x:v>Enterprise Strategy Manager &gt; Portfolio Planning &amp; Review &gt; Portfolio Intake &amp; Planning &gt; Portfolio Projects</x:v>
      </x:c>
      <x:c r="G62" s="6" t="str">
        <x:v>frontend/src/features/portfolio-planning/PortfolioProjectsWorkspace.tsx</x:v>
      </x:c>
      <x:c r="H62" s="6" t="str">
        <x:v>USER_TRANSACTION</x:v>
      </x:c>
      <x:c r="I62" s="19" t="b">
        <x:v>1</x:v>
      </x:c>
      <x:c r="J62" s="6" t="str">
        <x:v>NONE</x:v>
      </x:c>
      <x:c r="K62" s="19" t="b">
        <x:v>0</x:v>
      </x:c>
      <x:c r="L62" s="6" t="str"/>
    </x:row>
    <x:row r="63" ht="42" customHeight="1">
      <x:c r="A63" s="15" t="str">
        <x:v>NAV-56</x:v>
      </x:c>
      <x:c r="B63" s="13" t="str">
        <x:v>USER</x:v>
      </x:c>
      <x:c r="C63" s="13" t="n">
        <x:v>4</x:v>
      </x:c>
      <x:c r="D63" s="13" t="n">
        <x:v>1</x:v>
      </x:c>
      <x:c r="E63" s="13" t="str">
        <x:v>/app/strategy/portfolio-evaluation</x:v>
      </x:c>
      <x:c r="F63" s="13" t="str">
        <x:v>Enterprise Strategy Manager &gt; Portfolio Planning &amp; Review &gt; Evaluation &amp; Prioritization &gt; Portfolio Evaluation</x:v>
      </x:c>
      <x:c r="G63" s="13" t="str">
        <x:v>frontend/src/features/portfolio-evaluation/PortfolioEvaluationWorkspace.tsx</x:v>
      </x:c>
      <x:c r="H63" s="13" t="str">
        <x:v>USER_TRANSACTION</x:v>
      </x:c>
      <x:c r="I63" s="20" t="b">
        <x:v>1</x:v>
      </x:c>
      <x:c r="J63" s="13" t="str">
        <x:v>ANCESTOR_LANDING_ALIAS_SAME_ROUTE</x:v>
      </x:c>
      <x:c r="K63" s="20" t="b">
        <x:v>0</x:v>
      </x:c>
      <x:c r="L63" s="13" t="str"/>
    </x:row>
    <x:row r="64" ht="42" customHeight="1">
      <x:c r="A64" s="14" t="str">
        <x:v>NAV-57</x:v>
      </x:c>
      <x:c r="B64" s="6" t="str">
        <x:v>USER</x:v>
      </x:c>
      <x:c r="C64" s="6" t="n">
        <x:v>4</x:v>
      </x:c>
      <x:c r="D64" s="6" t="n">
        <x:v>2</x:v>
      </x:c>
      <x:c r="E64" s="6" t="str">
        <x:v>/app/strategy/strategic-prioritization-matrix</x:v>
      </x:c>
      <x:c r="F64" s="6" t="str">
        <x:v>Enterprise Strategy Manager &gt; Portfolio Planning &amp; Review &gt; Evaluation &amp; Prioritization &gt; Prioritization Matrix</x:v>
      </x:c>
      <x:c r="G64" s="6" t="str">
        <x:v>frontend/src/features/portfolio-evaluation/PortfolioEvaluationWorkspace.tsx</x:v>
      </x:c>
      <x:c r="H64" s="6" t="str">
        <x:v>READ_ONLY_SHARED</x:v>
      </x:c>
      <x:c r="I64" s="19" t="b">
        <x:v>1</x:v>
      </x:c>
      <x:c r="J64" s="6" t="str">
        <x:v>NONE</x:v>
      </x:c>
      <x:c r="K64" s="19" t="b">
        <x:v>0</x:v>
      </x:c>
      <x:c r="L64" s="6" t="str"/>
    </x:row>
    <x:row r="65" ht="42" customHeight="1">
      <x:c r="A65" s="15" t="str">
        <x:v>NAV-58</x:v>
      </x:c>
      <x:c r="B65" s="13" t="str">
        <x:v>USER</x:v>
      </x:c>
      <x:c r="C65" s="13" t="n">
        <x:v>4</x:v>
      </x:c>
      <x:c r="D65" s="13" t="n">
        <x:v>1</x:v>
      </x:c>
      <x:c r="E65" s="13" t="str">
        <x:v>/app/strategy/portfolio-analysis</x:v>
      </x:c>
      <x:c r="F65" s="13" t="str">
        <x:v>Enterprise Strategy Manager &gt; Portfolio Planning &amp; Review &gt; Portfolio Analysis &gt; Analysis Overview</x:v>
      </x:c>
      <x:c r="G65" s="13" t="str">
        <x:v>frontend/src/features/portfolio-analysis/PortfolioAnalysisWorkspace.tsx</x:v>
      </x:c>
      <x:c r="H65" s="13" t="str">
        <x:v>READ_ONLY_SHARED</x:v>
      </x:c>
      <x:c r="I65" s="20" t="b">
        <x:v>1</x:v>
      </x:c>
      <x:c r="J65" s="13" t="str">
        <x:v>ANCESTOR_LANDING_ALIAS_SAME_ROUTE</x:v>
      </x:c>
      <x:c r="K65" s="20" t="b">
        <x:v>0</x:v>
      </x:c>
      <x:c r="L65" s="13" t="str"/>
    </x:row>
    <x:row r="66" ht="42" customHeight="1">
      <x:c r="A66" s="14" t="str">
        <x:v>NAV-59</x:v>
      </x:c>
      <x:c r="B66" s="6" t="str">
        <x:v>USER</x:v>
      </x:c>
      <x:c r="C66" s="6" t="n">
        <x:v>4</x:v>
      </x:c>
      <x:c r="D66" s="6" t="n">
        <x:v>1</x:v>
      </x:c>
      <x:c r="E66" s="6" t="str">
        <x:v>/app/strategy/portfolio-investor-map</x:v>
      </x:c>
      <x:c r="F66" s="6" t="str">
        <x:v>Enterprise Strategy Manager &gt; Portfolio Planning &amp; Review &gt; Portfolio Analysis &gt; Investor Map</x:v>
      </x:c>
      <x:c r="G66" s="6" t="str">
        <x:v>frontend/src/features/portfolio-analysis/PortfolioAnalysisWorkspace.tsx</x:v>
      </x:c>
      <x:c r="H66" s="6" t="str">
        <x:v>READ_ONLY_SHARED</x:v>
      </x:c>
      <x:c r="I66" s="19" t="b">
        <x:v>1</x:v>
      </x:c>
      <x:c r="J66" s="6" t="str">
        <x:v>NONE</x:v>
      </x:c>
      <x:c r="K66" s="19" t="b">
        <x:v>0</x:v>
      </x:c>
      <x:c r="L66" s="6" t="str"/>
    </x:row>
    <x:row r="67" ht="42" customHeight="1">
      <x:c r="A67" s="15" t="str">
        <x:v>NAV-60</x:v>
      </x:c>
      <x:c r="B67" s="13" t="str">
        <x:v>USER</x:v>
      </x:c>
      <x:c r="C67" s="13" t="n">
        <x:v>4</x:v>
      </x:c>
      <x:c r="D67" s="13" t="n">
        <x:v>2</x:v>
      </x:c>
      <x:c r="E67" s="13" t="str">
        <x:v>/app/strategy/portfolio-scorecard</x:v>
      </x:c>
      <x:c r="F67" s="13" t="str">
        <x:v>Enterprise Strategy Manager &gt; Portfolio Planning &amp; Review &gt; Portfolio Analysis &gt; Portfolio Scorecard</x:v>
      </x:c>
      <x:c r="G67" s="13" t="str">
        <x:v>frontend/src/features/portfolio-analysis/PortfolioAnalysisWorkspace.tsx</x:v>
      </x:c>
      <x:c r="H67" s="13" t="str">
        <x:v>READ_ONLY_SHARED</x:v>
      </x:c>
      <x:c r="I67" s="20" t="b">
        <x:v>1</x:v>
      </x:c>
      <x:c r="J67" s="13" t="str">
        <x:v>NONE</x:v>
      </x:c>
      <x:c r="K67" s="20" t="b">
        <x:v>0</x:v>
      </x:c>
      <x:c r="L67" s="13" t="str"/>
    </x:row>
    <x:row r="68" ht="42" customHeight="1">
      <x:c r="A68" s="14" t="str">
        <x:v>NAV-61</x:v>
      </x:c>
      <x:c r="B68" s="6" t="str">
        <x:v>USER</x:v>
      </x:c>
      <x:c r="C68" s="6" t="n">
        <x:v>5</x:v>
      </x:c>
      <x:c r="D68" s="6" t="n">
        <x:v>1</x:v>
      </x:c>
      <x:c r="E68" s="6" t="str">
        <x:v>/app/strategy/portfolio-budget-planning</x:v>
      </x:c>
      <x:c r="F68" s="6" t="str">
        <x:v>Enterprise Strategy Manager &gt; Portfolio Scenario Planning &gt; Budget Planning &amp; Scenarios &gt; Budget Planning Workspace</x:v>
      </x:c>
      <x:c r="G68" s="6" t="str">
        <x:v>frontend/src/features/portfolio-budget/PortfolioBudgetWorkspace.tsx</x:v>
      </x:c>
      <x:c r="H68" s="6" t="str">
        <x:v>USER_TRANSACTION</x:v>
      </x:c>
      <x:c r="I68" s="19" t="b">
        <x:v>1</x:v>
      </x:c>
      <x:c r="J68" s="6" t="str">
        <x:v>ANCESTOR_LANDING_ALIAS_SAME_ROUTE</x:v>
      </x:c>
      <x:c r="K68" s="19" t="b">
        <x:v>0</x:v>
      </x:c>
      <x:c r="L68" s="6" t="str"/>
    </x:row>
    <x:row r="69" ht="42" customHeight="1">
      <x:c r="A69" s="15" t="str">
        <x:v>NAV-62</x:v>
      </x:c>
      <x:c r="B69" s="13" t="str">
        <x:v>USER</x:v>
      </x:c>
      <x:c r="C69" s="13" t="n">
        <x:v>5</x:v>
      </x:c>
      <x:c r="D69" s="13" t="n">
        <x:v>2</x:v>
      </x:c>
      <x:c r="E69" s="13" t="str">
        <x:v>/app/strategy/portfolio-cash-flow</x:v>
      </x:c>
      <x:c r="F69" s="13" t="str">
        <x:v>Enterprise Strategy Manager &gt; Portfolio Scenario Planning &gt; Budget Planning &amp; Scenarios &gt; Portfolio Cash Flow</x:v>
      </x:c>
      <x:c r="G69" s="13" t="str">
        <x:v>frontend/src/App.tsx:EmptySubmoduleScreen</x:v>
      </x:c>
      <x:c r="H69" s="13" t="str">
        <x:v>READ_ONLY_SHARED</x:v>
      </x:c>
      <x:c r="I69" s="20" t="b">
        <x:v>1</x:v>
      </x:c>
      <x:c r="J69" s="13" t="str">
        <x:v>NONE</x:v>
      </x:c>
      <x:c r="K69" s="20" t="b">
        <x:v>0</x:v>
      </x:c>
      <x:c r="L69" s="13" t="str"/>
    </x:row>
    <x:row r="70" ht="42" customHeight="1">
      <x:c r="A70" s="14" t="str">
        <x:v>NAV-63</x:v>
      </x:c>
      <x:c r="B70" s="6" t="str">
        <x:v>USER</x:v>
      </x:c>
      <x:c r="C70" s="6" t="n">
        <x:v>5</x:v>
      </x:c>
      <x:c r="D70" s="6" t="n">
        <x:v>2</x:v>
      </x:c>
      <x:c r="E70" s="6" t="str">
        <x:v>/app/strategy/portfolio-resource-planning</x:v>
      </x:c>
      <x:c r="F70" s="6" t="str">
        <x:v>Enterprise Strategy Manager &gt; Portfolio Scenario Planning &gt; Resource Planning &amp; Scenarios</x:v>
      </x:c>
      <x:c r="G70" s="6" t="str">
        <x:v>frontend/src/features/portfolio-resource/PortfolioResourceWorkspace.tsx</x:v>
      </x:c>
      <x:c r="H70" s="6" t="str">
        <x:v>USER_TRANSACTION</x:v>
      </x:c>
      <x:c r="I70" s="19" t="b">
        <x:v>1</x:v>
      </x:c>
      <x:c r="J70" s="6" t="str">
        <x:v>NONE</x:v>
      </x:c>
      <x:c r="K70" s="19" t="b">
        <x:v>0</x:v>
      </x:c>
      <x:c r="L70" s="6" t="str">
        <x:v>portfolio-analysis</x:v>
      </x:c>
    </x:row>
    <x:row r="71" ht="42" customHeight="1">
      <x:c r="A71" s="15" t="str">
        <x:v>NAV-64</x:v>
      </x:c>
      <x:c r="B71" s="13" t="str">
        <x:v>USER</x:v>
      </x:c>
      <x:c r="C71" s="13" t="n">
        <x:v>5</x:v>
      </x:c>
      <x:c r="D71" s="13" t="n">
        <x:v>3</x:v>
      </x:c>
      <x:c r="E71" s="13" t="str">
        <x:v>/app/strategy/portfolio-scenario-convergence</x:v>
      </x:c>
      <x:c r="F71" s="13" t="str">
        <x:v>Enterprise Strategy Manager &gt; Portfolio Scenario Planning &gt; Scenario Convergence &amp; Recommendation</x:v>
      </x:c>
      <x:c r="G71" s="13" t="str">
        <x:v>frontend/src/features/portfolio-convergence/PortfolioConvergenceWorkspace.tsx</x:v>
      </x:c>
      <x:c r="H71" s="13" t="str">
        <x:v>USER_TRANSACTION</x:v>
      </x:c>
      <x:c r="I71" s="20" t="b">
        <x:v>1</x:v>
      </x:c>
      <x:c r="J71" s="13" t="str">
        <x:v>ANCESTOR_LANDING_ALIAS_SAME_ROUTE</x:v>
      </x:c>
      <x:c r="K71" s="20" t="b">
        <x:v>0</x:v>
      </x:c>
      <x:c r="L71" s="13" t="str">
        <x:v>budget-planning-scenarios; resource-planning-scenarios</x:v>
      </x:c>
    </x:row>
    <x:row r="72" ht="42" customHeight="1">
      <x:c r="A72" s="14" t="str">
        <x:v>NAV-65</x:v>
      </x:c>
      <x:c r="B72" s="6" t="str">
        <x:v>USER</x:v>
      </x:c>
      <x:c r="C72" s="6" t="n">
        <x:v>5</x:v>
      </x:c>
      <x:c r="D72" s="6" t="n">
        <x:v>1</x:v>
      </x:c>
      <x:c r="E72" s="6" t="str">
        <x:v>/app/strategy/portfolio-review-sessions</x:v>
      </x:c>
      <x:c r="F72" s="6" t="str">
        <x:v>Enterprise Strategy Manager &gt; Portfolio Scenario Planning &gt; Periodic Portfolio Review &gt; Review Calendar / Sessions</x:v>
      </x:c>
      <x:c r="G72" s="6" t="str">
        <x:v>frontend/src/features/portfolio-review/PortfolioReviewWorkspace.tsx</x:v>
      </x:c>
      <x:c r="H72" s="6" t="str">
        <x:v>USER_TRANSACTION</x:v>
      </x:c>
      <x:c r="I72" s="19" t="b">
        <x:v>1</x:v>
      </x:c>
      <x:c r="J72" s="6" t="str">
        <x:v>ANCESTOR_LANDING_ALIAS_SAME_ROUTE</x:v>
      </x:c>
      <x:c r="K72" s="19" t="b">
        <x:v>0</x:v>
      </x:c>
      <x:c r="L72" s="6" t="str"/>
    </x:row>
    <x:row r="73" ht="42" customHeight="1">
      <x:c r="A73" s="15" t="str">
        <x:v>NAV-66</x:v>
      </x:c>
      <x:c r="B73" s="13" t="str">
        <x:v>USER</x:v>
      </x:c>
      <x:c r="C73" s="13" t="n">
        <x:v>5</x:v>
      </x:c>
      <x:c r="D73" s="13" t="n">
        <x:v>2</x:v>
      </x:c>
      <x:c r="E73" s="13" t="str">
        <x:v>/app/strategy/portfolio-review-overview</x:v>
      </x:c>
      <x:c r="F73" s="13" t="str">
        <x:v>Enterprise Strategy Manager &gt; Portfolio Scenario Planning &gt; Periodic Portfolio Review &gt; Overview</x:v>
      </x:c>
      <x:c r="G73" s="13" t="str">
        <x:v>frontend/src/features/portfolio-review/PortfolioReviewWorkspace.tsx</x:v>
      </x:c>
      <x:c r="H73" s="13" t="str">
        <x:v>USER_TRANSACTION</x:v>
      </x:c>
      <x:c r="I73" s="20" t="b">
        <x:v>1</x:v>
      </x:c>
      <x:c r="J73" s="13" t="str">
        <x:v>NONE</x:v>
      </x:c>
      <x:c r="K73" s="20" t="b">
        <x:v>0</x:v>
      </x:c>
      <x:c r="L73" s="13" t="str"/>
    </x:row>
    <x:row r="74" ht="42" customHeight="1">
      <x:c r="A74" s="14" t="str">
        <x:v>NAV-67</x:v>
      </x:c>
      <x:c r="B74" s="6" t="str">
        <x:v>USER</x:v>
      </x:c>
      <x:c r="C74" s="6" t="n">
        <x:v>5</x:v>
      </x:c>
      <x:c r="D74" s="6" t="n">
        <x:v>3</x:v>
      </x:c>
      <x:c r="E74" s="6" t="str">
        <x:v>/app/strategy/portfolio-review-snapshot</x:v>
      </x:c>
      <x:c r="F74" s="6" t="str">
        <x:v>Enterprise Strategy Manager &gt; Portfolio Scenario Planning &gt; Periodic Portfolio Review &gt; Portfolio Snapshot</x:v>
      </x:c>
      <x:c r="G74" s="6" t="str">
        <x:v>frontend/src/features/portfolio-review/PortfolioReviewWorkspace.tsx</x:v>
      </x:c>
      <x:c r="H74" s="6" t="str">
        <x:v>USER_TRANSACTION</x:v>
      </x:c>
      <x:c r="I74" s="19" t="b">
        <x:v>1</x:v>
      </x:c>
      <x:c r="J74" s="6" t="str">
        <x:v>NONE</x:v>
      </x:c>
      <x:c r="K74" s="19" t="b">
        <x:v>0</x:v>
      </x:c>
      <x:c r="L74" s="6" t="str"/>
    </x:row>
    <x:row r="75" ht="42" customHeight="1">
      <x:c r="A75" s="15" t="str">
        <x:v>NAV-68</x:v>
      </x:c>
      <x:c r="B75" s="13" t="str">
        <x:v>USER</x:v>
      </x:c>
      <x:c r="C75" s="13" t="n">
        <x:v>5</x:v>
      </x:c>
      <x:c r="D75" s="13" t="n">
        <x:v>4</x:v>
      </x:c>
      <x:c r="E75" s="13" t="str">
        <x:v>/app/strategy/portfolio-review-allocation</x:v>
      </x:c>
      <x:c r="F75" s="13" t="str">
        <x:v>Enterprise Strategy Manager &gt; Portfolio Scenario Planning &gt; Periodic Portfolio Review &gt; Strategic Allocation</x:v>
      </x:c>
      <x:c r="G75" s="13" t="str">
        <x:v>frontend/src/features/portfolio-review/PortfolioReviewWorkspace.tsx</x:v>
      </x:c>
      <x:c r="H75" s="13" t="str">
        <x:v>READ_ONLY_SHARED</x:v>
      </x:c>
      <x:c r="I75" s="20" t="b">
        <x:v>1</x:v>
      </x:c>
      <x:c r="J75" s="13" t="str">
        <x:v>NONE</x:v>
      </x:c>
      <x:c r="K75" s="20" t="b">
        <x:v>0</x:v>
      </x:c>
      <x:c r="L75" s="13" t="str"/>
    </x:row>
    <x:row r="76" ht="42" customHeight="1">
      <x:c r="A76" s="14" t="str">
        <x:v>NAV-69</x:v>
      </x:c>
      <x:c r="B76" s="6" t="str">
        <x:v>USER</x:v>
      </x:c>
      <x:c r="C76" s="6" t="n">
        <x:v>5</x:v>
      </x:c>
      <x:c r="D76" s="6" t="n">
        <x:v>5</x:v>
      </x:c>
      <x:c r="E76" s="6" t="str">
        <x:v>/app/strategy/portfolio-review-project-matrix</x:v>
      </x:c>
      <x:c r="F76" s="6" t="str">
        <x:v>Enterprise Strategy Manager &gt; Portfolio Scenario Planning &gt; Periodic Portfolio Review &gt; Project Matrix</x:v>
      </x:c>
      <x:c r="G76" s="6" t="str">
        <x:v>frontend/src/features/portfolio-review/PortfolioReviewWorkspace.tsx</x:v>
      </x:c>
      <x:c r="H76" s="6" t="str">
        <x:v>READ_ONLY_SHARED</x:v>
      </x:c>
      <x:c r="I76" s="19" t="b">
        <x:v>1</x:v>
      </x:c>
      <x:c r="J76" s="6" t="str">
        <x:v>NONE</x:v>
      </x:c>
      <x:c r="K76" s="19" t="b">
        <x:v>0</x:v>
      </x:c>
      <x:c r="L76" s="6" t="str"/>
    </x:row>
    <x:row r="77" ht="42" customHeight="1">
      <x:c r="A77" s="15" t="str">
        <x:v>NAV-70</x:v>
      </x:c>
      <x:c r="B77" s="13" t="str">
        <x:v>USER</x:v>
      </x:c>
      <x:c r="C77" s="13" t="n">
        <x:v>5</x:v>
      </x:c>
      <x:c r="D77" s="13" t="n">
        <x:v>6</x:v>
      </x:c>
      <x:c r="E77" s="13" t="str">
        <x:v>/app/strategy/portfolio-review-budget-resources</x:v>
      </x:c>
      <x:c r="F77" s="13" t="str">
        <x:v>Enterprise Strategy Manager &gt; Portfolio Scenario Planning &gt; Periodic Portfolio Review &gt; Budget &amp; Resources</x:v>
      </x:c>
      <x:c r="G77" s="13" t="str">
        <x:v>frontend/src/features/portfolio-review/PortfolioReviewWorkspace.tsx</x:v>
      </x:c>
      <x:c r="H77" s="13" t="str">
        <x:v>READ_ONLY_SHARED</x:v>
      </x:c>
      <x:c r="I77" s="20" t="b">
        <x:v>1</x:v>
      </x:c>
      <x:c r="J77" s="13" t="str">
        <x:v>NONE</x:v>
      </x:c>
      <x:c r="K77" s="20" t="b">
        <x:v>0</x:v>
      </x:c>
      <x:c r="L77" s="13" t="str"/>
    </x:row>
    <x:row r="78" ht="42" customHeight="1">
      <x:c r="A78" s="14" t="str">
        <x:v>NAV-71</x:v>
      </x:c>
      <x:c r="B78" s="6" t="str">
        <x:v>USER</x:v>
      </x:c>
      <x:c r="C78" s="6" t="n">
        <x:v>5</x:v>
      </x:c>
      <x:c r="D78" s="6" t="n">
        <x:v>7</x:v>
      </x:c>
      <x:c r="E78" s="6" t="str">
        <x:v>/app/strategy/portfolio-review-gate-fid</x:v>
      </x:c>
      <x:c r="F78" s="6" t="str">
        <x:v>Enterprise Strategy Manager &gt; Portfolio Scenario Planning &gt; Periodic Portfolio Review &gt; Gate / FID Status</x:v>
      </x:c>
      <x:c r="G78" s="6" t="str">
        <x:v>frontend/src/features/portfolio-review/PortfolioReviewWorkspace.tsx</x:v>
      </x:c>
      <x:c r="H78" s="6" t="str">
        <x:v>READ_ONLY_SHARED</x:v>
      </x:c>
      <x:c r="I78" s="19" t="b">
        <x:v>1</x:v>
      </x:c>
      <x:c r="J78" s="6" t="str">
        <x:v>NONE</x:v>
      </x:c>
      <x:c r="K78" s="19" t="b">
        <x:v>0</x:v>
      </x:c>
      <x:c r="L78" s="6" t="str"/>
    </x:row>
    <x:row r="79" ht="42" customHeight="1">
      <x:c r="A79" s="15" t="str">
        <x:v>NAV-72</x:v>
      </x:c>
      <x:c r="B79" s="13" t="str">
        <x:v>USER</x:v>
      </x:c>
      <x:c r="C79" s="13" t="n">
        <x:v>5</x:v>
      </x:c>
      <x:c r="D79" s="13" t="n">
        <x:v>8</x:v>
      </x:c>
      <x:c r="E79" s="13" t="str">
        <x:v>/app/strategy/portfolio-review-exceptions</x:v>
      </x:c>
      <x:c r="F79" s="13" t="str">
        <x:v>Enterprise Strategy Manager &gt; Portfolio Scenario Planning &gt; Periodic Portfolio Review &gt; Exceptions</x:v>
      </x:c>
      <x:c r="G79" s="13" t="str">
        <x:v>frontend/src/features/portfolio-review/PortfolioReviewWorkspace.tsx</x:v>
      </x:c>
      <x:c r="H79" s="13" t="str">
        <x:v>READ_ONLY_SHARED</x:v>
      </x:c>
      <x:c r="I79" s="20" t="b">
        <x:v>1</x:v>
      </x:c>
      <x:c r="J79" s="13" t="str">
        <x:v>NONE</x:v>
      </x:c>
      <x:c r="K79" s="20" t="b">
        <x:v>0</x:v>
      </x:c>
      <x:c r="L79" s="13" t="str"/>
    </x:row>
    <x:row r="80" ht="42" customHeight="1">
      <x:c r="A80" s="14" t="str">
        <x:v>NAV-73</x:v>
      </x:c>
      <x:c r="B80" s="6" t="str">
        <x:v>USER</x:v>
      </x:c>
      <x:c r="C80" s="6" t="n">
        <x:v>5</x:v>
      </x:c>
      <x:c r="D80" s="6" t="n">
        <x:v>9</x:v>
      </x:c>
      <x:c r="E80" s="6" t="str">
        <x:v>/app/strategy/portfolio-review-conclusions</x:v>
      </x:c>
      <x:c r="F80" s="6" t="str">
        <x:v>Enterprise Strategy Manager &gt; Portfolio Scenario Planning &gt; Periodic Portfolio Review &gt; Conclusions</x:v>
      </x:c>
      <x:c r="G80" s="6" t="str">
        <x:v>frontend/src/features/portfolio-review/PortfolioReviewWorkspace.tsx</x:v>
      </x:c>
      <x:c r="H80" s="6" t="str">
        <x:v>USER_TRANSACTION</x:v>
      </x:c>
      <x:c r="I80" s="19" t="b">
        <x:v>1</x:v>
      </x:c>
      <x:c r="J80" s="6" t="str">
        <x:v>NONE</x:v>
      </x:c>
      <x:c r="K80" s="19" t="b">
        <x:v>0</x:v>
      </x:c>
      <x:c r="L80" s="6" t="str"/>
    </x:row>
    <x:row r="81" ht="42" customHeight="1">
      <x:c r="A81" s="15" t="str">
        <x:v>NAV-74</x:v>
      </x:c>
      <x:c r="B81" s="13" t="str">
        <x:v>USER</x:v>
      </x:c>
      <x:c r="C81" s="13" t="n">
        <x:v>5</x:v>
      </x:c>
      <x:c r="D81" s="13" t="n">
        <x:v>10</x:v>
      </x:c>
      <x:c r="E81" s="13" t="str">
        <x:v>/app/strategy/portfolio-review-actions</x:v>
      </x:c>
      <x:c r="F81" s="13" t="str">
        <x:v>Enterprise Strategy Manager &gt; Portfolio Scenario Planning &gt; Periodic Portfolio Review &gt; Actions</x:v>
      </x:c>
      <x:c r="G81" s="13" t="str">
        <x:v>frontend/src/features/portfolio-review/PortfolioReviewWorkspace.tsx</x:v>
      </x:c>
      <x:c r="H81" s="13" t="str">
        <x:v>USER_TRANSACTION</x:v>
      </x:c>
      <x:c r="I81" s="20" t="b">
        <x:v>1</x:v>
      </x:c>
      <x:c r="J81" s="13" t="str">
        <x:v>NONE</x:v>
      </x:c>
      <x:c r="K81" s="20" t="b">
        <x:v>0</x:v>
      </x:c>
      <x:c r="L81" s="13" t="str"/>
    </x:row>
    <x:row r="82" ht="42" customHeight="1">
      <x:c r="A82" s="14" t="str">
        <x:v>NAV-75</x:v>
      </x:c>
      <x:c r="B82" s="6" t="str">
        <x:v>USER</x:v>
      </x:c>
      <x:c r="C82" s="6" t="n">
        <x:v>5</x:v>
      </x:c>
      <x:c r="D82" s="6" t="n">
        <x:v>11</x:v>
      </x:c>
      <x:c r="E82" s="6" t="str">
        <x:v>/app/strategy/portfolio-review-history</x:v>
      </x:c>
      <x:c r="F82" s="6" t="str">
        <x:v>Enterprise Strategy Manager &gt; Portfolio Scenario Planning &gt; Periodic Portfolio Review &gt; History</x:v>
      </x:c>
      <x:c r="G82" s="6" t="str">
        <x:v>frontend/src/features/portfolio-review/PortfolioReviewWorkspace.tsx</x:v>
      </x:c>
      <x:c r="H82" s="6" t="str">
        <x:v>READ_ONLY_SHARED</x:v>
      </x:c>
      <x:c r="I82" s="19" t="b">
        <x:v>1</x:v>
      </x:c>
      <x:c r="J82" s="6" t="str">
        <x:v>NONE</x:v>
      </x:c>
      <x:c r="K82" s="19" t="b">
        <x:v>0</x:v>
      </x:c>
      <x:c r="L82" s="6" t="str"/>
    </x:row>
    <x:row r="83" ht="42" customHeight="1">
      <x:c r="A83" s="15" t="str">
        <x:v>NAV-76</x:v>
      </x:c>
      <x:c r="B83" s="13" t="str">
        <x:v>USER</x:v>
      </x:c>
      <x:c r="C83" s="13" t="n">
        <x:v>5</x:v>
      </x:c>
      <x:c r="D83" s="13" t="n">
        <x:v>12</x:v>
      </x:c>
      <x:c r="E83" s="13" t="str">
        <x:v>/app/strategy/portfolio-review-trends</x:v>
      </x:c>
      <x:c r="F83" s="13" t="str">
        <x:v>Enterprise Strategy Manager &gt; Portfolio Scenario Planning &gt; Periodic Portfolio Review &gt; Trends</x:v>
      </x:c>
      <x:c r="G83" s="13" t="str">
        <x:v>frontend/src/features/portfolio-review/PortfolioReviewWorkspace.tsx</x:v>
      </x:c>
      <x:c r="H83" s="13" t="str">
        <x:v>READ_ONLY_SHARED</x:v>
      </x:c>
      <x:c r="I83" s="20" t="b">
        <x:v>1</x:v>
      </x:c>
      <x:c r="J83" s="13" t="str">
        <x:v>NONE</x:v>
      </x:c>
      <x:c r="K83" s="20" t="b">
        <x:v>0</x:v>
      </x:c>
      <x:c r="L83" s="13" t="str"/>
    </x:row>
    <x:row r="84" ht="42" customHeight="1">
      <x:c r="A84" s="14" t="str">
        <x:v>NAV-77</x:v>
      </x:c>
      <x:c r="B84" s="6" t="str">
        <x:v>USER</x:v>
      </x:c>
      <x:c r="C84" s="6" t="n">
        <x:v>6</x:v>
      </x:c>
      <x:c r="D84" s="6" t="n">
        <x:v>1</x:v>
      </x:c>
      <x:c r="E84" s="6" t="str">
        <x:v>/app/strategy/project-definition-fel</x:v>
      </x:c>
      <x:c r="F84" s="6" t="str">
        <x:v>Enterprise Strategy Manager &gt; Business Case &amp; Investment Development &gt; Project Definition / FEL</x:v>
      </x:c>
      <x:c r="G84" s="6" t="str">
        <x:v>frontend/src/features/project-definition/ProjectDefinitionWorkspace.tsx</x:v>
      </x:c>
      <x:c r="H84" s="6" t="str">
        <x:v>USER_TRANSACTION</x:v>
      </x:c>
      <x:c r="I84" s="19" t="b">
        <x:v>1</x:v>
      </x:c>
      <x:c r="J84" s="6" t="str">
        <x:v>ANCESTOR_LANDING_ALIAS_SAME_ROUTE</x:v>
      </x:c>
      <x:c r="K84" s="19" t="b">
        <x:v>0</x:v>
      </x:c>
      <x:c r="L84" s="6" t="str">
        <x:v>phase-5-portfolio-scenario-planning</x:v>
      </x:c>
    </x:row>
    <x:row r="85" ht="42" customHeight="1">
      <x:c r="A85" s="15" t="str">
        <x:v>NAV-78</x:v>
      </x:c>
      <x:c r="B85" s="13" t="str">
        <x:v>USER</x:v>
      </x:c>
      <x:c r="C85" s="13" t="n">
        <x:v>6</x:v>
      </x:c>
      <x:c r="D85" s="13" t="n">
        <x:v>2</x:v>
      </x:c>
      <x:c r="E85" s="13" t="str">
        <x:v>/app/strategy/business-case-my</x:v>
      </x:c>
      <x:c r="F85" s="13" t="str">
        <x:v>Enterprise Strategy Manager &gt; Business Case &amp; Investment Development &gt; Business Case Manager</x:v>
      </x:c>
      <x:c r="G85" s="13" t="str">
        <x:v>frontend/src/features/business-case/BusinessCaseWorkspace.tsx</x:v>
      </x:c>
      <x:c r="H85" s="13" t="str">
        <x:v>USER_TRANSACTION</x:v>
      </x:c>
      <x:c r="I85" s="20" t="b">
        <x:v>1</x:v>
      </x:c>
      <x:c r="J85" s="13" t="str">
        <x:v>NONE</x:v>
      </x:c>
      <x:c r="K85" s="20" t="b">
        <x:v>0</x:v>
      </x:c>
      <x:c r="L85" s="13" t="str">
        <x:v>phase-5-portfolio-scenario-planning</x:v>
      </x:c>
    </x:row>
    <x:row r="86" ht="42" customHeight="1">
      <x:c r="A86" s="14" t="str">
        <x:v>NAV-79</x:v>
      </x:c>
      <x:c r="B86" s="6" t="str">
        <x:v>USER</x:v>
      </x:c>
      <x:c r="C86" s="6" t="n">
        <x:v>6</x:v>
      </x:c>
      <x:c r="D86" s="6" t="n">
        <x:v>1</x:v>
      </x:c>
      <x:c r="E86" s="6" t="str">
        <x:v>/app/strategy/business-case-overview</x:v>
      </x:c>
      <x:c r="F86" s="6" t="str">
        <x:v>Enterprise Strategy Manager &gt; Business Case &amp; Investment Development &gt; Business Case Manager &gt; Overview</x:v>
      </x:c>
      <x:c r="G86" s="6" t="str">
        <x:v>frontend/src/features/business-case/BusinessCaseWorkspace.tsx</x:v>
      </x:c>
      <x:c r="H86" s="6" t="str">
        <x:v>USER_TRANSACTION</x:v>
      </x:c>
      <x:c r="I86" s="19" t="b">
        <x:v>1</x:v>
      </x:c>
      <x:c r="J86" s="6" t="str">
        <x:v>NONE</x:v>
      </x:c>
      <x:c r="K86" s="19" t="b">
        <x:v>0</x:v>
      </x:c>
      <x:c r="L86" s="6" t="str"/>
    </x:row>
    <x:row r="87" ht="42" customHeight="1">
      <x:c r="A87" s="15" t="str">
        <x:v>NAV-80</x:v>
      </x:c>
      <x:c r="B87" s="13" t="str">
        <x:v>USER</x:v>
      </x:c>
      <x:c r="C87" s="13" t="n">
        <x:v>6</x:v>
      </x:c>
      <x:c r="D87" s="13" t="n">
        <x:v>2</x:v>
      </x:c>
      <x:c r="E87" s="13" t="str">
        <x:v>/app/strategy/business-case-strategic</x:v>
      </x:c>
      <x:c r="F87" s="13" t="str">
        <x:v>Enterprise Strategy Manager &gt; Business Case &amp; Investment Development &gt; Business Case Manager &gt; Strategic Case</x:v>
      </x:c>
      <x:c r="G87" s="13" t="str">
        <x:v>frontend/src/features/business-case/BusinessCaseWorkspace.tsx</x:v>
      </x:c>
      <x:c r="H87" s="13" t="str">
        <x:v>USER_TRANSACTION</x:v>
      </x:c>
      <x:c r="I87" s="20" t="b">
        <x:v>1</x:v>
      </x:c>
      <x:c r="J87" s="13" t="str">
        <x:v>NONE</x:v>
      </x:c>
      <x:c r="K87" s="20" t="b">
        <x:v>0</x:v>
      </x:c>
      <x:c r="L87" s="13" t="str"/>
    </x:row>
    <x:row r="88" ht="42" customHeight="1">
      <x:c r="A88" s="14" t="str">
        <x:v>NAV-81</x:v>
      </x:c>
      <x:c r="B88" s="6" t="str">
        <x:v>USER</x:v>
      </x:c>
      <x:c r="C88" s="6" t="n">
        <x:v>6</x:v>
      </x:c>
      <x:c r="D88" s="6" t="n">
        <x:v>3</x:v>
      </x:c>
      <x:c r="E88" s="6" t="str">
        <x:v>/app/strategy/business-case-economic</x:v>
      </x:c>
      <x:c r="F88" s="6" t="str">
        <x:v>Enterprise Strategy Manager &gt; Business Case &amp; Investment Development &gt; Business Case Manager &gt; Economic Case</x:v>
      </x:c>
      <x:c r="G88" s="6" t="str">
        <x:v>frontend/src/features/business-case/BusinessCaseWorkspace.tsx</x:v>
      </x:c>
      <x:c r="H88" s="6" t="str">
        <x:v>USER_TRANSACTION</x:v>
      </x:c>
      <x:c r="I88" s="19" t="b">
        <x:v>1</x:v>
      </x:c>
      <x:c r="J88" s="6" t="str">
        <x:v>NONE</x:v>
      </x:c>
      <x:c r="K88" s="19" t="b">
        <x:v>0</x:v>
      </x:c>
      <x:c r="L88" s="6" t="str"/>
    </x:row>
    <x:row r="89" ht="42" customHeight="1">
      <x:c r="A89" s="15" t="str">
        <x:v>NAV-82</x:v>
      </x:c>
      <x:c r="B89" s="13" t="str">
        <x:v>USER</x:v>
      </x:c>
      <x:c r="C89" s="13" t="n">
        <x:v>6</x:v>
      </x:c>
      <x:c r="D89" s="13" t="n">
        <x:v>4</x:v>
      </x:c>
      <x:c r="E89" s="13" t="str">
        <x:v>/app/strategy/business-case-commercial</x:v>
      </x:c>
      <x:c r="F89" s="13" t="str">
        <x:v>Enterprise Strategy Manager &gt; Business Case &amp; Investment Development &gt; Business Case Manager &gt; Commercial Case</x:v>
      </x:c>
      <x:c r="G89" s="13" t="str">
        <x:v>frontend/src/features/business-case/BusinessCaseWorkspace.tsx</x:v>
      </x:c>
      <x:c r="H89" s="13" t="str">
        <x:v>USER_TRANSACTION</x:v>
      </x:c>
      <x:c r="I89" s="20" t="b">
        <x:v>1</x:v>
      </x:c>
      <x:c r="J89" s="13" t="str">
        <x:v>NONE</x:v>
      </x:c>
      <x:c r="K89" s="20" t="b">
        <x:v>0</x:v>
      </x:c>
      <x:c r="L89" s="13" t="str"/>
    </x:row>
    <x:row r="90" ht="42" customHeight="1">
      <x:c r="A90" s="14" t="str">
        <x:v>NAV-83</x:v>
      </x:c>
      <x:c r="B90" s="6" t="str">
        <x:v>USER</x:v>
      </x:c>
      <x:c r="C90" s="6" t="n">
        <x:v>6</x:v>
      </x:c>
      <x:c r="D90" s="6" t="n">
        <x:v>5</x:v>
      </x:c>
      <x:c r="E90" s="6" t="str">
        <x:v>/app/strategy/business-case-financial</x:v>
      </x:c>
      <x:c r="F90" s="6" t="str">
        <x:v>Enterprise Strategy Manager &gt; Business Case &amp; Investment Development &gt; Business Case Manager &gt; Financial Case</x:v>
      </x:c>
      <x:c r="G90" s="6" t="str">
        <x:v>frontend/src/features/business-case/BusinessCaseWorkspace.tsx</x:v>
      </x:c>
      <x:c r="H90" s="6" t="str">
        <x:v>USER_TRANSACTION</x:v>
      </x:c>
      <x:c r="I90" s="19" t="b">
        <x:v>1</x:v>
      </x:c>
      <x:c r="J90" s="6" t="str">
        <x:v>NONE</x:v>
      </x:c>
      <x:c r="K90" s="19" t="b">
        <x:v>0</x:v>
      </x:c>
      <x:c r="L90" s="6" t="str"/>
    </x:row>
    <x:row r="91" ht="42" customHeight="1">
      <x:c r="A91" s="15" t="str">
        <x:v>NAV-84</x:v>
      </x:c>
      <x:c r="B91" s="13" t="str">
        <x:v>USER</x:v>
      </x:c>
      <x:c r="C91" s="13" t="n">
        <x:v>6</x:v>
      </x:c>
      <x:c r="D91" s="13" t="n">
        <x:v>6</x:v>
      </x:c>
      <x:c r="E91" s="13" t="str">
        <x:v>/app/strategy/business-case-management</x:v>
      </x:c>
      <x:c r="F91" s="13" t="str">
        <x:v>Enterprise Strategy Manager &gt; Business Case &amp; Investment Development &gt; Business Case Manager &gt; Management Case</x:v>
      </x:c>
      <x:c r="G91" s="13" t="str">
        <x:v>frontend/src/features/business-case/BusinessCaseWorkspace.tsx</x:v>
      </x:c>
      <x:c r="H91" s="13" t="str">
        <x:v>USER_TRANSACTION</x:v>
      </x:c>
      <x:c r="I91" s="20" t="b">
        <x:v>1</x:v>
      </x:c>
      <x:c r="J91" s="13" t="str">
        <x:v>NONE</x:v>
      </x:c>
      <x:c r="K91" s="20" t="b">
        <x:v>0</x:v>
      </x:c>
      <x:c r="L91" s="13" t="str"/>
    </x:row>
    <x:row r="92" ht="42" customHeight="1">
      <x:c r="A92" s="14" t="str">
        <x:v>NAV-85</x:v>
      </x:c>
      <x:c r="B92" s="6" t="str">
        <x:v>USER</x:v>
      </x:c>
      <x:c r="C92" s="6" t="n">
        <x:v>6</x:v>
      </x:c>
      <x:c r="D92" s="6" t="n">
        <x:v>7</x:v>
      </x:c>
      <x:c r="E92" s="6" t="str">
        <x:v>/app/strategy/business-case-sources-evidence</x:v>
      </x:c>
      <x:c r="F92" s="6" t="str">
        <x:v>Enterprise Strategy Manager &gt; Business Case &amp; Investment Development &gt; Business Case Manager &gt; Sources &amp; Evidence</x:v>
      </x:c>
      <x:c r="G92" s="6" t="str">
        <x:v>frontend/src/features/business-case/BusinessCaseWorkspace.tsx</x:v>
      </x:c>
      <x:c r="H92" s="6" t="str">
        <x:v>USER_TRANSACTION</x:v>
      </x:c>
      <x:c r="I92" s="19" t="b">
        <x:v>1</x:v>
      </x:c>
      <x:c r="J92" s="6" t="str">
        <x:v>NONE</x:v>
      </x:c>
      <x:c r="K92" s="19" t="b">
        <x:v>0</x:v>
      </x:c>
      <x:c r="L92" s="6" t="str"/>
    </x:row>
    <x:row r="93" ht="42" customHeight="1">
      <x:c r="A93" s="15" t="str">
        <x:v>NAV-86</x:v>
      </x:c>
      <x:c r="B93" s="13" t="str">
        <x:v>USER</x:v>
      </x:c>
      <x:c r="C93" s="13" t="n">
        <x:v>6</x:v>
      </x:c>
      <x:c r="D93" s="13" t="n">
        <x:v>8</x:v>
      </x:c>
      <x:c r="E93" s="13" t="str">
        <x:v>/app/strategy/business-case-readiness</x:v>
      </x:c>
      <x:c r="F93" s="13" t="str">
        <x:v>Enterprise Strategy Manager &gt; Business Case &amp; Investment Development &gt; Business Case Manager &gt; Readiness</x:v>
      </x:c>
      <x:c r="G93" s="13" t="str">
        <x:v>frontend/src/features/business-case/BusinessCaseWorkspace.tsx</x:v>
      </x:c>
      <x:c r="H93" s="13" t="str">
        <x:v>USER_TRANSACTION</x:v>
      </x:c>
      <x:c r="I93" s="20" t="b">
        <x:v>1</x:v>
      </x:c>
      <x:c r="J93" s="13" t="str">
        <x:v>NONE</x:v>
      </x:c>
      <x:c r="K93" s="20" t="b">
        <x:v>0</x:v>
      </x:c>
      <x:c r="L93" s="13" t="str"/>
    </x:row>
    <x:row r="94" ht="42" customHeight="1">
      <x:c r="A94" s="14" t="str">
        <x:v>NAV-87</x:v>
      </x:c>
      <x:c r="B94" s="6" t="str">
        <x:v>USER</x:v>
      </x:c>
      <x:c r="C94" s="6" t="n">
        <x:v>6</x:v>
      </x:c>
      <x:c r="D94" s="6" t="n">
        <x:v>9</x:v>
      </x:c>
      <x:c r="E94" s="6" t="str">
        <x:v>/app/strategy/business-case-decision-snapshots</x:v>
      </x:c>
      <x:c r="F94" s="6" t="str">
        <x:v>Enterprise Strategy Manager &gt; Business Case &amp; Investment Development &gt; Business Case Manager &gt; Decision Snapshots</x:v>
      </x:c>
      <x:c r="G94" s="6" t="str">
        <x:v>frontend/src/features/business-case/BusinessCaseWorkspace.tsx</x:v>
      </x:c>
      <x:c r="H94" s="6" t="str">
        <x:v>USER_TRANSACTION</x:v>
      </x:c>
      <x:c r="I94" s="19" t="b">
        <x:v>1</x:v>
      </x:c>
      <x:c r="J94" s="6" t="str">
        <x:v>NONE</x:v>
      </x:c>
      <x:c r="K94" s="19" t="b">
        <x:v>0</x:v>
      </x:c>
      <x:c r="L94" s="6" t="str"/>
    </x:row>
    <x:row r="95" ht="42" customHeight="1">
      <x:c r="A95" s="15" t="str">
        <x:v>NAV-88</x:v>
      </x:c>
      <x:c r="B95" s="13" t="str">
        <x:v>USER</x:v>
      </x:c>
      <x:c r="C95" s="13" t="n">
        <x:v>6</x:v>
      </x:c>
      <x:c r="D95" s="13" t="n">
        <x:v>10</x:v>
      </x:c>
      <x:c r="E95" s="13" t="str">
        <x:v>/app/strategy/business-case-history</x:v>
      </x:c>
      <x:c r="F95" s="13" t="str">
        <x:v>Enterprise Strategy Manager &gt; Business Case &amp; Investment Development &gt; Business Case Manager &gt; History</x:v>
      </x:c>
      <x:c r="G95" s="13" t="str">
        <x:v>frontend/src/features/business-case/BusinessCaseWorkspace.tsx</x:v>
      </x:c>
      <x:c r="H95" s="13" t="str">
        <x:v>USER_TRANSACTION</x:v>
      </x:c>
      <x:c r="I95" s="20" t="b">
        <x:v>1</x:v>
      </x:c>
      <x:c r="J95" s="13" t="str">
        <x:v>NONE</x:v>
      </x:c>
      <x:c r="K95" s="20" t="b">
        <x:v>0</x:v>
      </x:c>
      <x:c r="L95" s="13" t="str"/>
    </x:row>
    <x:row r="96" ht="42" customHeight="1">
      <x:c r="A96" s="14" t="str">
        <x:v>NAV-89</x:v>
      </x:c>
      <x:c r="B96" s="6" t="str">
        <x:v>USER</x:v>
      </x:c>
      <x:c r="C96" s="6" t="n">
        <x:v>6</x:v>
      </x:c>
      <x:c r="D96" s="6" t="n">
        <x:v>1</x:v>
      </x:c>
      <x:c r="E96" s="6" t="str">
        <x:v>/app/strategy/strategic-benefits-my</x:v>
      </x:c>
      <x:c r="F96" s="6" t="str">
        <x:v>Enterprise Strategy Manager &gt; Business Case &amp; Investment Development &gt; Strategic Benefits Plan &amp; Traceability &gt; My Plans</x:v>
      </x:c>
      <x:c r="G96" s="6" t="str">
        <x:v>frontend/src/features/strategic-benefits/StrategicBenefitsWorkspace.tsx</x:v>
      </x:c>
      <x:c r="H96" s="6" t="str">
        <x:v>USER_TRANSACTION</x:v>
      </x:c>
      <x:c r="I96" s="19" t="b">
        <x:v>1</x:v>
      </x:c>
      <x:c r="J96" s="6" t="str">
        <x:v>ANCESTOR_LANDING_ALIAS_SAME_ROUTE</x:v>
      </x:c>
      <x:c r="K96" s="19" t="b">
        <x:v>0</x:v>
      </x:c>
      <x:c r="L96" s="6" t="str"/>
    </x:row>
    <x:row r="97" ht="42" customHeight="1">
      <x:c r="A97" s="15" t="str">
        <x:v>NAV-90</x:v>
      </x:c>
      <x:c r="B97" s="13" t="str">
        <x:v>USER</x:v>
      </x:c>
      <x:c r="C97" s="13" t="n">
        <x:v>6</x:v>
      </x:c>
      <x:c r="D97" s="13" t="n">
        <x:v>2</x:v>
      </x:c>
      <x:c r="E97" s="13" t="str">
        <x:v>/app/strategy/strategic-benefits-overview</x:v>
      </x:c>
      <x:c r="F97" s="13" t="str">
        <x:v>Enterprise Strategy Manager &gt; Business Case &amp; Investment Development &gt; Strategic Benefits Plan &amp; Traceability &gt; Overview</x:v>
      </x:c>
      <x:c r="G97" s="13" t="str">
        <x:v>frontend/src/features/strategic-benefits/StrategicBenefitsWorkspace.tsx</x:v>
      </x:c>
      <x:c r="H97" s="13" t="str">
        <x:v>USER_TRANSACTION</x:v>
      </x:c>
      <x:c r="I97" s="20" t="b">
        <x:v>1</x:v>
      </x:c>
      <x:c r="J97" s="13" t="str">
        <x:v>NONE</x:v>
      </x:c>
      <x:c r="K97" s="20" t="b">
        <x:v>0</x:v>
      </x:c>
      <x:c r="L97" s="13" t="str"/>
    </x:row>
    <x:row r="98" ht="53" customHeight="1">
      <x:c r="A98" s="14" t="str">
        <x:v>NAV-91</x:v>
      </x:c>
      <x:c r="B98" s="6" t="str">
        <x:v>USER</x:v>
      </x:c>
      <x:c r="C98" s="6" t="n">
        <x:v>6</x:v>
      </x:c>
      <x:c r="D98" s="6" t="n">
        <x:v>3</x:v>
      </x:c>
      <x:c r="E98" s="6" t="str">
        <x:v>/app/strategy/strategic-benefits-strategic-alignment</x:v>
      </x:c>
      <x:c r="F98" s="6" t="str">
        <x:v>Enterprise Strategy Manager &gt; Business Case &amp; Investment Development &gt; Strategic Benefits Plan &amp; Traceability &gt; Strategic Alignment</x:v>
      </x:c>
      <x:c r="G98" s="6" t="str">
        <x:v>frontend/src/features/strategic-benefits/StrategicBenefitsWorkspace.tsx</x:v>
      </x:c>
      <x:c r="H98" s="6" t="str">
        <x:v>USER_TRANSACTION</x:v>
      </x:c>
      <x:c r="I98" s="19" t="b">
        <x:v>1</x:v>
      </x:c>
      <x:c r="J98" s="6" t="str">
        <x:v>NONE</x:v>
      </x:c>
      <x:c r="K98" s="19" t="b">
        <x:v>0</x:v>
      </x:c>
      <x:c r="L98" s="6" t="str"/>
    </x:row>
    <x:row r="99" ht="42" customHeight="1">
      <x:c r="A99" s="15" t="str">
        <x:v>NAV-92</x:v>
      </x:c>
      <x:c r="B99" s="13" t="str">
        <x:v>USER</x:v>
      </x:c>
      <x:c r="C99" s="13" t="n">
        <x:v>6</x:v>
      </x:c>
      <x:c r="D99" s="13" t="n">
        <x:v>4</x:v>
      </x:c>
      <x:c r="E99" s="13" t="str">
        <x:v>/app/strategy/strategic-benefits-outputs</x:v>
      </x:c>
      <x:c r="F99" s="13" t="str">
        <x:v>Enterprise Strategy Manager &gt; Business Case &amp; Investment Development &gt; Strategic Benefits Plan &amp; Traceability &gt; Outputs</x:v>
      </x:c>
      <x:c r="G99" s="13" t="str">
        <x:v>frontend/src/features/strategic-benefits/StrategicBenefitsWorkspace.tsx</x:v>
      </x:c>
      <x:c r="H99" s="13" t="str">
        <x:v>USER_TRANSACTION</x:v>
      </x:c>
      <x:c r="I99" s="20" t="b">
        <x:v>1</x:v>
      </x:c>
      <x:c r="J99" s="13" t="str">
        <x:v>NONE</x:v>
      </x:c>
      <x:c r="K99" s="20" t="b">
        <x:v>0</x:v>
      </x:c>
      <x:c r="L99" s="13" t="str"/>
    </x:row>
    <x:row r="100" ht="42" customHeight="1">
      <x:c r="A100" s="14" t="str">
        <x:v>NAV-93</x:v>
      </x:c>
      <x:c r="B100" s="6" t="str">
        <x:v>USER</x:v>
      </x:c>
      <x:c r="C100" s="6" t="n">
        <x:v>6</x:v>
      </x:c>
      <x:c r="D100" s="6" t="n">
        <x:v>5</x:v>
      </x:c>
      <x:c r="E100" s="6" t="str">
        <x:v>/app/strategy/strategic-benefits-outcomes</x:v>
      </x:c>
      <x:c r="F100" s="6" t="str">
        <x:v>Enterprise Strategy Manager &gt; Business Case &amp; Investment Development &gt; Strategic Benefits Plan &amp; Traceability &gt; Outcomes</x:v>
      </x:c>
      <x:c r="G100" s="6" t="str">
        <x:v>frontend/src/features/strategic-benefits/StrategicBenefitsWorkspace.tsx</x:v>
      </x:c>
      <x:c r="H100" s="6" t="str">
        <x:v>USER_TRANSACTION</x:v>
      </x:c>
      <x:c r="I100" s="19" t="b">
        <x:v>1</x:v>
      </x:c>
      <x:c r="J100" s="6" t="str">
        <x:v>NONE</x:v>
      </x:c>
      <x:c r="K100" s="19" t="b">
        <x:v>0</x:v>
      </x:c>
      <x:c r="L100" s="6" t="str"/>
    </x:row>
    <x:row r="101" ht="53" customHeight="1">
      <x:c r="A101" s="15" t="str">
        <x:v>NAV-94</x:v>
      </x:c>
      <x:c r="B101" s="13" t="str">
        <x:v>USER</x:v>
      </x:c>
      <x:c r="C101" s="13" t="n">
        <x:v>6</x:v>
      </x:c>
      <x:c r="D101" s="13" t="n">
        <x:v>6</x:v>
      </x:c>
      <x:c r="E101" s="13" t="str">
        <x:v>/app/strategy/strategic-benefits-register</x:v>
      </x:c>
      <x:c r="F101" s="13" t="str">
        <x:v>Enterprise Strategy Manager &gt; Business Case &amp; Investment Development &gt; Strategic Benefits Plan &amp; Traceability &gt; Benefits Register</x:v>
      </x:c>
      <x:c r="G101" s="13" t="str">
        <x:v>frontend/src/features/strategic-benefits/StrategicBenefitsWorkspace.tsx</x:v>
      </x:c>
      <x:c r="H101" s="13" t="str">
        <x:v>USER_TRANSACTION</x:v>
      </x:c>
      <x:c r="I101" s="20" t="b">
        <x:v>1</x:v>
      </x:c>
      <x:c r="J101" s="13" t="str">
        <x:v>NONE</x:v>
      </x:c>
      <x:c r="K101" s="20" t="b">
        <x:v>0</x:v>
      </x:c>
      <x:c r="L101" s="13" t="str"/>
    </x:row>
    <x:row r="102" ht="53" customHeight="1">
      <x:c r="A102" s="14" t="str">
        <x:v>NAV-95</x:v>
      </x:c>
      <x:c r="B102" s="6" t="str">
        <x:v>USER</x:v>
      </x:c>
      <x:c r="C102" s="6" t="n">
        <x:v>6</x:v>
      </x:c>
      <x:c r="D102" s="6" t="n">
        <x:v>7</x:v>
      </x:c>
      <x:c r="E102" s="6" t="str">
        <x:v>/app/strategy/strategic-benefits-measures</x:v>
      </x:c>
      <x:c r="F102" s="6" t="str">
        <x:v>Enterprise Strategy Manager &gt; Business Case &amp; Investment Development &gt; Strategic Benefits Plan &amp; Traceability &gt; Measures / KPIs</x:v>
      </x:c>
      <x:c r="G102" s="6" t="str">
        <x:v>frontend/src/features/strategic-benefits/StrategicBenefitsWorkspace.tsx</x:v>
      </x:c>
      <x:c r="H102" s="6" t="str">
        <x:v>USER_TRANSACTION</x:v>
      </x:c>
      <x:c r="I102" s="19" t="b">
        <x:v>1</x:v>
      </x:c>
      <x:c r="J102" s="6" t="str">
        <x:v>NONE</x:v>
      </x:c>
      <x:c r="K102" s="19" t="b">
        <x:v>0</x:v>
      </x:c>
      <x:c r="L102" s="6" t="str"/>
    </x:row>
    <x:row r="103" ht="53" customHeight="1">
      <x:c r="A103" s="15" t="str">
        <x:v>NAV-96</x:v>
      </x:c>
      <x:c r="B103" s="13" t="str">
        <x:v>USER</x:v>
      </x:c>
      <x:c r="C103" s="13" t="n">
        <x:v>6</x:v>
      </x:c>
      <x:c r="D103" s="13" t="n">
        <x:v>8</x:v>
      </x:c>
      <x:c r="E103" s="13" t="str">
        <x:v>/app/strategy/strategic-benefits-owners</x:v>
      </x:c>
      <x:c r="F103" s="13" t="str">
        <x:v>Enterprise Strategy Manager &gt; Business Case &amp; Investment Development &gt; Strategic Benefits Plan &amp; Traceability &gt; Benefit Owners</x:v>
      </x:c>
      <x:c r="G103" s="13" t="str">
        <x:v>frontend/src/features/strategic-benefits/StrategicBenefitsWorkspace.tsx</x:v>
      </x:c>
      <x:c r="H103" s="13" t="str">
        <x:v>USER_TRANSACTION</x:v>
      </x:c>
      <x:c r="I103" s="20" t="b">
        <x:v>1</x:v>
      </x:c>
      <x:c r="J103" s="13" t="str">
        <x:v>NONE</x:v>
      </x:c>
      <x:c r="K103" s="20" t="b">
        <x:v>0</x:v>
      </x:c>
      <x:c r="L103" s="13" t="str"/>
    </x:row>
    <x:row r="104" ht="53" customHeight="1">
      <x:c r="A104" s="14" t="str">
        <x:v>NAV-97</x:v>
      </x:c>
      <x:c r="B104" s="6" t="str">
        <x:v>USER</x:v>
      </x:c>
      <x:c r="C104" s="6" t="n">
        <x:v>6</x:v>
      </x:c>
      <x:c r="D104" s="6" t="n">
        <x:v>9</x:v>
      </x:c>
      <x:c r="E104" s="6" t="str">
        <x:v>/app/strategy/strategic-benefits-baselines-targets</x:v>
      </x:c>
      <x:c r="F104" s="6" t="str">
        <x:v>Enterprise Strategy Manager &gt; Business Case &amp; Investment Development &gt; Strategic Benefits Plan &amp; Traceability &gt; Baselines &amp; Targets</x:v>
      </x:c>
      <x:c r="G104" s="6" t="str">
        <x:v>frontend/src/features/strategic-benefits/StrategicBenefitsWorkspace.tsx</x:v>
      </x:c>
      <x:c r="H104" s="6" t="str">
        <x:v>USER_TRANSACTION</x:v>
      </x:c>
      <x:c r="I104" s="19" t="b">
        <x:v>1</x:v>
      </x:c>
      <x:c r="J104" s="6" t="str">
        <x:v>NONE</x:v>
      </x:c>
      <x:c r="K104" s="19" t="b">
        <x:v>0</x:v>
      </x:c>
      <x:c r="L104" s="6" t="str"/>
    </x:row>
    <x:row r="105" ht="53" customHeight="1">
      <x:c r="A105" s="15" t="str">
        <x:v>NAV-98</x:v>
      </x:c>
      <x:c r="B105" s="13" t="str">
        <x:v>USER</x:v>
      </x:c>
      <x:c r="C105" s="13" t="n">
        <x:v>6</x:v>
      </x:c>
      <x:c r="D105" s="13" t="n">
        <x:v>10</x:v>
      </x:c>
      <x:c r="E105" s="13" t="str">
        <x:v>/app/strategy/strategic-benefits-expected-value</x:v>
      </x:c>
      <x:c r="F105" s="13" t="str">
        <x:v>Enterprise Strategy Manager &gt; Business Case &amp; Investment Development &gt; Strategic Benefits Plan &amp; Traceability &gt; Expected Value</x:v>
      </x:c>
      <x:c r="G105" s="13" t="str">
        <x:v>frontend/src/features/strategic-benefits/StrategicBenefitsWorkspace.tsx</x:v>
      </x:c>
      <x:c r="H105" s="13" t="str">
        <x:v>USER_TRANSACTION</x:v>
      </x:c>
      <x:c r="I105" s="20" t="b">
        <x:v>1</x:v>
      </x:c>
      <x:c r="J105" s="13" t="str">
        <x:v>NONE</x:v>
      </x:c>
      <x:c r="K105" s="20" t="b">
        <x:v>0</x:v>
      </x:c>
      <x:c r="L105" s="13" t="str"/>
    </x:row>
    <x:row r="106" ht="53" customHeight="1">
      <x:c r="A106" s="14" t="str">
        <x:v>NAV-99</x:v>
      </x:c>
      <x:c r="B106" s="6" t="str">
        <x:v>USER</x:v>
      </x:c>
      <x:c r="C106" s="6" t="n">
        <x:v>6</x:v>
      </x:c>
      <x:c r="D106" s="6" t="n">
        <x:v>11</x:v>
      </x:c>
      <x:c r="E106" s="6" t="str">
        <x:v>/app/strategy/strategic-benefits-dependencies</x:v>
      </x:c>
      <x:c r="F106" s="6" t="str">
        <x:v>Enterprise Strategy Manager &gt; Business Case &amp; Investment Development &gt; Strategic Benefits Plan &amp; Traceability &gt; Dependencies</x:v>
      </x:c>
      <x:c r="G106" s="6" t="str">
        <x:v>frontend/src/features/strategic-benefits/StrategicBenefitsWorkspace.tsx</x:v>
      </x:c>
      <x:c r="H106" s="6" t="str">
        <x:v>USER_TRANSACTION</x:v>
      </x:c>
      <x:c r="I106" s="19" t="b">
        <x:v>1</x:v>
      </x:c>
      <x:c r="J106" s="6" t="str">
        <x:v>NONE</x:v>
      </x:c>
      <x:c r="K106" s="19" t="b">
        <x:v>0</x:v>
      </x:c>
      <x:c r="L106" s="6" t="str"/>
    </x:row>
    <x:row r="107" ht="53" customHeight="1">
      <x:c r="A107" s="15" t="str">
        <x:v>NAV-100</x:v>
      </x:c>
      <x:c r="B107" s="13" t="str">
        <x:v>USER</x:v>
      </x:c>
      <x:c r="C107" s="13" t="n">
        <x:v>6</x:v>
      </x:c>
      <x:c r="D107" s="13" t="n">
        <x:v>12</x:v>
      </x:c>
      <x:c r="E107" s="13" t="str">
        <x:v>/app/strategy/strategic-benefits-assumptions-constraints</x:v>
      </x:c>
      <x:c r="F107" s="13" t="str">
        <x:v>Enterprise Strategy Manager &gt; Business Case &amp; Investment Development &gt; Strategic Benefits Plan &amp; Traceability &gt; Assumptions / Constraints</x:v>
      </x:c>
      <x:c r="G107" s="13" t="str">
        <x:v>frontend/src/features/strategic-benefits/StrategicBenefitsWorkspace.tsx</x:v>
      </x:c>
      <x:c r="H107" s="13" t="str">
        <x:v>USER_TRANSACTION</x:v>
      </x:c>
      <x:c r="I107" s="20" t="b">
        <x:v>1</x:v>
      </x:c>
      <x:c r="J107" s="13" t="str">
        <x:v>NONE</x:v>
      </x:c>
      <x:c r="K107" s="20" t="b">
        <x:v>0</x:v>
      </x:c>
      <x:c r="L107" s="13" t="str"/>
    </x:row>
    <x:row r="108" ht="53" customHeight="1">
      <x:c r="A108" s="14" t="str">
        <x:v>NAV-101</x:v>
      </x:c>
      <x:c r="B108" s="6" t="str">
        <x:v>USER</x:v>
      </x:c>
      <x:c r="C108" s="6" t="n">
        <x:v>6</x:v>
      </x:c>
      <x:c r="D108" s="6" t="n">
        <x:v>13</x:v>
      </x:c>
      <x:c r="E108" s="6" t="str">
        <x:v>/app/strategy/strategic-benefits-risk-references</x:v>
      </x:c>
      <x:c r="F108" s="6" t="str">
        <x:v>Enterprise Strategy Manager &gt; Business Case &amp; Investment Development &gt; Strategic Benefits Plan &amp; Traceability &gt; Risk References</x:v>
      </x:c>
      <x:c r="G108" s="6" t="str">
        <x:v>frontend/src/features/strategic-benefits/StrategicBenefitsWorkspace.tsx</x:v>
      </x:c>
      <x:c r="H108" s="6" t="str">
        <x:v>USER_TRANSACTION</x:v>
      </x:c>
      <x:c r="I108" s="19" t="b">
        <x:v>1</x:v>
      </x:c>
      <x:c r="J108" s="6" t="str">
        <x:v>NONE</x:v>
      </x:c>
      <x:c r="K108" s="19" t="b">
        <x:v>0</x:v>
      </x:c>
      <x:c r="L108" s="6" t="str"/>
    </x:row>
    <x:row r="109" ht="53" customHeight="1">
      <x:c r="A109" s="15" t="str">
        <x:v>NAV-102</x:v>
      </x:c>
      <x:c r="B109" s="13" t="str">
        <x:v>USER</x:v>
      </x:c>
      <x:c r="C109" s="13" t="n">
        <x:v>6</x:v>
      </x:c>
      <x:c r="D109" s="13" t="n">
        <x:v>14</x:v>
      </x:c>
      <x:c r="E109" s="13" t="str">
        <x:v>/app/strategy/strategic-benefits-traceability</x:v>
      </x:c>
      <x:c r="F109" s="13" t="str">
        <x:v>Enterprise Strategy Manager &gt; Business Case &amp; Investment Development &gt; Strategic Benefits Plan &amp; Traceability &gt; Traceability</x:v>
      </x:c>
      <x:c r="G109" s="13" t="str">
        <x:v>frontend/src/features/strategic-benefits/StrategicBenefitsWorkspace.tsx</x:v>
      </x:c>
      <x:c r="H109" s="13" t="str">
        <x:v>USER_TRANSACTION</x:v>
      </x:c>
      <x:c r="I109" s="20" t="b">
        <x:v>1</x:v>
      </x:c>
      <x:c r="J109" s="13" t="str">
        <x:v>NONE</x:v>
      </x:c>
      <x:c r="K109" s="20" t="b">
        <x:v>0</x:v>
      </x:c>
      <x:c r="L109" s="13" t="str"/>
    </x:row>
    <x:row r="110" ht="42" customHeight="1">
      <x:c r="A110" s="14" t="str">
        <x:v>NAV-103</x:v>
      </x:c>
      <x:c r="B110" s="6" t="str">
        <x:v>USER</x:v>
      </x:c>
      <x:c r="C110" s="6" t="n">
        <x:v>6</x:v>
      </x:c>
      <x:c r="D110" s="6" t="n">
        <x:v>15</x:v>
      </x:c>
      <x:c r="E110" s="6" t="str">
        <x:v>/app/strategy/strategic-benefits-readiness</x:v>
      </x:c>
      <x:c r="F110" s="6" t="str">
        <x:v>Enterprise Strategy Manager &gt; Business Case &amp; Investment Development &gt; Strategic Benefits Plan &amp; Traceability &gt; Readiness</x:v>
      </x:c>
      <x:c r="G110" s="6" t="str">
        <x:v>frontend/src/features/strategic-benefits/StrategicBenefitsWorkspace.tsx</x:v>
      </x:c>
      <x:c r="H110" s="6" t="str">
        <x:v>USER_TRANSACTION</x:v>
      </x:c>
      <x:c r="I110" s="19" t="b">
        <x:v>1</x:v>
      </x:c>
      <x:c r="J110" s="6" t="str">
        <x:v>NONE</x:v>
      </x:c>
      <x:c r="K110" s="19" t="b">
        <x:v>0</x:v>
      </x:c>
      <x:c r="L110" s="6" t="str"/>
    </x:row>
    <x:row r="111" ht="42" customHeight="1">
      <x:c r="A111" s="15" t="str">
        <x:v>NAV-104</x:v>
      </x:c>
      <x:c r="B111" s="13" t="str">
        <x:v>USER</x:v>
      </x:c>
      <x:c r="C111" s="13" t="n">
        <x:v>6</x:v>
      </x:c>
      <x:c r="D111" s="13" t="n">
        <x:v>16</x:v>
      </x:c>
      <x:c r="E111" s="13" t="str">
        <x:v>/app/strategy/strategic-benefits-history</x:v>
      </x:c>
      <x:c r="F111" s="13" t="str">
        <x:v>Enterprise Strategy Manager &gt; Business Case &amp; Investment Development &gt; Strategic Benefits Plan &amp; Traceability &gt; History</x:v>
      </x:c>
      <x:c r="G111" s="13" t="str">
        <x:v>frontend/src/features/strategic-benefits/StrategicBenefitsWorkspace.tsx</x:v>
      </x:c>
      <x:c r="H111" s="13" t="str">
        <x:v>USER_TRANSACTION</x:v>
      </x:c>
      <x:c r="I111" s="20" t="b">
        <x:v>1</x:v>
      </x:c>
      <x:c r="J111" s="13" t="str">
        <x:v>NONE</x:v>
      </x:c>
      <x:c r="K111" s="20" t="b">
        <x:v>0</x:v>
      </x:c>
      <x:c r="L111" s="13" t="str"/>
    </x:row>
    <x:row r="112" ht="42" customHeight="1">
      <x:c r="A112" s="14" t="str">
        <x:v>NAV-105</x:v>
      </x:c>
      <x:c r="B112" s="6" t="str">
        <x:v>USER</x:v>
      </x:c>
      <x:c r="C112" s="6" t="n">
        <x:v>6</x:v>
      </x:c>
      <x:c r="D112" s="6" t="n">
        <x:v>1</x:v>
      </x:c>
      <x:c r="E112" s="6" t="str">
        <x:v>/app/strategy/commercial-strategy-my</x:v>
      </x:c>
      <x:c r="F112" s="6" t="str">
        <x:v>Enterprise Strategy Manager &gt; Business Case &amp; Investment Development &gt; Commercial &amp; Contracting Strategy &gt; My Strategies</x:v>
      </x:c>
      <x:c r="G112" s="6" t="str">
        <x:v>frontend/src/features/commercial-strategy/CommercialStrategyWorkspace.tsx</x:v>
      </x:c>
      <x:c r="H112" s="6" t="str">
        <x:v>USER_TRANSACTION</x:v>
      </x:c>
      <x:c r="I112" s="19" t="b">
        <x:v>1</x:v>
      </x:c>
      <x:c r="J112" s="6" t="str">
        <x:v>ANCESTOR_LANDING_ALIAS_SAME_ROUTE</x:v>
      </x:c>
      <x:c r="K112" s="19" t="b">
        <x:v>0</x:v>
      </x:c>
      <x:c r="L112" s="6" t="str"/>
    </x:row>
    <x:row r="113" ht="42" customHeight="1">
      <x:c r="A113" s="15" t="str">
        <x:v>NAV-106</x:v>
      </x:c>
      <x:c r="B113" s="13" t="str">
        <x:v>USER</x:v>
      </x:c>
      <x:c r="C113" s="13" t="n">
        <x:v>6</x:v>
      </x:c>
      <x:c r="D113" s="13" t="n">
        <x:v>2</x:v>
      </x:c>
      <x:c r="E113" s="13" t="str">
        <x:v>/app/strategy/commercial-strategy-overview</x:v>
      </x:c>
      <x:c r="F113" s="13" t="str">
        <x:v>Enterprise Strategy Manager &gt; Business Case &amp; Investment Development &gt; Commercial &amp; Contracting Strategy &gt; Overview</x:v>
      </x:c>
      <x:c r="G113" s="13" t="str">
        <x:v>frontend/src/features/commercial-strategy/CommercialStrategyWorkspace.tsx</x:v>
      </x:c>
      <x:c r="H113" s="13" t="str">
        <x:v>USER_TRANSACTION</x:v>
      </x:c>
      <x:c r="I113" s="20" t="b">
        <x:v>1</x:v>
      </x:c>
      <x:c r="J113" s="13" t="str">
        <x:v>NONE</x:v>
      </x:c>
      <x:c r="K113" s="20" t="b">
        <x:v>0</x:v>
      </x:c>
      <x:c r="L113" s="13" t="str"/>
    </x:row>
    <x:row r="114" ht="53" customHeight="1">
      <x:c r="A114" s="14" t="str">
        <x:v>NAV-107</x:v>
      </x:c>
      <x:c r="B114" s="6" t="str">
        <x:v>USER</x:v>
      </x:c>
      <x:c r="C114" s="6" t="n">
        <x:v>6</x:v>
      </x:c>
      <x:c r="D114" s="6" t="n">
        <x:v>3</x:v>
      </x:c>
      <x:c r="E114" s="6" t="str">
        <x:v>/app/strategy/commercial-strategy-context</x:v>
      </x:c>
      <x:c r="F114" s="6" t="str">
        <x:v>Enterprise Strategy Manager &gt; Business Case &amp; Investment Development &gt; Commercial &amp; Contracting Strategy &gt; Commercial Context</x:v>
      </x:c>
      <x:c r="G114" s="6" t="str">
        <x:v>frontend/src/features/commercial-strategy/CommercialStrategyWorkspace.tsx</x:v>
      </x:c>
      <x:c r="H114" s="6" t="str">
        <x:v>USER_TRANSACTION</x:v>
      </x:c>
      <x:c r="I114" s="19" t="b">
        <x:v>1</x:v>
      </x:c>
      <x:c r="J114" s="6" t="str">
        <x:v>NONE</x:v>
      </x:c>
      <x:c r="K114" s="19" t="b">
        <x:v>0</x:v>
      </x:c>
      <x:c r="L114" s="6" t="str"/>
    </x:row>
    <x:row r="115" ht="53" customHeight="1">
      <x:c r="A115" s="15" t="str">
        <x:v>NAV-108</x:v>
      </x:c>
      <x:c r="B115" s="13" t="str">
        <x:v>USER</x:v>
      </x:c>
      <x:c r="C115" s="13" t="n">
        <x:v>6</x:v>
      </x:c>
      <x:c r="D115" s="13" t="n">
        <x:v>4</x:v>
      </x:c>
      <x:c r="E115" s="13" t="str">
        <x:v>/app/strategy/commercial-strategy-procurement</x:v>
      </x:c>
      <x:c r="F115" s="13" t="str">
        <x:v>Enterprise Strategy Manager &gt; Business Case &amp; Investment Development &gt; Commercial &amp; Contracting Strategy &gt; Procurement Approach</x:v>
      </x:c>
      <x:c r="G115" s="13" t="str">
        <x:v>frontend/src/features/commercial-strategy/CommercialStrategyWorkspace.tsx</x:v>
      </x:c>
      <x:c r="H115" s="13" t="str">
        <x:v>USER_TRANSACTION</x:v>
      </x:c>
      <x:c r="I115" s="20" t="b">
        <x:v>1</x:v>
      </x:c>
      <x:c r="J115" s="13" t="str">
        <x:v>NONE</x:v>
      </x:c>
      <x:c r="K115" s="20" t="b">
        <x:v>0</x:v>
      </x:c>
      <x:c r="L115" s="13" t="str"/>
    </x:row>
    <x:row r="116" ht="42" customHeight="1">
      <x:c r="A116" s="14" t="str">
        <x:v>NAV-109</x:v>
      </x:c>
      <x:c r="B116" s="6" t="str">
        <x:v>USER</x:v>
      </x:c>
      <x:c r="C116" s="6" t="n">
        <x:v>6</x:v>
      </x:c>
      <x:c r="D116" s="6" t="n">
        <x:v>5</x:v>
      </x:c>
      <x:c r="E116" s="6" t="str">
        <x:v>/app/strategy/commercial-strategy-packages</x:v>
      </x:c>
      <x:c r="F116" s="6" t="str">
        <x:v>Enterprise Strategy Manager &gt; Business Case &amp; Investment Development &gt; Commercial &amp; Contracting Strategy &gt; Packages</x:v>
      </x:c>
      <x:c r="G116" s="6" t="str">
        <x:v>frontend/src/features/commercial-strategy/CommercialStrategyWorkspace.tsx</x:v>
      </x:c>
      <x:c r="H116" s="6" t="str">
        <x:v>USER_TRANSACTION</x:v>
      </x:c>
      <x:c r="I116" s="19" t="b">
        <x:v>1</x:v>
      </x:c>
      <x:c r="J116" s="6" t="str">
        <x:v>NONE</x:v>
      </x:c>
      <x:c r="K116" s="19" t="b">
        <x:v>0</x:v>
      </x:c>
      <x:c r="L116" s="6" t="str"/>
    </x:row>
    <x:row r="117" ht="53" customHeight="1">
      <x:c r="A117" s="15" t="str">
        <x:v>NAV-110</x:v>
      </x:c>
      <x:c r="B117" s="13" t="str">
        <x:v>USER</x:v>
      </x:c>
      <x:c r="C117" s="13" t="n">
        <x:v>6</x:v>
      </x:c>
      <x:c r="D117" s="13" t="n">
        <x:v>6</x:v>
      </x:c>
      <x:c r="E117" s="13" t="str">
        <x:v>/app/strategy/commercial-strategy-contracting-model</x:v>
      </x:c>
      <x:c r="F117" s="13" t="str">
        <x:v>Enterprise Strategy Manager &gt; Business Case &amp; Investment Development &gt; Commercial &amp; Contracting Strategy &gt; Contracting Model</x:v>
      </x:c>
      <x:c r="G117" s="13" t="str">
        <x:v>frontend/src/features/commercial-strategy/CommercialStrategyWorkspace.tsx</x:v>
      </x:c>
      <x:c r="H117" s="13" t="str">
        <x:v>USER_TRANSACTION</x:v>
      </x:c>
      <x:c r="I117" s="20" t="b">
        <x:v>1</x:v>
      </x:c>
      <x:c r="J117" s="13" t="str">
        <x:v>NONE</x:v>
      </x:c>
      <x:c r="K117" s="20" t="b">
        <x:v>0</x:v>
      </x:c>
      <x:c r="L117" s="13" t="str"/>
    </x:row>
    <x:row r="118" ht="53" customHeight="1">
      <x:c r="A118" s="14" t="str">
        <x:v>NAV-111</x:v>
      </x:c>
      <x:c r="B118" s="6" t="str">
        <x:v>USER</x:v>
      </x:c>
      <x:c r="C118" s="6" t="n">
        <x:v>6</x:v>
      </x:c>
      <x:c r="D118" s="6" t="n">
        <x:v>7</x:v>
      </x:c>
      <x:c r="E118" s="6" t="str">
        <x:v>/app/strategy/commercial-strategy-market</x:v>
      </x:c>
      <x:c r="F118" s="6" t="str">
        <x:v>Enterprise Strategy Manager &gt; Business Case &amp; Investment Development &gt; Commercial &amp; Contracting Strategy &gt; Market Assessment</x:v>
      </x:c>
      <x:c r="G118" s="6" t="str">
        <x:v>frontend/src/features/commercial-strategy/CommercialStrategyWorkspace.tsx</x:v>
      </x:c>
      <x:c r="H118" s="6" t="str">
        <x:v>USER_TRANSACTION</x:v>
      </x:c>
      <x:c r="I118" s="19" t="b">
        <x:v>1</x:v>
      </x:c>
      <x:c r="J118" s="6" t="str">
        <x:v>NONE</x:v>
      </x:c>
      <x:c r="K118" s="19" t="b">
        <x:v>0</x:v>
      </x:c>
      <x:c r="L118" s="6" t="str"/>
    </x:row>
    <x:row r="119" ht="42" customHeight="1">
      <x:c r="A119" s="15" t="str">
        <x:v>NAV-112</x:v>
      </x:c>
      <x:c r="B119" s="13" t="str">
        <x:v>USER</x:v>
      </x:c>
      <x:c r="C119" s="13" t="n">
        <x:v>6</x:v>
      </x:c>
      <x:c r="D119" s="13" t="n">
        <x:v>8</x:v>
      </x:c>
      <x:c r="E119" s="13" t="str">
        <x:v>/app/strategy/commercial-strategy-supply-chain</x:v>
      </x:c>
      <x:c r="F119" s="13" t="str">
        <x:v>Enterprise Strategy Manager &gt; Business Case &amp; Investment Development &gt; Commercial &amp; Contracting Strategy &gt; Supply Chain</x:v>
      </x:c>
      <x:c r="G119" s="13" t="str">
        <x:v>frontend/src/features/commercial-strategy/CommercialStrategyWorkspace.tsx</x:v>
      </x:c>
      <x:c r="H119" s="13" t="str">
        <x:v>USER_TRANSACTION</x:v>
      </x:c>
      <x:c r="I119" s="20" t="b">
        <x:v>1</x:v>
      </x:c>
      <x:c r="J119" s="13" t="str">
        <x:v>NONE</x:v>
      </x:c>
      <x:c r="K119" s="20" t="b">
        <x:v>0</x:v>
      </x:c>
      <x:c r="L119" s="13" t="str"/>
    </x:row>
    <x:row r="120" ht="42" customHeight="1">
      <x:c r="A120" s="14" t="str">
        <x:v>NAV-113</x:v>
      </x:c>
      <x:c r="B120" s="6" t="str">
        <x:v>USER</x:v>
      </x:c>
      <x:c r="C120" s="6" t="n">
        <x:v>6</x:v>
      </x:c>
      <x:c r="D120" s="6" t="n">
        <x:v>9</x:v>
      </x:c>
      <x:c r="E120" s="6" t="str">
        <x:v>/app/strategy/commercial-strategy-risk-allocation</x:v>
      </x:c>
      <x:c r="F120" s="6" t="str">
        <x:v>Enterprise Strategy Manager &gt; Business Case &amp; Investment Development &gt; Commercial &amp; Contracting Strategy &gt; Risk Allocation</x:v>
      </x:c>
      <x:c r="G120" s="6" t="str">
        <x:v>frontend/src/features/commercial-strategy/CommercialStrategyWorkspace.tsx</x:v>
      </x:c>
      <x:c r="H120" s="6" t="str">
        <x:v>USER_TRANSACTION</x:v>
      </x:c>
      <x:c r="I120" s="19" t="b">
        <x:v>1</x:v>
      </x:c>
      <x:c r="J120" s="6" t="str">
        <x:v>NONE</x:v>
      </x:c>
      <x:c r="K120" s="19" t="b">
        <x:v>0</x:v>
      </x:c>
      <x:c r="L120" s="6" t="str"/>
    </x:row>
    <x:row r="121" ht="53" customHeight="1">
      <x:c r="A121" s="15" t="str">
        <x:v>NAV-114</x:v>
      </x:c>
      <x:c r="B121" s="13" t="str">
        <x:v>USER</x:v>
      </x:c>
      <x:c r="C121" s="13" t="n">
        <x:v>6</x:v>
      </x:c>
      <x:c r="D121" s="13" t="n">
        <x:v>10</x:v>
      </x:c>
      <x:c r="E121" s="13" t="str">
        <x:v>/app/strategy/commercial-strategy-payment-incentives</x:v>
      </x:c>
      <x:c r="F121" s="13" t="str">
        <x:v>Enterprise Strategy Manager &gt; Business Case &amp; Investment Development &gt; Commercial &amp; Contracting Strategy &gt; Payment &amp; Incentives</x:v>
      </x:c>
      <x:c r="G121" s="13" t="str">
        <x:v>frontend/src/features/commercial-strategy/CommercialStrategyWorkspace.tsx</x:v>
      </x:c>
      <x:c r="H121" s="13" t="str">
        <x:v>USER_TRANSACTION</x:v>
      </x:c>
      <x:c r="I121" s="20" t="b">
        <x:v>1</x:v>
      </x:c>
      <x:c r="J121" s="13" t="str">
        <x:v>NONE</x:v>
      </x:c>
      <x:c r="K121" s="20" t="b">
        <x:v>0</x:v>
      </x:c>
      <x:c r="L121" s="13" t="str"/>
    </x:row>
    <x:row r="122" ht="53" customHeight="1">
      <x:c r="A122" s="14" t="str">
        <x:v>NAV-115</x:v>
      </x:c>
      <x:c r="B122" s="6" t="str">
        <x:v>USER</x:v>
      </x:c>
      <x:c r="C122" s="6" t="n">
        <x:v>6</x:v>
      </x:c>
      <x:c r="D122" s="6" t="n">
        <x:v>11</x:v>
      </x:c>
      <x:c r="E122" s="6" t="str">
        <x:v>/app/strategy/commercial-strategy-assumptions</x:v>
      </x:c>
      <x:c r="F122" s="6" t="str">
        <x:v>Enterprise Strategy Manager &gt; Business Case &amp; Investment Development &gt; Commercial &amp; Contracting Strategy &gt; Assumptions / Constraints</x:v>
      </x:c>
      <x:c r="G122" s="6" t="str">
        <x:v>frontend/src/features/commercial-strategy/CommercialStrategyWorkspace.tsx</x:v>
      </x:c>
      <x:c r="H122" s="6" t="str">
        <x:v>USER_TRANSACTION</x:v>
      </x:c>
      <x:c r="I122" s="19" t="b">
        <x:v>1</x:v>
      </x:c>
      <x:c r="J122" s="6" t="str">
        <x:v>NONE</x:v>
      </x:c>
      <x:c r="K122" s="19" t="b">
        <x:v>0</x:v>
      </x:c>
      <x:c r="L122" s="6" t="str"/>
    </x:row>
    <x:row r="123" ht="42" customHeight="1">
      <x:c r="A123" s="15" t="str">
        <x:v>NAV-116</x:v>
      </x:c>
      <x:c r="B123" s="13" t="str">
        <x:v>USER</x:v>
      </x:c>
      <x:c r="C123" s="13" t="n">
        <x:v>6</x:v>
      </x:c>
      <x:c r="D123" s="13" t="n">
        <x:v>12</x:v>
      </x:c>
      <x:c r="E123" s="13" t="str">
        <x:v>/app/strategy/commercial-strategy-recommendation</x:v>
      </x:c>
      <x:c r="F123" s="13" t="str">
        <x:v>Enterprise Strategy Manager &gt; Business Case &amp; Investment Development &gt; Commercial &amp; Contracting Strategy &gt; Recommendation</x:v>
      </x:c>
      <x:c r="G123" s="13" t="str">
        <x:v>frontend/src/features/commercial-strategy/CommercialStrategyWorkspace.tsx</x:v>
      </x:c>
      <x:c r="H123" s="13" t="str">
        <x:v>USER_TRANSACTION</x:v>
      </x:c>
      <x:c r="I123" s="20" t="b">
        <x:v>1</x:v>
      </x:c>
      <x:c r="J123" s="13" t="str">
        <x:v>NONE</x:v>
      </x:c>
      <x:c r="K123" s="20" t="b">
        <x:v>0</x:v>
      </x:c>
      <x:c r="L123" s="13" t="str"/>
    </x:row>
    <x:row r="124" ht="42" customHeight="1">
      <x:c r="A124" s="14" t="str">
        <x:v>NAV-117</x:v>
      </x:c>
      <x:c r="B124" s="6" t="str">
        <x:v>USER</x:v>
      </x:c>
      <x:c r="C124" s="6" t="n">
        <x:v>6</x:v>
      </x:c>
      <x:c r="D124" s="6" t="n">
        <x:v>13</x:v>
      </x:c>
      <x:c r="E124" s="6" t="str">
        <x:v>/app/strategy/commercial-strategy-readiness</x:v>
      </x:c>
      <x:c r="F124" s="6" t="str">
        <x:v>Enterprise Strategy Manager &gt; Business Case &amp; Investment Development &gt; Commercial &amp; Contracting Strategy &gt; Readiness</x:v>
      </x:c>
      <x:c r="G124" s="6" t="str">
        <x:v>frontend/src/features/commercial-strategy/CommercialStrategyWorkspace.tsx</x:v>
      </x:c>
      <x:c r="H124" s="6" t="str">
        <x:v>USER_TRANSACTION</x:v>
      </x:c>
      <x:c r="I124" s="19" t="b">
        <x:v>1</x:v>
      </x:c>
      <x:c r="J124" s="6" t="str">
        <x:v>NONE</x:v>
      </x:c>
      <x:c r="K124" s="19" t="b">
        <x:v>0</x:v>
      </x:c>
      <x:c r="L124" s="6" t="str"/>
    </x:row>
    <x:row r="125" ht="42" customHeight="1">
      <x:c r="A125" s="15" t="str">
        <x:v>NAV-118</x:v>
      </x:c>
      <x:c r="B125" s="13" t="str">
        <x:v>USER</x:v>
      </x:c>
      <x:c r="C125" s="13" t="n">
        <x:v>6</x:v>
      </x:c>
      <x:c r="D125" s="13" t="n">
        <x:v>14</x:v>
      </x:c>
      <x:c r="E125" s="13" t="str">
        <x:v>/app/strategy/commercial-strategy-history</x:v>
      </x:c>
      <x:c r="F125" s="13" t="str">
        <x:v>Enterprise Strategy Manager &gt; Business Case &amp; Investment Development &gt; Commercial &amp; Contracting Strategy &gt; History</x:v>
      </x:c>
      <x:c r="G125" s="13" t="str">
        <x:v>frontend/src/features/commercial-strategy/CommercialStrategyWorkspace.tsx</x:v>
      </x:c>
      <x:c r="H125" s="13" t="str">
        <x:v>USER_TRANSACTION</x:v>
      </x:c>
      <x:c r="I125" s="20" t="b">
        <x:v>1</x:v>
      </x:c>
      <x:c r="J125" s="13" t="str">
        <x:v>NONE</x:v>
      </x:c>
      <x:c r="K125" s="20" t="b">
        <x:v>0</x:v>
      </x:c>
      <x:c r="L125" s="13" t="str"/>
    </x:row>
    <x:row r="126" ht="42" customHeight="1">
      <x:c r="A126" s="14" t="str">
        <x:v>NAV-119</x:v>
      </x:c>
      <x:c r="B126" s="6" t="str">
        <x:v>USER</x:v>
      </x:c>
      <x:c r="C126" s="6" t="n">
        <x:v>6</x:v>
      </x:c>
      <x:c r="D126" s="6" t="n">
        <x:v>1</x:v>
      </x:c>
      <x:c r="E126" s="6" t="str">
        <x:v>/app/strategy/funds-overview</x:v>
      </x:c>
      <x:c r="F126" s="6" t="str">
        <x:v>Enterprise Strategy Manager &gt; Business Case &amp; Investment Development &gt; Funds &amp; Funding Readiness &gt; Overview</x:v>
      </x:c>
      <x:c r="G126" s="6" t="str">
        <x:v>frontend/src/features/funds-manager/FundsManagerWorkspace.tsx</x:v>
      </x:c>
      <x:c r="H126" s="6" t="str">
        <x:v>USER_TRANSACTION</x:v>
      </x:c>
      <x:c r="I126" s="19" t="b">
        <x:v>1</x:v>
      </x:c>
      <x:c r="J126" s="6" t="str">
        <x:v>ANCESTOR_LANDING_ALIAS_SAME_ROUTE</x:v>
      </x:c>
      <x:c r="K126" s="19" t="b">
        <x:v>0</x:v>
      </x:c>
      <x:c r="L126" s="6" t="str"/>
    </x:row>
    <x:row r="127" ht="42" customHeight="1">
      <x:c r="A127" s="15" t="str">
        <x:v>NAV-120</x:v>
      </x:c>
      <x:c r="B127" s="13" t="str">
        <x:v>USER</x:v>
      </x:c>
      <x:c r="C127" s="13" t="n">
        <x:v>6</x:v>
      </x:c>
      <x:c r="D127" s="13" t="n">
        <x:v>2</x:v>
      </x:c>
      <x:c r="E127" s="13" t="str">
        <x:v>/app/strategy/funds-sources</x:v>
      </x:c>
      <x:c r="F127" s="13" t="str">
        <x:v>Enterprise Strategy Manager &gt; Business Case &amp; Investment Development &gt; Funds &amp; Funding Readiness &gt; Funding Sources</x:v>
      </x:c>
      <x:c r="G127" s="13" t="str">
        <x:v>frontend/src/features/funds-manager/FundsManagerWorkspace.tsx</x:v>
      </x:c>
      <x:c r="H127" s="13" t="str">
        <x:v>USER_TRANSACTION</x:v>
      </x:c>
      <x:c r="I127" s="20" t="b">
        <x:v>1</x:v>
      </x:c>
      <x:c r="J127" s="13" t="str">
        <x:v>NONE</x:v>
      </x:c>
      <x:c r="K127" s="20" t="b">
        <x:v>0</x:v>
      </x:c>
      <x:c r="L127" s="13" t="str"/>
    </x:row>
    <x:row r="128" ht="42" customHeight="1">
      <x:c r="A128" s="14" t="str">
        <x:v>NAV-121</x:v>
      </x:c>
      <x:c r="B128" s="6" t="str">
        <x:v>USER</x:v>
      </x:c>
      <x:c r="C128" s="6" t="n">
        <x:v>6</x:v>
      </x:c>
      <x:c r="D128" s="6" t="n">
        <x:v>3</x:v>
      </x:c>
      <x:c r="E128" s="6" t="str">
        <x:v>/app/strategy/funds-envelopes</x:v>
      </x:c>
      <x:c r="F128" s="6" t="str">
        <x:v>Enterprise Strategy Manager &gt; Business Case &amp; Investment Development &gt; Funds &amp; Funding Readiness &gt; Funds</x:v>
      </x:c>
      <x:c r="G128" s="6" t="str">
        <x:v>frontend/src/features/funds-manager/FundsManagerWorkspace.tsx</x:v>
      </x:c>
      <x:c r="H128" s="6" t="str">
        <x:v>USER_TRANSACTION</x:v>
      </x:c>
      <x:c r="I128" s="19" t="b">
        <x:v>1</x:v>
      </x:c>
      <x:c r="J128" s="6" t="str">
        <x:v>NONE</x:v>
      </x:c>
      <x:c r="K128" s="19" t="b">
        <x:v>0</x:v>
      </x:c>
      <x:c r="L128" s="6" t="str"/>
    </x:row>
    <x:row r="129" ht="42" customHeight="1">
      <x:c r="A129" s="15" t="str">
        <x:v>NAV-122</x:v>
      </x:c>
      <x:c r="B129" s="13" t="str">
        <x:v>USER</x:v>
      </x:c>
      <x:c r="C129" s="13" t="n">
        <x:v>6</x:v>
      </x:c>
      <x:c r="D129" s="13" t="n">
        <x:v>4</x:v>
      </x:c>
      <x:c r="E129" s="13" t="str">
        <x:v>/app/strategy/funds-assignments</x:v>
      </x:c>
      <x:c r="F129" s="13" t="str">
        <x:v>Enterprise Strategy Manager &gt; Business Case &amp; Investment Development &gt; Funds &amp; Funding Readiness &gt; Funding Assignments</x:v>
      </x:c>
      <x:c r="G129" s="13" t="str">
        <x:v>frontend/src/features/funds-manager/FundsManagerWorkspace.tsx</x:v>
      </x:c>
      <x:c r="H129" s="13" t="str">
        <x:v>USER_TRANSACTION</x:v>
      </x:c>
      <x:c r="I129" s="20" t="b">
        <x:v>1</x:v>
      </x:c>
      <x:c r="J129" s="13" t="str">
        <x:v>NONE</x:v>
      </x:c>
      <x:c r="K129" s="20" t="b">
        <x:v>0</x:v>
      </x:c>
      <x:c r="L129" s="13" t="str"/>
    </x:row>
    <x:row r="130" ht="42" customHeight="1">
      <x:c r="A130" s="14" t="str">
        <x:v>NAV-123</x:v>
      </x:c>
      <x:c r="B130" s="6" t="str">
        <x:v>USER</x:v>
      </x:c>
      <x:c r="C130" s="6" t="n">
        <x:v>6</x:v>
      </x:c>
      <x:c r="D130" s="6" t="n">
        <x:v>5</x:v>
      </x:c>
      <x:c r="E130" s="6" t="str">
        <x:v>/app/strategy/funds-coverage</x:v>
      </x:c>
      <x:c r="F130" s="6" t="str">
        <x:v>Enterprise Strategy Manager &gt; Business Case &amp; Investment Development &gt; Funds &amp; Funding Readiness &gt; Funding Coverage</x:v>
      </x:c>
      <x:c r="G130" s="6" t="str">
        <x:v>frontend/src/features/funds-manager/FundsManagerWorkspace.tsx</x:v>
      </x:c>
      <x:c r="H130" s="6" t="str">
        <x:v>USER_TRANSACTION</x:v>
      </x:c>
      <x:c r="I130" s="19" t="b">
        <x:v>1</x:v>
      </x:c>
      <x:c r="J130" s="6" t="str">
        <x:v>NONE</x:v>
      </x:c>
      <x:c r="K130" s="19" t="b">
        <x:v>0</x:v>
      </x:c>
      <x:c r="L130" s="6" t="str"/>
    </x:row>
    <x:row r="131" ht="42" customHeight="1">
      <x:c r="A131" s="15" t="str">
        <x:v>NAV-124</x:v>
      </x:c>
      <x:c r="B131" s="13" t="str">
        <x:v>USER</x:v>
      </x:c>
      <x:c r="C131" s="13" t="n">
        <x:v>6</x:v>
      </x:c>
      <x:c r="D131" s="13" t="n">
        <x:v>6</x:v>
      </x:c>
      <x:c r="E131" s="13" t="str">
        <x:v>/app/strategy/funds-readiness</x:v>
      </x:c>
      <x:c r="F131" s="13" t="str">
        <x:v>Enterprise Strategy Manager &gt; Business Case &amp; Investment Development &gt; Funds &amp; Funding Readiness &gt; Funding Readiness</x:v>
      </x:c>
      <x:c r="G131" s="13" t="str">
        <x:v>frontend/src/features/funds-manager/FundsManagerWorkspace.tsx</x:v>
      </x:c>
      <x:c r="H131" s="13" t="str">
        <x:v>USER_TRANSACTION</x:v>
      </x:c>
      <x:c r="I131" s="20" t="b">
        <x:v>1</x:v>
      </x:c>
      <x:c r="J131" s="13" t="str">
        <x:v>NONE</x:v>
      </x:c>
      <x:c r="K131" s="20" t="b">
        <x:v>0</x:v>
      </x:c>
      <x:c r="L131" s="13" t="str"/>
    </x:row>
    <x:row r="132" ht="42" customHeight="1">
      <x:c r="A132" s="14" t="str">
        <x:v>NAV-125</x:v>
      </x:c>
      <x:c r="B132" s="6" t="str">
        <x:v>USER</x:v>
      </x:c>
      <x:c r="C132" s="6" t="n">
        <x:v>6</x:v>
      </x:c>
      <x:c r="D132" s="6" t="n">
        <x:v>7</x:v>
      </x:c>
      <x:c r="E132" s="6" t="str">
        <x:v>/app/strategy/funds-history</x:v>
      </x:c>
      <x:c r="F132" s="6" t="str">
        <x:v>Enterprise Strategy Manager &gt; Business Case &amp; Investment Development &gt; Funds &amp; Funding Readiness &gt; History / Audit</x:v>
      </x:c>
      <x:c r="G132" s="6" t="str">
        <x:v>frontend/src/features/funds-manager/FundsManagerWorkspace.tsx</x:v>
      </x:c>
      <x:c r="H132" s="6" t="str">
        <x:v>USER_TRANSACTION</x:v>
      </x:c>
      <x:c r="I132" s="19" t="b">
        <x:v>1</x:v>
      </x:c>
      <x:c r="J132" s="6" t="str">
        <x:v>NONE</x:v>
      </x:c>
      <x:c r="K132" s="19" t="b">
        <x:v>0</x:v>
      </x:c>
      <x:c r="L132" s="6" t="str"/>
    </x:row>
    <x:row r="133" ht="42" customHeight="1">
      <x:c r="A133" s="15" t="str">
        <x:v>NAV-126</x:v>
      </x:c>
      <x:c r="B133" s="13" t="str">
        <x:v>USER</x:v>
      </x:c>
      <x:c r="C133" s="13" t="n">
        <x:v>6</x:v>
      </x:c>
      <x:c r="D133" s="13" t="n">
        <x:v>1</x:v>
      </x:c>
      <x:c r="E133" s="13" t="str">
        <x:v>/app/strategy/financial-model-my-models</x:v>
      </x:c>
      <x:c r="F133" s="13" t="str">
        <x:v>Enterprise Strategy Manager &gt; Business Case &amp; Investment Development &gt; Economic &amp; Financial Model &gt; My Models</x:v>
      </x:c>
      <x:c r="G133" s="13" t="str">
        <x:v>frontend/src/features/economic-financial-model/EconomicFinancialModelWorkspace.tsx</x:v>
      </x:c>
      <x:c r="H133" s="13" t="str">
        <x:v>USER_TRANSACTION</x:v>
      </x:c>
      <x:c r="I133" s="20" t="b">
        <x:v>1</x:v>
      </x:c>
      <x:c r="J133" s="13" t="str">
        <x:v>ANCESTOR_LANDING_ALIAS_SAME_ROUTE</x:v>
      </x:c>
      <x:c r="K133" s="20" t="b">
        <x:v>0</x:v>
      </x:c>
      <x:c r="L133" s="13" t="str"/>
    </x:row>
    <x:row r="134" ht="42" customHeight="1">
      <x:c r="A134" s="14" t="str">
        <x:v>NAV-127</x:v>
      </x:c>
      <x:c r="B134" s="6" t="str">
        <x:v>USER</x:v>
      </x:c>
      <x:c r="C134" s="6" t="n">
        <x:v>6</x:v>
      </x:c>
      <x:c r="D134" s="6" t="n">
        <x:v>2</x:v>
      </x:c>
      <x:c r="E134" s="6" t="str">
        <x:v>/app/strategy/financial-model-overview</x:v>
      </x:c>
      <x:c r="F134" s="6" t="str">
        <x:v>Enterprise Strategy Manager &gt; Business Case &amp; Investment Development &gt; Economic &amp; Financial Model &gt; Overview</x:v>
      </x:c>
      <x:c r="G134" s="6" t="str">
        <x:v>frontend/src/features/economic-financial-model/EconomicFinancialModelWorkspace.tsx</x:v>
      </x:c>
      <x:c r="H134" s="6" t="str">
        <x:v>USER_TRANSACTION</x:v>
      </x:c>
      <x:c r="I134" s="19" t="b">
        <x:v>1</x:v>
      </x:c>
      <x:c r="J134" s="6" t="str">
        <x:v>NONE</x:v>
      </x:c>
      <x:c r="K134" s="19" t="b">
        <x:v>0</x:v>
      </x:c>
      <x:c r="L134" s="6" t="str"/>
    </x:row>
    <x:row r="135" ht="42" customHeight="1">
      <x:c r="A135" s="15" t="str">
        <x:v>NAV-128</x:v>
      </x:c>
      <x:c r="B135" s="13" t="str">
        <x:v>USER</x:v>
      </x:c>
      <x:c r="C135" s="13" t="n">
        <x:v>6</x:v>
      </x:c>
      <x:c r="D135" s="13" t="n">
        <x:v>3</x:v>
      </x:c>
      <x:c r="E135" s="13" t="str">
        <x:v>/app/strategy/financial-model-current-version</x:v>
      </x:c>
      <x:c r="F135" s="13" t="str">
        <x:v>Enterprise Strategy Manager &gt; Business Case &amp; Investment Development &gt; Economic &amp; Financial Model &gt; Current Version</x:v>
      </x:c>
      <x:c r="G135" s="13" t="str">
        <x:v>frontend/src/features/economic-financial-model/EconomicFinancialModelWorkspace.tsx</x:v>
      </x:c>
      <x:c r="H135" s="13" t="str">
        <x:v>USER_TRANSACTION</x:v>
      </x:c>
      <x:c r="I135" s="20" t="b">
        <x:v>1</x:v>
      </x:c>
      <x:c r="J135" s="13" t="str">
        <x:v>NONE</x:v>
      </x:c>
      <x:c r="K135" s="20" t="b">
        <x:v>0</x:v>
      </x:c>
      <x:c r="L135" s="13" t="str"/>
    </x:row>
    <x:row r="136" ht="42" customHeight="1">
      <x:c r="A136" s="14" t="str">
        <x:v>NAV-129</x:v>
      </x:c>
      <x:c r="B136" s="6" t="str">
        <x:v>USER</x:v>
      </x:c>
      <x:c r="C136" s="6" t="n">
        <x:v>6</x:v>
      </x:c>
      <x:c r="D136" s="6" t="n">
        <x:v>4</x:v>
      </x:c>
      <x:c r="E136" s="6" t="str">
        <x:v>/app/strategy/financial-model-assumptions</x:v>
      </x:c>
      <x:c r="F136" s="6" t="str">
        <x:v>Enterprise Strategy Manager &gt; Business Case &amp; Investment Development &gt; Economic &amp; Financial Model &gt; Assumptions</x:v>
      </x:c>
      <x:c r="G136" s="6" t="str">
        <x:v>frontend/src/features/economic-financial-model/EconomicFinancialModelWorkspace.tsx</x:v>
      </x:c>
      <x:c r="H136" s="6" t="str">
        <x:v>USER_TRANSACTION</x:v>
      </x:c>
      <x:c r="I136" s="19" t="b">
        <x:v>1</x:v>
      </x:c>
      <x:c r="J136" s="6" t="str">
        <x:v>NONE</x:v>
      </x:c>
      <x:c r="K136" s="19" t="b">
        <x:v>0</x:v>
      </x:c>
      <x:c r="L136" s="6" t="str"/>
    </x:row>
    <x:row r="137" ht="42" customHeight="1">
      <x:c r="A137" s="15" t="str">
        <x:v>NAV-130</x:v>
      </x:c>
      <x:c r="B137" s="13" t="str">
        <x:v>USER</x:v>
      </x:c>
      <x:c r="C137" s="13" t="n">
        <x:v>6</x:v>
      </x:c>
      <x:c r="D137" s="13" t="n">
        <x:v>5</x:v>
      </x:c>
      <x:c r="E137" s="13" t="str">
        <x:v>/app/strategy/financial-model-economic-case</x:v>
      </x:c>
      <x:c r="F137" s="13" t="str">
        <x:v>Enterprise Strategy Manager &gt; Business Case &amp; Investment Development &gt; Economic &amp; Financial Model &gt; Economic Case</x:v>
      </x:c>
      <x:c r="G137" s="13" t="str">
        <x:v>frontend/src/features/economic-financial-model/EconomicFinancialModelWorkspace.tsx</x:v>
      </x:c>
      <x:c r="H137" s="13" t="str">
        <x:v>USER_TRANSACTION</x:v>
      </x:c>
      <x:c r="I137" s="20" t="b">
        <x:v>1</x:v>
      </x:c>
      <x:c r="J137" s="13" t="str">
        <x:v>NONE</x:v>
      </x:c>
      <x:c r="K137" s="20" t="b">
        <x:v>0</x:v>
      </x:c>
      <x:c r="L137" s="13" t="str"/>
    </x:row>
    <x:row r="138" ht="42" customHeight="1">
      <x:c r="A138" s="14" t="str">
        <x:v>NAV-131</x:v>
      </x:c>
      <x:c r="B138" s="6" t="str">
        <x:v>USER</x:v>
      </x:c>
      <x:c r="C138" s="6" t="n">
        <x:v>6</x:v>
      </x:c>
      <x:c r="D138" s="6" t="n">
        <x:v>6</x:v>
      </x:c>
      <x:c r="E138" s="6" t="str">
        <x:v>/app/strategy/financial-model-financial-case</x:v>
      </x:c>
      <x:c r="F138" s="6" t="str">
        <x:v>Enterprise Strategy Manager &gt; Business Case &amp; Investment Development &gt; Economic &amp; Financial Model &gt; Financial Case</x:v>
      </x:c>
      <x:c r="G138" s="6" t="str">
        <x:v>frontend/src/features/economic-financial-model/EconomicFinancialModelWorkspace.tsx</x:v>
      </x:c>
      <x:c r="H138" s="6" t="str">
        <x:v>USER_TRANSACTION</x:v>
      </x:c>
      <x:c r="I138" s="19" t="b">
        <x:v>1</x:v>
      </x:c>
      <x:c r="J138" s="6" t="str">
        <x:v>NONE</x:v>
      </x:c>
      <x:c r="K138" s="19" t="b">
        <x:v>0</x:v>
      </x:c>
      <x:c r="L138" s="6" t="str"/>
    </x:row>
    <x:row r="139" ht="42" customHeight="1">
      <x:c r="A139" s="15" t="str">
        <x:v>NAV-132</x:v>
      </x:c>
      <x:c r="B139" s="13" t="str">
        <x:v>USER</x:v>
      </x:c>
      <x:c r="C139" s="13" t="n">
        <x:v>6</x:v>
      </x:c>
      <x:c r="D139" s="13" t="n">
        <x:v>7</x:v>
      </x:c>
      <x:c r="E139" s="13" t="str">
        <x:v>/app/strategy/financial-model-capex-opex</x:v>
      </x:c>
      <x:c r="F139" s="13" t="str">
        <x:v>Enterprise Strategy Manager &gt; Business Case &amp; Investment Development &gt; Economic &amp; Financial Model &gt; CAPEX / OPEX</x:v>
      </x:c>
      <x:c r="G139" s="13" t="str">
        <x:v>frontend/src/features/economic-financial-model/EconomicFinancialModelWorkspace.tsx</x:v>
      </x:c>
      <x:c r="H139" s="13" t="str">
        <x:v>USER_TRANSACTION</x:v>
      </x:c>
      <x:c r="I139" s="20" t="b">
        <x:v>1</x:v>
      </x:c>
      <x:c r="J139" s="13" t="str">
        <x:v>NONE</x:v>
      </x:c>
      <x:c r="K139" s="20" t="b">
        <x:v>0</x:v>
      </x:c>
      <x:c r="L139" s="13" t="str"/>
    </x:row>
    <x:row r="140" ht="42" customHeight="1">
      <x:c r="A140" s="14" t="str">
        <x:v>NAV-133</x:v>
      </x:c>
      <x:c r="B140" s="6" t="str">
        <x:v>USER</x:v>
      </x:c>
      <x:c r="C140" s="6" t="n">
        <x:v>6</x:v>
      </x:c>
      <x:c r="D140" s="6" t="n">
        <x:v>8</x:v>
      </x:c>
      <x:c r="E140" s="6" t="str">
        <x:v>/app/strategy/financial-model-revenue-benefits</x:v>
      </x:c>
      <x:c r="F140" s="6" t="str">
        <x:v>Enterprise Strategy Manager &gt; Business Case &amp; Investment Development &gt; Economic &amp; Financial Model &gt; Revenue / Benefits</x:v>
      </x:c>
      <x:c r="G140" s="6" t="str">
        <x:v>frontend/src/features/economic-financial-model/EconomicFinancialModelWorkspace.tsx</x:v>
      </x:c>
      <x:c r="H140" s="6" t="str">
        <x:v>USER_TRANSACTION</x:v>
      </x:c>
      <x:c r="I140" s="19" t="b">
        <x:v>1</x:v>
      </x:c>
      <x:c r="J140" s="6" t="str">
        <x:v>NONE</x:v>
      </x:c>
      <x:c r="K140" s="19" t="b">
        <x:v>0</x:v>
      </x:c>
      <x:c r="L140" s="6" t="str"/>
    </x:row>
    <x:row r="141" ht="42" customHeight="1">
      <x:c r="A141" s="15" t="str">
        <x:v>NAV-134</x:v>
      </x:c>
      <x:c r="B141" s="13" t="str">
        <x:v>USER</x:v>
      </x:c>
      <x:c r="C141" s="13" t="n">
        <x:v>6</x:v>
      </x:c>
      <x:c r="D141" s="13" t="n">
        <x:v>9</x:v>
      </x:c>
      <x:c r="E141" s="13" t="str">
        <x:v>/app/strategy/financial-model-capital-structure</x:v>
      </x:c>
      <x:c r="F141" s="13" t="str">
        <x:v>Enterprise Strategy Manager &gt; Business Case &amp; Investment Development &gt; Economic &amp; Financial Model &gt; Capital Structure</x:v>
      </x:c>
      <x:c r="G141" s="13" t="str">
        <x:v>frontend/src/features/economic-financial-model/EconomicFinancialModelWorkspace.tsx</x:v>
      </x:c>
      <x:c r="H141" s="13" t="str">
        <x:v>USER_TRANSACTION</x:v>
      </x:c>
      <x:c r="I141" s="20" t="b">
        <x:v>1</x:v>
      </x:c>
      <x:c r="J141" s="13" t="str">
        <x:v>NONE</x:v>
      </x:c>
      <x:c r="K141" s="20" t="b">
        <x:v>0</x:v>
      </x:c>
      <x:c r="L141" s="13" t="str"/>
    </x:row>
    <x:row r="142" ht="42" customHeight="1">
      <x:c r="A142" s="14" t="str">
        <x:v>NAV-135</x:v>
      </x:c>
      <x:c r="B142" s="6" t="str">
        <x:v>USER</x:v>
      </x:c>
      <x:c r="C142" s="6" t="n">
        <x:v>6</x:v>
      </x:c>
      <x:c r="D142" s="6" t="n">
        <x:v>10</x:v>
      </x:c>
      <x:c r="E142" s="6" t="str">
        <x:v>/app/strategy/financial-model-funding-linkage</x:v>
      </x:c>
      <x:c r="F142" s="6" t="str">
        <x:v>Enterprise Strategy Manager &gt; Business Case &amp; Investment Development &gt; Economic &amp; Financial Model &gt; Funding Linkage</x:v>
      </x:c>
      <x:c r="G142" s="6" t="str">
        <x:v>frontend/src/features/economic-financial-model/EconomicFinancialModelWorkspace.tsx</x:v>
      </x:c>
      <x:c r="H142" s="6" t="str">
        <x:v>USER_TRANSACTION</x:v>
      </x:c>
      <x:c r="I142" s="19" t="b">
        <x:v>1</x:v>
      </x:c>
      <x:c r="J142" s="6" t="str">
        <x:v>NONE</x:v>
      </x:c>
      <x:c r="K142" s="19" t="b">
        <x:v>0</x:v>
      </x:c>
      <x:c r="L142" s="6" t="str"/>
    </x:row>
    <x:row r="143" ht="42" customHeight="1">
      <x:c r="A143" s="15" t="str">
        <x:v>NAV-136</x:v>
      </x:c>
      <x:c r="B143" s="13" t="str">
        <x:v>USER</x:v>
      </x:c>
      <x:c r="C143" s="13" t="n">
        <x:v>6</x:v>
      </x:c>
      <x:c r="D143" s="13" t="n">
        <x:v>11</x:v>
      </x:c>
      <x:c r="E143" s="13" t="str">
        <x:v>/app/strategy/financial-model-investors</x:v>
      </x:c>
      <x:c r="F143" s="13" t="str">
        <x:v>Enterprise Strategy Manager &gt; Business Case &amp; Investment Development &gt; Economic &amp; Financial Model &gt; Investors</x:v>
      </x:c>
      <x:c r="G143" s="13" t="str">
        <x:v>frontend/src/features/economic-financial-model/EconomicFinancialModelWorkspace.tsx</x:v>
      </x:c>
      <x:c r="H143" s="13" t="str">
        <x:v>USER_TRANSACTION</x:v>
      </x:c>
      <x:c r="I143" s="20" t="b">
        <x:v>1</x:v>
      </x:c>
      <x:c r="J143" s="13" t="str">
        <x:v>NONE</x:v>
      </x:c>
      <x:c r="K143" s="20" t="b">
        <x:v>0</x:v>
      </x:c>
      <x:c r="L143" s="13" t="str"/>
    </x:row>
    <x:row r="144" ht="42" customHeight="1">
      <x:c r="A144" s="14" t="str">
        <x:v>NAV-137</x:v>
      </x:c>
      <x:c r="B144" s="6" t="str">
        <x:v>USER</x:v>
      </x:c>
      <x:c r="C144" s="6" t="n">
        <x:v>6</x:v>
      </x:c>
      <x:c r="D144" s="6" t="n">
        <x:v>12</x:v>
      </x:c>
      <x:c r="E144" s="6" t="str">
        <x:v>/app/strategy/financial-model-debt</x:v>
      </x:c>
      <x:c r="F144" s="6" t="str">
        <x:v>Enterprise Strategy Manager &gt; Business Case &amp; Investment Development &gt; Economic &amp; Financial Model &gt; Debt</x:v>
      </x:c>
      <x:c r="G144" s="6" t="str">
        <x:v>frontend/src/features/economic-financial-model/EconomicFinancialModelWorkspace.tsx</x:v>
      </x:c>
      <x:c r="H144" s="6" t="str">
        <x:v>USER_TRANSACTION</x:v>
      </x:c>
      <x:c r="I144" s="19" t="b">
        <x:v>1</x:v>
      </x:c>
      <x:c r="J144" s="6" t="str">
        <x:v>NONE</x:v>
      </x:c>
      <x:c r="K144" s="19" t="b">
        <x:v>0</x:v>
      </x:c>
      <x:c r="L144" s="6" t="str"/>
    </x:row>
    <x:row r="145" ht="42" customHeight="1">
      <x:c r="A145" s="15" t="str">
        <x:v>NAV-138</x:v>
      </x:c>
      <x:c r="B145" s="13" t="str">
        <x:v>USER</x:v>
      </x:c>
      <x:c r="C145" s="13" t="n">
        <x:v>6</x:v>
      </x:c>
      <x:c r="D145" s="13" t="n">
        <x:v>13</x:v>
      </x:c>
      <x:c r="E145" s="13" t="str">
        <x:v>/app/strategy/financial-model-cash-flow</x:v>
      </x:c>
      <x:c r="F145" s="13" t="str">
        <x:v>Enterprise Strategy Manager &gt; Business Case &amp; Investment Development &gt; Economic &amp; Financial Model &gt; Cash Flow</x:v>
      </x:c>
      <x:c r="G145" s="13" t="str">
        <x:v>frontend/src/features/economic-financial-model/EconomicFinancialModelWorkspace.tsx</x:v>
      </x:c>
      <x:c r="H145" s="13" t="str">
        <x:v>USER_TRANSACTION</x:v>
      </x:c>
      <x:c r="I145" s="20" t="b">
        <x:v>1</x:v>
      </x:c>
      <x:c r="J145" s="13" t="str">
        <x:v>NONE</x:v>
      </x:c>
      <x:c r="K145" s="20" t="b">
        <x:v>0</x:v>
      </x:c>
      <x:c r="L145" s="13" t="str"/>
    </x:row>
    <x:row r="146" ht="42" customHeight="1">
      <x:c r="A146" s="14" t="str">
        <x:v>NAV-139</x:v>
      </x:c>
      <x:c r="B146" s="6" t="str">
        <x:v>USER</x:v>
      </x:c>
      <x:c r="C146" s="6" t="n">
        <x:v>6</x:v>
      </x:c>
      <x:c r="D146" s="6" t="n">
        <x:v>14</x:v>
      </x:c>
      <x:c r="E146" s="6" t="str">
        <x:v>/app/strategy/financial-model-debt-service</x:v>
      </x:c>
      <x:c r="F146" s="6" t="str">
        <x:v>Enterprise Strategy Manager &gt; Business Case &amp; Investment Development &gt; Economic &amp; Financial Model &gt; Debt Service</x:v>
      </x:c>
      <x:c r="G146" s="6" t="str">
        <x:v>frontend/src/features/economic-financial-model/EconomicFinancialModelWorkspace.tsx</x:v>
      </x:c>
      <x:c r="H146" s="6" t="str">
        <x:v>USER_TRANSACTION</x:v>
      </x:c>
      <x:c r="I146" s="19" t="b">
        <x:v>1</x:v>
      </x:c>
      <x:c r="J146" s="6" t="str">
        <x:v>NONE</x:v>
      </x:c>
      <x:c r="K146" s="19" t="b">
        <x:v>0</x:v>
      </x:c>
      <x:c r="L146" s="6" t="str"/>
    </x:row>
    <x:row r="147" ht="42" customHeight="1">
      <x:c r="A147" s="15" t="str">
        <x:v>NAV-140</x:v>
      </x:c>
      <x:c r="B147" s="13" t="str">
        <x:v>USER</x:v>
      </x:c>
      <x:c r="C147" s="13" t="n">
        <x:v>6</x:v>
      </x:c>
      <x:c r="D147" s="13" t="n">
        <x:v>15</x:v>
      </x:c>
      <x:c r="E147" s="13" t="str">
        <x:v>/app/strategy/financial-model-indicators</x:v>
      </x:c>
      <x:c r="F147" s="13" t="str">
        <x:v>Enterprise Strategy Manager &gt; Business Case &amp; Investment Development &gt; Economic &amp; Financial Model &gt; Indicators</x:v>
      </x:c>
      <x:c r="G147" s="13" t="str">
        <x:v>frontend/src/features/economic-financial-model/EconomicFinancialModelWorkspace.tsx</x:v>
      </x:c>
      <x:c r="H147" s="13" t="str">
        <x:v>USER_TRANSACTION</x:v>
      </x:c>
      <x:c r="I147" s="20" t="b">
        <x:v>1</x:v>
      </x:c>
      <x:c r="J147" s="13" t="str">
        <x:v>NONE</x:v>
      </x:c>
      <x:c r="K147" s="20" t="b">
        <x:v>0</x:v>
      </x:c>
      <x:c r="L147" s="13" t="str"/>
    </x:row>
    <x:row r="148" ht="42" customHeight="1">
      <x:c r="A148" s="14" t="str">
        <x:v>NAV-141</x:v>
      </x:c>
      <x:c r="B148" s="6" t="str">
        <x:v>USER</x:v>
      </x:c>
      <x:c r="C148" s="6" t="n">
        <x:v>6</x:v>
      </x:c>
      <x:c r="D148" s="6" t="n">
        <x:v>16</x:v>
      </x:c>
      <x:c r="E148" s="6" t="str">
        <x:v>/app/strategy/financial-model-covenants</x:v>
      </x:c>
      <x:c r="F148" s="6" t="str">
        <x:v>Enterprise Strategy Manager &gt; Business Case &amp; Investment Development &gt; Economic &amp; Financial Model &gt; Covenants</x:v>
      </x:c>
      <x:c r="G148" s="6" t="str">
        <x:v>frontend/src/features/economic-financial-model/EconomicFinancialModelWorkspace.tsx</x:v>
      </x:c>
      <x:c r="H148" s="6" t="str">
        <x:v>USER_TRANSACTION</x:v>
      </x:c>
      <x:c r="I148" s="19" t="b">
        <x:v>1</x:v>
      </x:c>
      <x:c r="J148" s="6" t="str">
        <x:v>NONE</x:v>
      </x:c>
      <x:c r="K148" s="19" t="b">
        <x:v>0</x:v>
      </x:c>
      <x:c r="L148" s="6" t="str"/>
    </x:row>
    <x:row r="149" ht="42" customHeight="1">
      <x:c r="A149" s="15" t="str">
        <x:v>NAV-142</x:v>
      </x:c>
      <x:c r="B149" s="13" t="str">
        <x:v>USER</x:v>
      </x:c>
      <x:c r="C149" s="13" t="n">
        <x:v>6</x:v>
      </x:c>
      <x:c r="D149" s="13" t="n">
        <x:v>17</x:v>
      </x:c>
      <x:c r="E149" s="13" t="str">
        <x:v>/app/strategy/financial-model-scenarios</x:v>
      </x:c>
      <x:c r="F149" s="13" t="str">
        <x:v>Enterprise Strategy Manager &gt; Business Case &amp; Investment Development &gt; Economic &amp; Financial Model &gt; Scenarios</x:v>
      </x:c>
      <x:c r="G149" s="13" t="str">
        <x:v>frontend/src/features/economic-financial-model/EconomicFinancialModelWorkspace.tsx</x:v>
      </x:c>
      <x:c r="H149" s="13" t="str">
        <x:v>USER_TRANSACTION</x:v>
      </x:c>
      <x:c r="I149" s="20" t="b">
        <x:v>1</x:v>
      </x:c>
      <x:c r="J149" s="13" t="str">
        <x:v>NONE</x:v>
      </x:c>
      <x:c r="K149" s="20" t="b">
        <x:v>0</x:v>
      </x:c>
      <x:c r="L149" s="13" t="str"/>
    </x:row>
    <x:row r="150" ht="42" customHeight="1">
      <x:c r="A150" s="14" t="str">
        <x:v>NAV-143</x:v>
      </x:c>
      <x:c r="B150" s="6" t="str">
        <x:v>USER</x:v>
      </x:c>
      <x:c r="C150" s="6" t="n">
        <x:v>6</x:v>
      </x:c>
      <x:c r="D150" s="6" t="n">
        <x:v>18</x:v>
      </x:c>
      <x:c r="E150" s="6" t="str">
        <x:v>/app/strategy/financial-model-sensitivities</x:v>
      </x:c>
      <x:c r="F150" s="6" t="str">
        <x:v>Enterprise Strategy Manager &gt; Business Case &amp; Investment Development &gt; Economic &amp; Financial Model &gt; Sensitivities</x:v>
      </x:c>
      <x:c r="G150" s="6" t="str">
        <x:v>frontend/src/features/economic-financial-model/EconomicFinancialModelWorkspace.tsx</x:v>
      </x:c>
      <x:c r="H150" s="6" t="str">
        <x:v>USER_TRANSACTION</x:v>
      </x:c>
      <x:c r="I150" s="19" t="b">
        <x:v>1</x:v>
      </x:c>
      <x:c r="J150" s="6" t="str">
        <x:v>NONE</x:v>
      </x:c>
      <x:c r="K150" s="19" t="b">
        <x:v>0</x:v>
      </x:c>
      <x:c r="L150" s="6" t="str"/>
    </x:row>
    <x:row r="151" ht="42" customHeight="1">
      <x:c r="A151" s="15" t="str">
        <x:v>NAV-144</x:v>
      </x:c>
      <x:c r="B151" s="13" t="str">
        <x:v>USER</x:v>
      </x:c>
      <x:c r="C151" s="13" t="n">
        <x:v>6</x:v>
      </x:c>
      <x:c r="D151" s="13" t="n">
        <x:v>19</x:v>
      </x:c>
      <x:c r="E151" s="13" t="str">
        <x:v>/app/strategy/financial-model-break-even</x:v>
      </x:c>
      <x:c r="F151" s="13" t="str">
        <x:v>Enterprise Strategy Manager &gt; Business Case &amp; Investment Development &gt; Economic &amp; Financial Model &gt; Break-Even</x:v>
      </x:c>
      <x:c r="G151" s="13" t="str">
        <x:v>frontend/src/features/economic-financial-model/EconomicFinancialModelWorkspace.tsx</x:v>
      </x:c>
      <x:c r="H151" s="13" t="str">
        <x:v>USER_TRANSACTION</x:v>
      </x:c>
      <x:c r="I151" s="20" t="b">
        <x:v>1</x:v>
      </x:c>
      <x:c r="J151" s="13" t="str">
        <x:v>NONE</x:v>
      </x:c>
      <x:c r="K151" s="20" t="b">
        <x:v>0</x:v>
      </x:c>
      <x:c r="L151" s="13" t="str"/>
    </x:row>
    <x:row r="152" ht="42" customHeight="1">
      <x:c r="A152" s="14" t="str">
        <x:v>NAV-145</x:v>
      </x:c>
      <x:c r="B152" s="6" t="str">
        <x:v>USER</x:v>
      </x:c>
      <x:c r="C152" s="6" t="n">
        <x:v>6</x:v>
      </x:c>
      <x:c r="D152" s="6" t="n">
        <x:v>20</x:v>
      </x:c>
      <x:c r="E152" s="6" t="str">
        <x:v>/app/strategy/financial-model-readiness</x:v>
      </x:c>
      <x:c r="F152" s="6" t="str">
        <x:v>Enterprise Strategy Manager &gt; Business Case &amp; Investment Development &gt; Economic &amp; Financial Model &gt; Readiness</x:v>
      </x:c>
      <x:c r="G152" s="6" t="str">
        <x:v>frontend/src/features/economic-financial-model/EconomicFinancialModelWorkspace.tsx</x:v>
      </x:c>
      <x:c r="H152" s="6" t="str">
        <x:v>USER_TRANSACTION</x:v>
      </x:c>
      <x:c r="I152" s="19" t="b">
        <x:v>1</x:v>
      </x:c>
      <x:c r="J152" s="6" t="str">
        <x:v>NONE</x:v>
      </x:c>
      <x:c r="K152" s="19" t="b">
        <x:v>0</x:v>
      </x:c>
      <x:c r="L152" s="6" t="str"/>
    </x:row>
    <x:row r="153" ht="42" customHeight="1">
      <x:c r="A153" s="15" t="str">
        <x:v>NAV-146</x:v>
      </x:c>
      <x:c r="B153" s="13" t="str">
        <x:v>USER</x:v>
      </x:c>
      <x:c r="C153" s="13" t="n">
        <x:v>6</x:v>
      </x:c>
      <x:c r="D153" s="13" t="n">
        <x:v>21</x:v>
      </x:c>
      <x:c r="E153" s="13" t="str">
        <x:v>/app/strategy/financial-model-source-lineage</x:v>
      </x:c>
      <x:c r="F153" s="13" t="str">
        <x:v>Enterprise Strategy Manager &gt; Business Case &amp; Investment Development &gt; Economic &amp; Financial Model &gt; Source Lineage</x:v>
      </x:c>
      <x:c r="G153" s="13" t="str">
        <x:v>frontend/src/features/economic-financial-model/EconomicFinancialModelWorkspace.tsx</x:v>
      </x:c>
      <x:c r="H153" s="13" t="str">
        <x:v>USER_TRANSACTION</x:v>
      </x:c>
      <x:c r="I153" s="20" t="b">
        <x:v>1</x:v>
      </x:c>
      <x:c r="J153" s="13" t="str">
        <x:v>NONE</x:v>
      </x:c>
      <x:c r="K153" s="20" t="b">
        <x:v>0</x:v>
      </x:c>
      <x:c r="L153" s="13" t="str"/>
    </x:row>
    <x:row r="154" ht="42" customHeight="1">
      <x:c r="A154" s="14" t="str">
        <x:v>NAV-147</x:v>
      </x:c>
      <x:c r="B154" s="6" t="str">
        <x:v>USER</x:v>
      </x:c>
      <x:c r="C154" s="6" t="n">
        <x:v>6</x:v>
      </x:c>
      <x:c r="D154" s="6" t="n">
        <x:v>22</x:v>
      </x:c>
      <x:c r="E154" s="6" t="str">
        <x:v>/app/strategy/financial-model-compare-versions</x:v>
      </x:c>
      <x:c r="F154" s="6" t="str">
        <x:v>Enterprise Strategy Manager &gt; Business Case &amp; Investment Development &gt; Economic &amp; Financial Model &gt; Compare Versions</x:v>
      </x:c>
      <x:c r="G154" s="6" t="str">
        <x:v>frontend/src/features/economic-financial-model/EconomicFinancialModelWorkspace.tsx</x:v>
      </x:c>
      <x:c r="H154" s="6" t="str">
        <x:v>USER_TRANSACTION</x:v>
      </x:c>
      <x:c r="I154" s="19" t="b">
        <x:v>1</x:v>
      </x:c>
      <x:c r="J154" s="6" t="str">
        <x:v>NONE</x:v>
      </x:c>
      <x:c r="K154" s="19" t="b">
        <x:v>0</x:v>
      </x:c>
      <x:c r="L154" s="6" t="str"/>
    </x:row>
    <x:row r="155" ht="42" customHeight="1">
      <x:c r="A155" s="15" t="str">
        <x:v>NAV-148</x:v>
      </x:c>
      <x:c r="B155" s="13" t="str">
        <x:v>USER</x:v>
      </x:c>
      <x:c r="C155" s="13" t="n">
        <x:v>6</x:v>
      </x:c>
      <x:c r="D155" s="13" t="n">
        <x:v>23</x:v>
      </x:c>
      <x:c r="E155" s="13" t="str">
        <x:v>/app/strategy/financial-model-history-audit</x:v>
      </x:c>
      <x:c r="F155" s="13" t="str">
        <x:v>Enterprise Strategy Manager &gt; Business Case &amp; Investment Development &gt; Economic &amp; Financial Model &gt; History / Audit</x:v>
      </x:c>
      <x:c r="G155" s="13" t="str">
        <x:v>frontend/src/features/economic-financial-model/EconomicFinancialModelWorkspace.tsx</x:v>
      </x:c>
      <x:c r="H155" s="13" t="str">
        <x:v>USER_TRANSACTION</x:v>
      </x:c>
      <x:c r="I155" s="20" t="b">
        <x:v>1</x:v>
      </x:c>
      <x:c r="J155" s="13" t="str">
        <x:v>NONE</x:v>
      </x:c>
      <x:c r="K155" s="20" t="b">
        <x:v>0</x:v>
      </x:c>
      <x:c r="L155" s="13" t="str"/>
    </x:row>
    <x:row r="156" ht="42" customHeight="1">
      <x:c r="A156" s="14" t="str">
        <x:v>NAV-149</x:v>
      </x:c>
      <x:c r="B156" s="6" t="str">
        <x:v>USER</x:v>
      </x:c>
      <x:c r="C156" s="6" t="n">
        <x:v>6</x:v>
      </x:c>
      <x:c r="D156" s="6" t="n">
        <x:v>1</x:v>
      </x:c>
      <x:c r="E156" s="6" t="str">
        <x:v>/app/strategy/risk-readiness-my</x:v>
      </x:c>
      <x:c r="F156" s="6" t="str">
        <x:v>Enterprise Strategy Manager &gt; Business Case &amp; Investment Development &gt; Risk Readiness &gt; My Risk Work</x:v>
      </x:c>
      <x:c r="G156" s="6" t="str">
        <x:v>frontend/src/features/risk-readiness/RiskReadinessWorkspace.tsx</x:v>
      </x:c>
      <x:c r="H156" s="6" t="str">
        <x:v>USER_TRANSACTION</x:v>
      </x:c>
      <x:c r="I156" s="19" t="b">
        <x:v>1</x:v>
      </x:c>
      <x:c r="J156" s="6" t="str">
        <x:v>ANCESTOR_LANDING_ALIAS_SAME_ROUTE</x:v>
      </x:c>
      <x:c r="K156" s="19" t="b">
        <x:v>0</x:v>
      </x:c>
      <x:c r="L156" s="6" t="str"/>
    </x:row>
    <x:row r="157" ht="42" customHeight="1">
      <x:c r="A157" s="15" t="str">
        <x:v>NAV-150</x:v>
      </x:c>
      <x:c r="B157" s="13" t="str">
        <x:v>USER</x:v>
      </x:c>
      <x:c r="C157" s="13" t="n">
        <x:v>6</x:v>
      </x:c>
      <x:c r="D157" s="13" t="n">
        <x:v>2</x:v>
      </x:c>
      <x:c r="E157" s="13" t="str">
        <x:v>/app/strategy/risk-readiness-portfolio</x:v>
      </x:c>
      <x:c r="F157" s="13" t="str">
        <x:v>Enterprise Strategy Manager &gt; Business Case &amp; Investment Development &gt; Risk Readiness &gt; Project Set Risk Readiness</x:v>
      </x:c>
      <x:c r="G157" s="13" t="str">
        <x:v>frontend/src/features/risk-readiness/RiskReadinessWorkspace.tsx</x:v>
      </x:c>
      <x:c r="H157" s="13" t="str">
        <x:v>USER_TRANSACTION</x:v>
      </x:c>
      <x:c r="I157" s="20" t="b">
        <x:v>1</x:v>
      </x:c>
      <x:c r="J157" s="13" t="str">
        <x:v>NONE</x:v>
      </x:c>
      <x:c r="K157" s="20" t="b">
        <x:v>0</x:v>
      </x:c>
      <x:c r="L157" s="13" t="str"/>
    </x:row>
    <x:row r="158" ht="42" customHeight="1">
      <x:c r="A158" s="14" t="str">
        <x:v>NAV-151</x:v>
      </x:c>
      <x:c r="B158" s="6" t="str">
        <x:v>USER</x:v>
      </x:c>
      <x:c r="C158" s="6" t="n">
        <x:v>6</x:v>
      </x:c>
      <x:c r="D158" s="6" t="n">
        <x:v>3</x:v>
      </x:c>
      <x:c r="E158" s="6" t="str">
        <x:v>/app/strategy/risk-readiness-register</x:v>
      </x:c>
      <x:c r="F158" s="6" t="str">
        <x:v>Enterprise Strategy Manager &gt; Business Case &amp; Investment Development &gt; Risk Readiness &gt; Project Risk Register</x:v>
      </x:c>
      <x:c r="G158" s="6" t="str">
        <x:v>frontend/src/features/risk-readiness/RiskReadinessWorkspace.tsx</x:v>
      </x:c>
      <x:c r="H158" s="6" t="str">
        <x:v>USER_TRANSACTION</x:v>
      </x:c>
      <x:c r="I158" s="19" t="b">
        <x:v>1</x:v>
      </x:c>
      <x:c r="J158" s="6" t="str">
        <x:v>NONE</x:v>
      </x:c>
      <x:c r="K158" s="19" t="b">
        <x:v>0</x:v>
      </x:c>
      <x:c r="L158" s="6" t="str"/>
    </x:row>
    <x:row r="159" ht="42" customHeight="1">
      <x:c r="A159" s="15" t="str">
        <x:v>NAV-152</x:v>
      </x:c>
      <x:c r="B159" s="13" t="str">
        <x:v>USER</x:v>
      </x:c>
      <x:c r="C159" s="13" t="n">
        <x:v>6</x:v>
      </x:c>
      <x:c r="D159" s="13" t="n">
        <x:v>4</x:v>
      </x:c>
      <x:c r="E159" s="13" t="str">
        <x:v>/app/strategy/risk-readiness-assessments</x:v>
      </x:c>
      <x:c r="F159" s="13" t="str">
        <x:v>Enterprise Strategy Manager &gt; Business Case &amp; Investment Development &gt; Risk Readiness &gt; Risk Assessments</x:v>
      </x:c>
      <x:c r="G159" s="13" t="str">
        <x:v>frontend/src/features/risk-readiness/RiskReadinessWorkspace.tsx</x:v>
      </x:c>
      <x:c r="H159" s="13" t="str">
        <x:v>USER_TRANSACTION</x:v>
      </x:c>
      <x:c r="I159" s="20" t="b">
        <x:v>1</x:v>
      </x:c>
      <x:c r="J159" s="13" t="str">
        <x:v>NONE</x:v>
      </x:c>
      <x:c r="K159" s="20" t="b">
        <x:v>0</x:v>
      </x:c>
      <x:c r="L159" s="13" t="str"/>
    </x:row>
    <x:row r="160" ht="42" customHeight="1">
      <x:c r="A160" s="14" t="str">
        <x:v>NAV-153</x:v>
      </x:c>
      <x:c r="B160" s="6" t="str">
        <x:v>USER</x:v>
      </x:c>
      <x:c r="C160" s="6" t="n">
        <x:v>6</x:v>
      </x:c>
      <x:c r="D160" s="6" t="n">
        <x:v>5</x:v>
      </x:c>
      <x:c r="E160" s="6" t="str">
        <x:v>/app/strategy/risk-readiness-treatments</x:v>
      </x:c>
      <x:c r="F160" s="6" t="str">
        <x:v>Enterprise Strategy Manager &gt; Business Case &amp; Investment Development &gt; Risk Readiness &gt; Treatments</x:v>
      </x:c>
      <x:c r="G160" s="6" t="str">
        <x:v>frontend/src/features/risk-readiness/RiskReadinessWorkspace.tsx</x:v>
      </x:c>
      <x:c r="H160" s="6" t="str">
        <x:v>USER_TRANSACTION</x:v>
      </x:c>
      <x:c r="I160" s="19" t="b">
        <x:v>1</x:v>
      </x:c>
      <x:c r="J160" s="6" t="str">
        <x:v>NONE</x:v>
      </x:c>
      <x:c r="K160" s="19" t="b">
        <x:v>0</x:v>
      </x:c>
      <x:c r="L160" s="6" t="str"/>
    </x:row>
    <x:row r="161" ht="42" customHeight="1">
      <x:c r="A161" s="15" t="str">
        <x:v>NAV-154</x:v>
      </x:c>
      <x:c r="B161" s="13" t="str">
        <x:v>USER</x:v>
      </x:c>
      <x:c r="C161" s="13" t="n">
        <x:v>6</x:v>
      </x:c>
      <x:c r="D161" s="13" t="n">
        <x:v>6</x:v>
      </x:c>
      <x:c r="E161" s="13" t="str">
        <x:v>/app/strategy/risk-readiness-residual</x:v>
      </x:c>
      <x:c r="F161" s="13" t="str">
        <x:v>Enterprise Strategy Manager &gt; Business Case &amp; Investment Development &gt; Risk Readiness &gt; Residual Risk &amp; Acceptance</x:v>
      </x:c>
      <x:c r="G161" s="13" t="str">
        <x:v>frontend/src/features/risk-readiness/RiskReadinessWorkspace.tsx</x:v>
      </x:c>
      <x:c r="H161" s="13" t="str">
        <x:v>USER_TRANSACTION</x:v>
      </x:c>
      <x:c r="I161" s="20" t="b">
        <x:v>1</x:v>
      </x:c>
      <x:c r="J161" s="13" t="str">
        <x:v>NONE</x:v>
      </x:c>
      <x:c r="K161" s="20" t="b">
        <x:v>0</x:v>
      </x:c>
      <x:c r="L161" s="13" t="str"/>
    </x:row>
    <x:row r="162" ht="42" customHeight="1">
      <x:c r="A162" s="14" t="str">
        <x:v>NAV-155</x:v>
      </x:c>
      <x:c r="B162" s="6" t="str">
        <x:v>USER</x:v>
      </x:c>
      <x:c r="C162" s="6" t="n">
        <x:v>6</x:v>
      </x:c>
      <x:c r="D162" s="6" t="n">
        <x:v>7</x:v>
      </x:c>
      <x:c r="E162" s="6" t="str">
        <x:v>/app/strategy/risk-readiness-dashboard</x:v>
      </x:c>
      <x:c r="F162" s="6" t="str">
        <x:v>Enterprise Strategy Manager &gt; Business Case &amp; Investment Development &gt; Risk Readiness &gt; Risk Readiness Dashboard</x:v>
      </x:c>
      <x:c r="G162" s="6" t="str">
        <x:v>frontend/src/features/risk-readiness/RiskReadinessWorkspace.tsx</x:v>
      </x:c>
      <x:c r="H162" s="6" t="str">
        <x:v>USER_TRANSACTION</x:v>
      </x:c>
      <x:c r="I162" s="19" t="b">
        <x:v>1</x:v>
      </x:c>
      <x:c r="J162" s="6" t="str">
        <x:v>NONE</x:v>
      </x:c>
      <x:c r="K162" s="19" t="b">
        <x:v>0</x:v>
      </x:c>
      <x:c r="L162" s="6" t="str"/>
    </x:row>
    <x:row r="163" ht="42" customHeight="1">
      <x:c r="A163" s="15" t="str">
        <x:v>NAV-156</x:v>
      </x:c>
      <x:c r="B163" s="13" t="str">
        <x:v>USER</x:v>
      </x:c>
      <x:c r="C163" s="13" t="n">
        <x:v>6</x:v>
      </x:c>
      <x:c r="D163" s="13" t="n">
        <x:v>8</x:v>
      </x:c>
      <x:c r="E163" s="13" t="str">
        <x:v>/app/strategy/risk-readiness-history</x:v>
      </x:c>
      <x:c r="F163" s="13" t="str">
        <x:v>Enterprise Strategy Manager &gt; Business Case &amp; Investment Development &gt; Risk Readiness &gt; History / Audit</x:v>
      </x:c>
      <x:c r="G163" s="13" t="str">
        <x:v>frontend/src/features/risk-readiness/RiskReadinessWorkspace.tsx</x:v>
      </x:c>
      <x:c r="H163" s="13" t="str">
        <x:v>USER_TRANSACTION</x:v>
      </x:c>
      <x:c r="I163" s="20" t="b">
        <x:v>1</x:v>
      </x:c>
      <x:c r="J163" s="13" t="str">
        <x:v>NONE</x:v>
      </x:c>
      <x:c r="K163" s="20" t="b">
        <x:v>0</x:v>
      </x:c>
      <x:c r="L163" s="13" t="str"/>
    </x:row>
    <x:row r="164" ht="42" customHeight="1">
      <x:c r="A164" s="14" t="str">
        <x:v>NAV-157</x:v>
      </x:c>
      <x:c r="B164" s="6" t="str">
        <x:v>USER</x:v>
      </x:c>
      <x:c r="C164" s="6" t="n">
        <x:v>6</x:v>
      </x:c>
      <x:c r="D164" s="6" t="n">
        <x:v>1</x:v>
      </x:c>
      <x:c r="E164" s="6" t="str">
        <x:v>/app/strategy/permit-readiness-my</x:v>
      </x:c>
      <x:c r="F164" s="6" t="str">
        <x:v>Enterprise Strategy Manager &gt; Business Case &amp; Investment Development &gt; Permit Readiness &gt; My Permit Work</x:v>
      </x:c>
      <x:c r="G164" s="6" t="str">
        <x:v>frontend/src/features/permit-readiness/PermitReadinessWorkspace.tsx</x:v>
      </x:c>
      <x:c r="H164" s="6" t="str">
        <x:v>USER_TRANSACTION</x:v>
      </x:c>
      <x:c r="I164" s="19" t="b">
        <x:v>1</x:v>
      </x:c>
      <x:c r="J164" s="6" t="str">
        <x:v>ANCESTOR_LANDING_ALIAS_SAME_ROUTE</x:v>
      </x:c>
      <x:c r="K164" s="19" t="b">
        <x:v>0</x:v>
      </x:c>
      <x:c r="L164" s="6" t="str"/>
    </x:row>
    <x:row r="165" ht="42" customHeight="1">
      <x:c r="A165" s="15" t="str">
        <x:v>NAV-158</x:v>
      </x:c>
      <x:c r="B165" s="13" t="str">
        <x:v>USER</x:v>
      </x:c>
      <x:c r="C165" s="13" t="n">
        <x:v>6</x:v>
      </x:c>
      <x:c r="D165" s="13" t="n">
        <x:v>2</x:v>
      </x:c>
      <x:c r="E165" s="13" t="str">
        <x:v>/app/strategy/permit-readiness-register</x:v>
      </x:c>
      <x:c r="F165" s="13" t="str">
        <x:v>Enterprise Strategy Manager &gt; Business Case &amp; Investment Development &gt; Permit Readiness &gt; Project Permit Register</x:v>
      </x:c>
      <x:c r="G165" s="13" t="str">
        <x:v>frontend/src/features/permit-readiness/PermitReadinessWorkspace.tsx</x:v>
      </x:c>
      <x:c r="H165" s="13" t="str">
        <x:v>USER_TRANSACTION</x:v>
      </x:c>
      <x:c r="I165" s="20" t="b">
        <x:v>1</x:v>
      </x:c>
      <x:c r="J165" s="13" t="str">
        <x:v>NONE</x:v>
      </x:c>
      <x:c r="K165" s="20" t="b">
        <x:v>0</x:v>
      </x:c>
      <x:c r="L165" s="13" t="str"/>
    </x:row>
    <x:row r="166" ht="42" customHeight="1">
      <x:c r="A166" s="14" t="str">
        <x:v>NAV-159</x:v>
      </x:c>
      <x:c r="B166" s="6" t="str">
        <x:v>USER</x:v>
      </x:c>
      <x:c r="C166" s="6" t="n">
        <x:v>6</x:v>
      </x:c>
      <x:c r="D166" s="6" t="n">
        <x:v>3</x:v>
      </x:c>
      <x:c r="E166" s="6" t="str">
        <x:v>/app/strategy/permit-readiness-requirements</x:v>
      </x:c>
      <x:c r="F166" s="6" t="str">
        <x:v>Enterprise Strategy Manager &gt; Business Case &amp; Investment Development &gt; Permit Readiness &gt; Permit Requirements</x:v>
      </x:c>
      <x:c r="G166" s="6" t="str">
        <x:v>frontend/src/features/permit-readiness/PermitReadinessWorkspace.tsx</x:v>
      </x:c>
      <x:c r="H166" s="6" t="str">
        <x:v>USER_TRANSACTION</x:v>
      </x:c>
      <x:c r="I166" s="19" t="b">
        <x:v>1</x:v>
      </x:c>
      <x:c r="J166" s="6" t="str">
        <x:v>NONE</x:v>
      </x:c>
      <x:c r="K166" s="19" t="b">
        <x:v>0</x:v>
      </x:c>
      <x:c r="L166" s="6" t="str"/>
    </x:row>
    <x:row r="167" ht="42" customHeight="1">
      <x:c r="A167" s="15" t="str">
        <x:v>NAV-160</x:v>
      </x:c>
      <x:c r="B167" s="13" t="str">
        <x:v>USER</x:v>
      </x:c>
      <x:c r="C167" s="13" t="n">
        <x:v>6</x:v>
      </x:c>
      <x:c r="D167" s="13" t="n">
        <x:v>4</x:v>
      </x:c>
      <x:c r="E167" s="13" t="str">
        <x:v>/app/strategy/permit-readiness-conditions</x:v>
      </x:c>
      <x:c r="F167" s="13" t="str">
        <x:v>Enterprise Strategy Manager &gt; Business Case &amp; Investment Development &gt; Permit Readiness &gt; Permit Conditions</x:v>
      </x:c>
      <x:c r="G167" s="13" t="str">
        <x:v>frontend/src/features/permit-readiness/PermitReadinessWorkspace.tsx</x:v>
      </x:c>
      <x:c r="H167" s="13" t="str">
        <x:v>USER_TRANSACTION</x:v>
      </x:c>
      <x:c r="I167" s="20" t="b">
        <x:v>1</x:v>
      </x:c>
      <x:c r="J167" s="13" t="str">
        <x:v>NONE</x:v>
      </x:c>
      <x:c r="K167" s="20" t="b">
        <x:v>0</x:v>
      </x:c>
      <x:c r="L167" s="13" t="str"/>
    </x:row>
    <x:row r="168" ht="42" customHeight="1">
      <x:c r="A168" s="14" t="str">
        <x:v>NAV-161</x:v>
      </x:c>
      <x:c r="B168" s="6" t="str">
        <x:v>USER</x:v>
      </x:c>
      <x:c r="C168" s="6" t="n">
        <x:v>6</x:v>
      </x:c>
      <x:c r="D168" s="6" t="n">
        <x:v>5</x:v>
      </x:c>
      <x:c r="E168" s="6" t="str">
        <x:v>/app/strategy/permit-readiness-project</x:v>
      </x:c>
      <x:c r="F168" s="6" t="str">
        <x:v>Enterprise Strategy Manager &gt; Business Case &amp; Investment Development &gt; Permit Readiness &gt; Project Permit Readiness</x:v>
      </x:c>
      <x:c r="G168" s="6" t="str">
        <x:v>frontend/src/features/permit-readiness/PermitReadinessWorkspace.tsx</x:v>
      </x:c>
      <x:c r="H168" s="6" t="str">
        <x:v>USER_TRANSACTION</x:v>
      </x:c>
      <x:c r="I168" s="19" t="b">
        <x:v>1</x:v>
      </x:c>
      <x:c r="J168" s="6" t="str">
        <x:v>NONE</x:v>
      </x:c>
      <x:c r="K168" s="19" t="b">
        <x:v>0</x:v>
      </x:c>
      <x:c r="L168" s="6" t="str"/>
    </x:row>
    <x:row r="169" ht="42" customHeight="1">
      <x:c r="A169" s="15" t="str">
        <x:v>NAV-162</x:v>
      </x:c>
      <x:c r="B169" s="13" t="str">
        <x:v>USER</x:v>
      </x:c>
      <x:c r="C169" s="13" t="n">
        <x:v>6</x:v>
      </x:c>
      <x:c r="D169" s="13" t="n">
        <x:v>6</x:v>
      </x:c>
      <x:c r="E169" s="13" t="str">
        <x:v>/app/strategy/permit-readiness-portfolio</x:v>
      </x:c>
      <x:c r="F169" s="13" t="str">
        <x:v>Enterprise Strategy Manager &gt; Business Case &amp; Investment Development &gt; Permit Readiness &gt; Project Set Permit Readiness</x:v>
      </x:c>
      <x:c r="G169" s="13" t="str">
        <x:v>frontend/src/features/permit-readiness/PermitReadinessWorkspace.tsx</x:v>
      </x:c>
      <x:c r="H169" s="13" t="str">
        <x:v>USER_TRANSACTION</x:v>
      </x:c>
      <x:c r="I169" s="20" t="b">
        <x:v>1</x:v>
      </x:c>
      <x:c r="J169" s="13" t="str">
        <x:v>NONE</x:v>
      </x:c>
      <x:c r="K169" s="20" t="b">
        <x:v>0</x:v>
      </x:c>
      <x:c r="L169" s="13" t="str"/>
    </x:row>
    <x:row r="170" ht="42" customHeight="1">
      <x:c r="A170" s="14" t="str">
        <x:v>NAV-163</x:v>
      </x:c>
      <x:c r="B170" s="6" t="str">
        <x:v>USER</x:v>
      </x:c>
      <x:c r="C170" s="6" t="n">
        <x:v>6</x:v>
      </x:c>
      <x:c r="D170" s="6" t="n">
        <x:v>7</x:v>
      </x:c>
      <x:c r="E170" s="6" t="str">
        <x:v>/app/strategy/permit-readiness-history</x:v>
      </x:c>
      <x:c r="F170" s="6" t="str">
        <x:v>Enterprise Strategy Manager &gt; Business Case &amp; Investment Development &gt; Permit Readiness &gt; Permit History / Audit</x:v>
      </x:c>
      <x:c r="G170" s="6" t="str">
        <x:v>frontend/src/features/permit-readiness/PermitReadinessWorkspace.tsx</x:v>
      </x:c>
      <x:c r="H170" s="6" t="str">
        <x:v>USER_TRANSACTION</x:v>
      </x:c>
      <x:c r="I170" s="19" t="b">
        <x:v>1</x:v>
      </x:c>
      <x:c r="J170" s="6" t="str">
        <x:v>NONE</x:v>
      </x:c>
      <x:c r="K170" s="19" t="b">
        <x:v>0</x:v>
      </x:c>
      <x:c r="L170" s="6" t="str"/>
    </x:row>
    <x:row r="171" ht="42" customHeight="1">
      <x:c r="A171" s="15" t="str">
        <x:v>NAV-164</x:v>
      </x:c>
      <x:c r="B171" s="13" t="str">
        <x:v>USER</x:v>
      </x:c>
      <x:c r="C171" s="13" t="n">
        <x:v>6</x:v>
      </x:c>
      <x:c r="D171" s="13" t="n">
        <x:v>9</x:v>
      </x:c>
      <x:c r="E171" s="13" t="str">
        <x:v>/app/strategy/basic-data-readiness</x:v>
      </x:c>
      <x:c r="F171" s="13" t="str">
        <x:v>Enterprise Strategy Manager &gt; Business Case &amp; Investment Development &gt; Basic Data Readiness</x:v>
      </x:c>
      <x:c r="G171" s="13" t="str">
        <x:v>frontend/src/features/basic-data/BasicDataWorkspace.tsx</x:v>
      </x:c>
      <x:c r="H171" s="13" t="str">
        <x:v>USER_TRANSACTION</x:v>
      </x:c>
      <x:c r="I171" s="20" t="b">
        <x:v>1</x:v>
      </x:c>
      <x:c r="J171" s="13" t="str">
        <x:v>NONE</x:v>
      </x:c>
      <x:c r="K171" s="20" t="b">
        <x:v>0</x:v>
      </x:c>
      <x:c r="L171" s="13" t="str">
        <x:v>phase-5-portfolio-scenario-planning</x:v>
      </x:c>
    </x:row>
    <x:row r="172" ht="42" customHeight="1">
      <x:c r="A172" s="14" t="str">
        <x:v>NAV-165</x:v>
      </x:c>
      <x:c r="B172" s="6" t="str">
        <x:v>USER</x:v>
      </x:c>
      <x:c r="C172" s="6" t="n">
        <x:v>6</x:v>
      </x:c>
      <x:c r="D172" s="6" t="n">
        <x:v>10</x:v>
      </x:c>
      <x:c r="E172" s="6" t="str">
        <x:v>/app/strategy/owner-capability-readiness</x:v>
      </x:c>
      <x:c r="F172" s="6" t="str">
        <x:v>Enterprise Strategy Manager &gt; Business Case &amp; Investment Development &gt; Owner Capability Readiness</x:v>
      </x:c>
      <x:c r="G172" s="6" t="str">
        <x:v>frontend/src/features/owner-capability/OwnerCapabilityWorkspace.tsx</x:v>
      </x:c>
      <x:c r="H172" s="6" t="str">
        <x:v>USER_TRANSACTION</x:v>
      </x:c>
      <x:c r="I172" s="19" t="b">
        <x:v>1</x:v>
      </x:c>
      <x:c r="J172" s="6" t="str">
        <x:v>NONE</x:v>
      </x:c>
      <x:c r="K172" s="19" t="b">
        <x:v>0</x:v>
      </x:c>
      <x:c r="L172" s="6" t="str">
        <x:v>phase-5-portfolio-scenario-planning</x:v>
      </x:c>
    </x:row>
    <x:row r="173" ht="42" customHeight="1">
      <x:c r="A173" s="15" t="str">
        <x:v>NAV-166</x:v>
      </x:c>
      <x:c r="B173" s="13" t="str">
        <x:v>USER</x:v>
      </x:c>
      <x:c r="C173" s="13" t="n">
        <x:v>6</x:v>
      </x:c>
      <x:c r="D173" s="13" t="n">
        <x:v>1</x:v>
      </x:c>
      <x:c r="E173" s="13" t="str">
        <x:v>/app/strategy/qra-foundation</x:v>
      </x:c>
      <x:c r="F173" s="13" t="str">
        <x:v>Enterprise Strategy Manager &gt; Business Case &amp; Investment Development &gt; QRA &gt; Cost Source Readiness</x:v>
      </x:c>
      <x:c r="G173" s="13" t="str">
        <x:v>frontend/src/features/qra-foundation/QraFoundationWorkspace.tsx</x:v>
      </x:c>
      <x:c r="H173" s="13" t="str">
        <x:v>USER_TRANSACTION</x:v>
      </x:c>
      <x:c r="I173" s="20" t="b">
        <x:v>1</x:v>
      </x:c>
      <x:c r="J173" s="13" t="str">
        <x:v>ANCESTOR_LANDING_ALIAS_SAME_ROUTE</x:v>
      </x:c>
      <x:c r="K173" s="20" t="b">
        <x:v>0</x:v>
      </x:c>
      <x:c r="L173" s="13" t="str"/>
    </x:row>
    <x:row r="174" ht="42" customHeight="1">
      <x:c r="A174" s="14" t="str">
        <x:v>NAV-167</x:v>
      </x:c>
      <x:c r="B174" s="6" t="str">
        <x:v>USER</x:v>
      </x:c>
      <x:c r="C174" s="6" t="n">
        <x:v>6</x:v>
      </x:c>
      <x:c r="D174" s="6" t="n">
        <x:v>2</x:v>
      </x:c>
      <x:c r="E174" s="6" t="str">
        <x:v>/app/strategy/qra-schedule-source-readiness</x:v>
      </x:c>
      <x:c r="F174" s="6" t="str">
        <x:v>Enterprise Strategy Manager &gt; Business Case &amp; Investment Development &gt; QRA &gt; Schedule Source Readiness</x:v>
      </x:c>
      <x:c r="G174" s="6" t="str">
        <x:v>frontend/src/features/qra-foundation/QraFoundationWorkspace.tsx</x:v>
      </x:c>
      <x:c r="H174" s="6" t="str">
        <x:v>USER_TRANSACTION</x:v>
      </x:c>
      <x:c r="I174" s="19" t="b">
        <x:v>1</x:v>
      </x:c>
      <x:c r="J174" s="6" t="str">
        <x:v>NONE</x:v>
      </x:c>
      <x:c r="K174" s="19" t="b">
        <x:v>0</x:v>
      </x:c>
      <x:c r="L174" s="6" t="str"/>
    </x:row>
    <x:row r="175" ht="42" customHeight="1">
      <x:c r="A175" s="15" t="str">
        <x:v>NAV-168</x:v>
      </x:c>
      <x:c r="B175" s="13" t="str">
        <x:v>USER</x:v>
      </x:c>
      <x:c r="C175" s="13" t="n">
        <x:v>6</x:v>
      </x:c>
      <x:c r="D175" s="13" t="n">
        <x:v>3</x:v>
      </x:c>
      <x:c r="E175" s="13" t="str">
        <x:v>/app/strategy/qra-model-definition</x:v>
      </x:c>
      <x:c r="F175" s="13" t="str">
        <x:v>Enterprise Strategy Manager &gt; Business Case &amp; Investment Development &gt; QRA &gt; Model Definition</x:v>
      </x:c>
      <x:c r="G175" s="13" t="str">
        <x:v>frontend/src/features/qra-foundation/QraFoundationWorkspace.tsx</x:v>
      </x:c>
      <x:c r="H175" s="13" t="str">
        <x:v>USER_TRANSACTION</x:v>
      </x:c>
      <x:c r="I175" s="20" t="b">
        <x:v>1</x:v>
      </x:c>
      <x:c r="J175" s="13" t="str">
        <x:v>NONE</x:v>
      </x:c>
      <x:c r="K175" s="20" t="b">
        <x:v>0</x:v>
      </x:c>
      <x:c r="L175" s="13" t="str"/>
    </x:row>
    <x:row r="176" ht="42" customHeight="1">
      <x:c r="A176" s="14" t="str">
        <x:v>NAV-169</x:v>
      </x:c>
      <x:c r="B176" s="6" t="str">
        <x:v>USER</x:v>
      </x:c>
      <x:c r="C176" s="6" t="n">
        <x:v>6</x:v>
      </x:c>
      <x:c r="D176" s="6" t="n">
        <x:v>4</x:v>
      </x:c>
      <x:c r="E176" s="6" t="str">
        <x:v>/app/strategy/qra-foundation-history</x:v>
      </x:c>
      <x:c r="F176" s="6" t="str">
        <x:v>Enterprise Strategy Manager &gt; Business Case &amp; Investment Development &gt; QRA &gt; Foundation History</x:v>
      </x:c>
      <x:c r="G176" s="6" t="str">
        <x:v>frontend/src/features/qra-foundation/QraFoundationWorkspace.tsx</x:v>
      </x:c>
      <x:c r="H176" s="6" t="str">
        <x:v>USER_TRANSACTION</x:v>
      </x:c>
      <x:c r="I176" s="19" t="b">
        <x:v>1</x:v>
      </x:c>
      <x:c r="J176" s="6" t="str">
        <x:v>NONE</x:v>
      </x:c>
      <x:c r="K176" s="19" t="b">
        <x:v>0</x:v>
      </x:c>
      <x:c r="L176" s="6" t="str"/>
    </x:row>
    <x:row r="177" ht="42" customHeight="1">
      <x:c r="A177" s="15" t="str">
        <x:v>NAV-170</x:v>
      </x:c>
      <x:c r="B177" s="13" t="str">
        <x:v>USER</x:v>
      </x:c>
      <x:c r="C177" s="13" t="n">
        <x:v>6</x:v>
      </x:c>
      <x:c r="D177" s="13" t="n">
        <x:v>5</x:v>
      </x:c>
      <x:c r="E177" s="13" t="str">
        <x:v>/app/strategy/qra-approved-models</x:v>
      </x:c>
      <x:c r="F177" s="13" t="str">
        <x:v>Enterprise Strategy Manager &gt; Business Case &amp; Investment Development &gt; QRA &gt; Approved Models</x:v>
      </x:c>
      <x:c r="G177" s="13" t="str">
        <x:v>frontend/src/features/qra-engine/QraEngineWorkspace.tsx</x:v>
      </x:c>
      <x:c r="H177" s="13" t="str">
        <x:v>USER_TRANSACTION</x:v>
      </x:c>
      <x:c r="I177" s="20" t="b">
        <x:v>1</x:v>
      </x:c>
      <x:c r="J177" s="13" t="str">
        <x:v>NONE</x:v>
      </x:c>
      <x:c r="K177" s="20" t="b">
        <x:v>0</x:v>
      </x:c>
      <x:c r="L177" s="13" t="str"/>
    </x:row>
    <x:row r="178" ht="42" customHeight="1">
      <x:c r="A178" s="14" t="str">
        <x:v>NAV-171</x:v>
      </x:c>
      <x:c r="B178" s="6" t="str">
        <x:v>USER</x:v>
      </x:c>
      <x:c r="C178" s="6" t="n">
        <x:v>6</x:v>
      </x:c>
      <x:c r="D178" s="6" t="n">
        <x:v>6</x:v>
      </x:c>
      <x:c r="E178" s="6" t="str">
        <x:v>/app/strategy/qra-runs</x:v>
      </x:c>
      <x:c r="F178" s="6" t="str">
        <x:v>Enterprise Strategy Manager &gt; Business Case &amp; Investment Development &gt; QRA &gt; Runs</x:v>
      </x:c>
      <x:c r="G178" s="6" t="str">
        <x:v>frontend/src/features/qra-engine/QraEngineWorkspace.tsx</x:v>
      </x:c>
      <x:c r="H178" s="6" t="str">
        <x:v>USER_TRANSACTION</x:v>
      </x:c>
      <x:c r="I178" s="19" t="b">
        <x:v>1</x:v>
      </x:c>
      <x:c r="J178" s="6" t="str">
        <x:v>NONE</x:v>
      </x:c>
      <x:c r="K178" s="19" t="b">
        <x:v>0</x:v>
      </x:c>
      <x:c r="L178" s="6" t="str"/>
    </x:row>
    <x:row r="179" ht="42" customHeight="1">
      <x:c r="A179" s="15" t="str">
        <x:v>NAV-172</x:v>
      </x:c>
      <x:c r="B179" s="13" t="str">
        <x:v>USER</x:v>
      </x:c>
      <x:c r="C179" s="13" t="n">
        <x:v>6</x:v>
      </x:c>
      <x:c r="D179" s="13" t="n">
        <x:v>7</x:v>
      </x:c>
      <x:c r="E179" s="13" t="str">
        <x:v>/app/strategy/qra-run-overview</x:v>
      </x:c>
      <x:c r="F179" s="13" t="str">
        <x:v>Enterprise Strategy Manager &gt; Business Case &amp; Investment Development &gt; QRA &gt; Run Overview</x:v>
      </x:c>
      <x:c r="G179" s="13" t="str">
        <x:v>frontend/src/features/qra-engine/QraEngineWorkspace.tsx</x:v>
      </x:c>
      <x:c r="H179" s="13" t="str">
        <x:v>USER_TRANSACTION</x:v>
      </x:c>
      <x:c r="I179" s="20" t="b">
        <x:v>1</x:v>
      </x:c>
      <x:c r="J179" s="13" t="str">
        <x:v>NONE</x:v>
      </x:c>
      <x:c r="K179" s="20" t="b">
        <x:v>0</x:v>
      </x:c>
      <x:c r="L179" s="13" t="str"/>
    </x:row>
    <x:row r="180" ht="42" customHeight="1">
      <x:c r="A180" s="14" t="str">
        <x:v>NAV-173</x:v>
      </x:c>
      <x:c r="B180" s="6" t="str">
        <x:v>USER</x:v>
      </x:c>
      <x:c r="C180" s="6" t="n">
        <x:v>6</x:v>
      </x:c>
      <x:c r="D180" s="6" t="n">
        <x:v>8</x:v>
      </x:c>
      <x:c r="E180" s="6" t="str">
        <x:v>/app/strategy/qra-cost-results</x:v>
      </x:c>
      <x:c r="F180" s="6" t="str">
        <x:v>Enterprise Strategy Manager &gt; Business Case &amp; Investment Development &gt; QRA &gt; Cost Results</x:v>
      </x:c>
      <x:c r="G180" s="6" t="str">
        <x:v>frontend/src/features/qra-engine/QraEngineWorkspace.tsx</x:v>
      </x:c>
      <x:c r="H180" s="6" t="str">
        <x:v>USER_TRANSACTION</x:v>
      </x:c>
      <x:c r="I180" s="19" t="b">
        <x:v>1</x:v>
      </x:c>
      <x:c r="J180" s="6" t="str">
        <x:v>NONE</x:v>
      </x:c>
      <x:c r="K180" s="19" t="b">
        <x:v>0</x:v>
      </x:c>
      <x:c r="L180" s="6" t="str"/>
    </x:row>
    <x:row r="181" ht="42" customHeight="1">
      <x:c r="A181" s="15" t="str">
        <x:v>NAV-174</x:v>
      </x:c>
      <x:c r="B181" s="13" t="str">
        <x:v>USER</x:v>
      </x:c>
      <x:c r="C181" s="13" t="n">
        <x:v>6</x:v>
      </x:c>
      <x:c r="D181" s="13" t="n">
        <x:v>9</x:v>
      </x:c>
      <x:c r="E181" s="13" t="str">
        <x:v>/app/strategy/qra-schedule-results</x:v>
      </x:c>
      <x:c r="F181" s="13" t="str">
        <x:v>Enterprise Strategy Manager &gt; Business Case &amp; Investment Development &gt; QRA &gt; Schedule Results</x:v>
      </x:c>
      <x:c r="G181" s="13" t="str">
        <x:v>frontend/src/features/qra-engine/QraEngineWorkspace.tsx</x:v>
      </x:c>
      <x:c r="H181" s="13" t="str">
        <x:v>USER_TRANSACTION</x:v>
      </x:c>
      <x:c r="I181" s="20" t="b">
        <x:v>1</x:v>
      </x:c>
      <x:c r="J181" s="13" t="str">
        <x:v>NONE</x:v>
      </x:c>
      <x:c r="K181" s="20" t="b">
        <x:v>0</x:v>
      </x:c>
      <x:c r="L181" s="13" t="str"/>
    </x:row>
    <x:row r="182" ht="42" customHeight="1">
      <x:c r="A182" s="14" t="str">
        <x:v>NAV-175</x:v>
      </x:c>
      <x:c r="B182" s="6" t="str">
        <x:v>USER</x:v>
      </x:c>
      <x:c r="C182" s="6" t="n">
        <x:v>6</x:v>
      </x:c>
      <x:c r="D182" s="6" t="n">
        <x:v>10</x:v>
      </x:c>
      <x:c r="E182" s="6" t="str">
        <x:v>/app/strategy/qra-percentiles</x:v>
      </x:c>
      <x:c r="F182" s="6" t="str">
        <x:v>Enterprise Strategy Manager &gt; Business Case &amp; Investment Development &gt; QRA &gt; Percentiles</x:v>
      </x:c>
      <x:c r="G182" s="6" t="str">
        <x:v>frontend/src/features/qra-engine/QraEngineWorkspace.tsx</x:v>
      </x:c>
      <x:c r="H182" s="6" t="str">
        <x:v>USER_TRANSACTION</x:v>
      </x:c>
      <x:c r="I182" s="19" t="b">
        <x:v>1</x:v>
      </x:c>
      <x:c r="J182" s="6" t="str">
        <x:v>NONE</x:v>
      </x:c>
      <x:c r="K182" s="19" t="b">
        <x:v>0</x:v>
      </x:c>
      <x:c r="L182" s="6" t="str"/>
    </x:row>
    <x:row r="183" ht="42" customHeight="1">
      <x:c r="A183" s="15" t="str">
        <x:v>NAV-176</x:v>
      </x:c>
      <x:c r="B183" s="13" t="str">
        <x:v>USER</x:v>
      </x:c>
      <x:c r="C183" s="13" t="n">
        <x:v>6</x:v>
      </x:c>
      <x:c r="D183" s="13" t="n">
        <x:v>11</x:v>
      </x:c>
      <x:c r="E183" s="13" t="str">
        <x:v>/app/strategy/qra-sensitivity</x:v>
      </x:c>
      <x:c r="F183" s="13" t="str">
        <x:v>Enterprise Strategy Manager &gt; Business Case &amp; Investment Development &gt; QRA &gt; Sensitivity / Drivers</x:v>
      </x:c>
      <x:c r="G183" s="13" t="str">
        <x:v>frontend/src/features/qra-engine/QraEngineWorkspace.tsx</x:v>
      </x:c>
      <x:c r="H183" s="13" t="str">
        <x:v>USER_TRANSACTION</x:v>
      </x:c>
      <x:c r="I183" s="20" t="b">
        <x:v>1</x:v>
      </x:c>
      <x:c r="J183" s="13" t="str">
        <x:v>NONE</x:v>
      </x:c>
      <x:c r="K183" s="20" t="b">
        <x:v>0</x:v>
      </x:c>
      <x:c r="L183" s="13" t="str"/>
    </x:row>
    <x:row r="184" ht="42" customHeight="1">
      <x:c r="A184" s="14" t="str">
        <x:v>NAV-177</x:v>
      </x:c>
      <x:c r="B184" s="6" t="str">
        <x:v>USER</x:v>
      </x:c>
      <x:c r="C184" s="6" t="n">
        <x:v>6</x:v>
      </x:c>
      <x:c r="D184" s="6" t="n">
        <x:v>12</x:v>
      </x:c>
      <x:c r="E184" s="6" t="str">
        <x:v>/app/strategy/qra-convergence</x:v>
      </x:c>
      <x:c r="F184" s="6" t="str">
        <x:v>Enterprise Strategy Manager &gt; Business Case &amp; Investment Development &gt; QRA &gt; Convergence</x:v>
      </x:c>
      <x:c r="G184" s="6" t="str">
        <x:v>frontend/src/features/qra-engine/QraEngineWorkspace.tsx</x:v>
      </x:c>
      <x:c r="H184" s="6" t="str">
        <x:v>USER_TRANSACTION</x:v>
      </x:c>
      <x:c r="I184" s="19" t="b">
        <x:v>1</x:v>
      </x:c>
      <x:c r="J184" s="6" t="str">
        <x:v>NONE</x:v>
      </x:c>
      <x:c r="K184" s="19" t="b">
        <x:v>0</x:v>
      </x:c>
      <x:c r="L184" s="6" t="str"/>
    </x:row>
    <x:row r="185" ht="42" customHeight="1">
      <x:c r="A185" s="15" t="str">
        <x:v>NAV-178</x:v>
      </x:c>
      <x:c r="B185" s="13" t="str">
        <x:v>USER</x:v>
      </x:c>
      <x:c r="C185" s="13" t="n">
        <x:v>6</x:v>
      </x:c>
      <x:c r="D185" s="13" t="n">
        <x:v>13</x:v>
      </x:c>
      <x:c r="E185" s="13" t="str">
        <x:v>/app/strategy/qra-run-evidence</x:v>
      </x:c>
      <x:c r="F185" s="13" t="str">
        <x:v>Enterprise Strategy Manager &gt; Business Case &amp; Investment Development &gt; QRA &gt; Evidence / Traceability</x:v>
      </x:c>
      <x:c r="G185" s="13" t="str">
        <x:v>frontend/src/features/qra-engine/QraEngineWorkspace.tsx</x:v>
      </x:c>
      <x:c r="H185" s="13" t="str">
        <x:v>USER_TRANSACTION</x:v>
      </x:c>
      <x:c r="I185" s="20" t="b">
        <x:v>1</x:v>
      </x:c>
      <x:c r="J185" s="13" t="str">
        <x:v>NONE</x:v>
      </x:c>
      <x:c r="K185" s="20" t="b">
        <x:v>0</x:v>
      </x:c>
      <x:c r="L185" s="13" t="str"/>
    </x:row>
    <x:row r="186" ht="42" customHeight="1">
      <x:c r="A186" s="14" t="str">
        <x:v>NAV-179</x:v>
      </x:c>
      <x:c r="B186" s="6" t="str">
        <x:v>USER</x:v>
      </x:c>
      <x:c r="C186" s="6" t="n">
        <x:v>6</x:v>
      </x:c>
      <x:c r="D186" s="6" t="n">
        <x:v>14</x:v>
      </x:c>
      <x:c r="E186" s="6" t="str">
        <x:v>/app/strategy/qra-run-comparison</x:v>
      </x:c>
      <x:c r="F186" s="6" t="str">
        <x:v>Enterprise Strategy Manager &gt; Business Case &amp; Investment Development &gt; QRA &gt; Run Comparison</x:v>
      </x:c>
      <x:c r="G186" s="6" t="str">
        <x:v>frontend/src/features/qra-engine/QraEngineWorkspace.tsx</x:v>
      </x:c>
      <x:c r="H186" s="6" t="str">
        <x:v>USER_TRANSACTION</x:v>
      </x:c>
      <x:c r="I186" s="19" t="b">
        <x:v>1</x:v>
      </x:c>
      <x:c r="J186" s="6" t="str">
        <x:v>NONE</x:v>
      </x:c>
      <x:c r="K186" s="19" t="b">
        <x:v>0</x:v>
      </x:c>
      <x:c r="L186" s="6" t="str"/>
    </x:row>
    <x:row r="187" ht="42" customHeight="1">
      <x:c r="A187" s="15" t="str">
        <x:v>NAV-180</x:v>
      </x:c>
      <x:c r="B187" s="13" t="str">
        <x:v>USER</x:v>
      </x:c>
      <x:c r="C187" s="13" t="n">
        <x:v>6</x:v>
      </x:c>
      <x:c r="D187" s="13" t="n">
        <x:v>15</x:v>
      </x:c>
      <x:c r="E187" s="13" t="str">
        <x:v>/app/strategy/qra-run-history</x:v>
      </x:c>
      <x:c r="F187" s="13" t="str">
        <x:v>Enterprise Strategy Manager &gt; Business Case &amp; Investment Development &gt; QRA &gt; Run History</x:v>
      </x:c>
      <x:c r="G187" s="13" t="str">
        <x:v>frontend/src/features/qra-engine/QraEngineWorkspace.tsx</x:v>
      </x:c>
      <x:c r="H187" s="13" t="str">
        <x:v>USER_TRANSACTION</x:v>
      </x:c>
      <x:c r="I187" s="20" t="b">
        <x:v>1</x:v>
      </x:c>
      <x:c r="J187" s="13" t="str">
        <x:v>NONE</x:v>
      </x:c>
      <x:c r="K187" s="20" t="b">
        <x:v>0</x:v>
      </x:c>
      <x:c r="L187" s="13" t="str"/>
    </x:row>
    <x:row r="188" ht="79" customHeight="1">
      <x:c r="A188" s="14" t="str">
        <x:v>NAV-181</x:v>
      </x:c>
      <x:c r="B188" s="6" t="str">
        <x:v>USER</x:v>
      </x:c>
      <x:c r="C188" s="6" t="n">
        <x:v>7</x:v>
      </x:c>
      <x:c r="D188" s="6" t="n">
        <x:v>1</x:v>
      </x:c>
      <x:c r="E188" s="6" t="str">
        <x:v>/app/strategy/investment-gate-preparation</x:v>
      </x:c>
      <x:c r="F188" s="6" t="str">
        <x:v>Enterprise Strategy Manager &gt; Investment Governance &gt; Investment Gate Preparation</x:v>
      </x:c>
      <x:c r="G188" s="6" t="str">
        <x:v>frontend/src/features/investment-gate-preparation/InvestmentGatePreparationWorkspace.tsx</x:v>
      </x:c>
      <x:c r="H188" s="6" t="str">
        <x:v>USER_TRANSACTION</x:v>
      </x:c>
      <x:c r="I188" s="19" t="b">
        <x:v>1</x:v>
      </x:c>
      <x:c r="J188" s="6" t="str">
        <x:v>ANCESTOR_LANDING_ALIAS_SAME_ROUTE</x:v>
      </x:c>
      <x:c r="K188" s="19" t="b">
        <x:v>0</x:v>
      </x:c>
      <x:c r="L188" s="6" t="str">
        <x:v>project-definition-fel; business-case-manager; strategic-benefits-plan; commercial-contracting-strategy; funds-funding-readiness; economic-financial-model; risk-readiness; permit-readiness; basic-data-readiness; owner-capability-readiness; qra-foundation</x:v>
      </x:c>
    </x:row>
    <x:row r="189" ht="42" customHeight="1">
      <x:c r="A189" s="15" t="str">
        <x:v>NAV-182</x:v>
      </x:c>
      <x:c r="B189" s="13" t="str">
        <x:v>USER</x:v>
      </x:c>
      <x:c r="C189" s="13" t="n">
        <x:v>7</x:v>
      </x:c>
      <x:c r="D189" s="13" t="n">
        <x:v>1</x:v>
      </x:c>
      <x:c r="E189" s="13" t="str">
        <x:v>/app/strategy/investment-decision-queue</x:v>
      </x:c>
      <x:c r="F189" s="13" t="str">
        <x:v>Enterprise Strategy Manager &gt; Investment Governance &gt; Investment Decision / FID &gt; Decision Queue</x:v>
      </x:c>
      <x:c r="G189" s="13" t="str">
        <x:v>frontend/src/features/investment-decision/InvestmentDecisionWorkspace.tsx</x:v>
      </x:c>
      <x:c r="H189" s="13" t="str">
        <x:v>USER_TRANSACTION</x:v>
      </x:c>
      <x:c r="I189" s="20" t="b">
        <x:v>1</x:v>
      </x:c>
      <x:c r="J189" s="13" t="str">
        <x:v>ANCESTOR_LANDING_ALIAS_SAME_ROUTE</x:v>
      </x:c>
      <x:c r="K189" s="20" t="b">
        <x:v>0</x:v>
      </x:c>
      <x:c r="L189" s="13" t="str"/>
    </x:row>
    <x:row r="190" ht="42" customHeight="1">
      <x:c r="A190" s="14" t="str">
        <x:v>NAV-183</x:v>
      </x:c>
      <x:c r="B190" s="6" t="str">
        <x:v>USER</x:v>
      </x:c>
      <x:c r="C190" s="6" t="n">
        <x:v>7</x:v>
      </x:c>
      <x:c r="D190" s="6" t="n">
        <x:v>2</x:v>
      </x:c>
      <x:c r="E190" s="6" t="str">
        <x:v>/app/strategy/investment-decision-mine</x:v>
      </x:c>
      <x:c r="F190" s="6" t="str">
        <x:v>Enterprise Strategy Manager &gt; Investment Governance &gt; Investment Decision / FID &gt; My Decisions</x:v>
      </x:c>
      <x:c r="G190" s="6" t="str">
        <x:v>frontend/src/features/investment-decision/InvestmentDecisionWorkspace.tsx</x:v>
      </x:c>
      <x:c r="H190" s="6" t="str">
        <x:v>USER_TRANSACTION</x:v>
      </x:c>
      <x:c r="I190" s="19" t="b">
        <x:v>1</x:v>
      </x:c>
      <x:c r="J190" s="6" t="str">
        <x:v>NONE</x:v>
      </x:c>
      <x:c r="K190" s="19" t="b">
        <x:v>0</x:v>
      </x:c>
      <x:c r="L190" s="6" t="str"/>
    </x:row>
    <x:row r="191" ht="42" customHeight="1">
      <x:c r="A191" s="15" t="str">
        <x:v>NAV-184</x:v>
      </x:c>
      <x:c r="B191" s="13" t="str">
        <x:v>USER</x:v>
      </x:c>
      <x:c r="C191" s="13" t="n">
        <x:v>7</x:v>
      </x:c>
      <x:c r="D191" s="13" t="n">
        <x:v>3</x:v>
      </x:c>
      <x:c r="E191" s="13" t="str">
        <x:v>/app/strategy/investment-decision-package</x:v>
      </x:c>
      <x:c r="F191" s="13" t="str">
        <x:v>Enterprise Strategy Manager &gt; Investment Governance &gt; Investment Decision / FID &gt; Investment Decision Package</x:v>
      </x:c>
      <x:c r="G191" s="13" t="str">
        <x:v>frontend/src/features/investment-decision/InvestmentDecisionWorkspace.tsx</x:v>
      </x:c>
      <x:c r="H191" s="13" t="str">
        <x:v>USER_TRANSACTION</x:v>
      </x:c>
      <x:c r="I191" s="20" t="b">
        <x:v>1</x:v>
      </x:c>
      <x:c r="J191" s="13" t="str">
        <x:v>NONE</x:v>
      </x:c>
      <x:c r="K191" s="20" t="b">
        <x:v>0</x:v>
      </x:c>
      <x:c r="L191" s="13" t="str"/>
    </x:row>
    <x:row r="192" ht="42" customHeight="1">
      <x:c r="A192" s="14" t="str">
        <x:v>NAV-185</x:v>
      </x:c>
      <x:c r="B192" s="6" t="str">
        <x:v>USER</x:v>
      </x:c>
      <x:c r="C192" s="6" t="n">
        <x:v>7</x:v>
      </x:c>
      <x:c r="D192" s="6" t="n">
        <x:v>4</x:v>
      </x:c>
      <x:c r="E192" s="6" t="str">
        <x:v>/app/strategy/investment-decision-evidence</x:v>
      </x:c>
      <x:c r="F192" s="6" t="str">
        <x:v>Enterprise Strategy Manager &gt; Investment Governance &gt; Investment Decision / FID &gt; Evidence Summary</x:v>
      </x:c>
      <x:c r="G192" s="6" t="str">
        <x:v>frontend/src/features/investment-decision/InvestmentDecisionWorkspace.tsx</x:v>
      </x:c>
      <x:c r="H192" s="6" t="str">
        <x:v>USER_TRANSACTION</x:v>
      </x:c>
      <x:c r="I192" s="19" t="b">
        <x:v>1</x:v>
      </x:c>
      <x:c r="J192" s="6" t="str">
        <x:v>NONE</x:v>
      </x:c>
      <x:c r="K192" s="19" t="b">
        <x:v>0</x:v>
      </x:c>
      <x:c r="L192" s="6" t="str"/>
    </x:row>
    <x:row r="193" ht="42" customHeight="1">
      <x:c r="A193" s="15" t="str">
        <x:v>NAV-186</x:v>
      </x:c>
      <x:c r="B193" s="13" t="str">
        <x:v>USER</x:v>
      </x:c>
      <x:c r="C193" s="13" t="n">
        <x:v>7</x:v>
      </x:c>
      <x:c r="D193" s="13" t="n">
        <x:v>5</x:v>
      </x:c>
      <x:c r="E193" s="13" t="str">
        <x:v>/app/strategy/investment-decision-checklist</x:v>
      </x:c>
      <x:c r="F193" s="13" t="str">
        <x:v>Enterprise Strategy Manager &gt; Investment Governance &gt; Investment Decision / FID &gt; Decision Checklist</x:v>
      </x:c>
      <x:c r="G193" s="13" t="str">
        <x:v>frontend/src/features/investment-decision/InvestmentDecisionWorkspace.tsx</x:v>
      </x:c>
      <x:c r="H193" s="13" t="str">
        <x:v>USER_TRANSACTION</x:v>
      </x:c>
      <x:c r="I193" s="20" t="b">
        <x:v>1</x:v>
      </x:c>
      <x:c r="J193" s="13" t="str">
        <x:v>NONE</x:v>
      </x:c>
      <x:c r="K193" s="20" t="b">
        <x:v>0</x:v>
      </x:c>
      <x:c r="L193" s="13" t="str"/>
    </x:row>
    <x:row r="194" ht="42" customHeight="1">
      <x:c r="A194" s="14" t="str">
        <x:v>NAV-187</x:v>
      </x:c>
      <x:c r="B194" s="6" t="str">
        <x:v>USER</x:v>
      </x:c>
      <x:c r="C194" s="6" t="n">
        <x:v>7</x:v>
      </x:c>
      <x:c r="D194" s="6" t="n">
        <x:v>6</x:v>
      </x:c>
      <x:c r="E194" s="6" t="str">
        <x:v>/app/strategy/investment-decision-conditions</x:v>
      </x:c>
      <x:c r="F194" s="6" t="str">
        <x:v>Enterprise Strategy Manager &gt; Investment Governance &gt; Investment Decision / FID &gt; Conditions</x:v>
      </x:c>
      <x:c r="G194" s="6" t="str">
        <x:v>frontend/src/features/investment-decision/InvestmentDecisionWorkspace.tsx</x:v>
      </x:c>
      <x:c r="H194" s="6" t="str">
        <x:v>USER_TRANSACTION</x:v>
      </x:c>
      <x:c r="I194" s="19" t="b">
        <x:v>1</x:v>
      </x:c>
      <x:c r="J194" s="6" t="str">
        <x:v>NONE</x:v>
      </x:c>
      <x:c r="K194" s="19" t="b">
        <x:v>0</x:v>
      </x:c>
      <x:c r="L194" s="6" t="str"/>
    </x:row>
    <x:row r="195" ht="42" customHeight="1">
      <x:c r="A195" s="15" t="str">
        <x:v>NAV-188</x:v>
      </x:c>
      <x:c r="B195" s="13" t="str">
        <x:v>USER</x:v>
      </x:c>
      <x:c r="C195" s="13" t="n">
        <x:v>7</x:v>
      </x:c>
      <x:c r="D195" s="13" t="n">
        <x:v>7</x:v>
      </x:c>
      <x:c r="E195" s="13" t="str">
        <x:v>/app/strategy/investment-decision-committee</x:v>
      </x:c>
      <x:c r="F195" s="13" t="str">
        <x:v>Enterprise Strategy Manager &gt; Investment Governance &gt; Investment Decision / FID &gt; Committee / Votes</x:v>
      </x:c>
      <x:c r="G195" s="13" t="str">
        <x:v>frontend/src/features/investment-decision/InvestmentDecisionWorkspace.tsx</x:v>
      </x:c>
      <x:c r="H195" s="13" t="str">
        <x:v>USER_TRANSACTION</x:v>
      </x:c>
      <x:c r="I195" s="20" t="b">
        <x:v>1</x:v>
      </x:c>
      <x:c r="J195" s="13" t="str">
        <x:v>NONE</x:v>
      </x:c>
      <x:c r="K195" s="20" t="b">
        <x:v>0</x:v>
      </x:c>
      <x:c r="L195" s="13" t="str"/>
    </x:row>
    <x:row r="196" ht="42" customHeight="1">
      <x:c r="A196" s="14" t="str">
        <x:v>NAV-189</x:v>
      </x:c>
      <x:c r="B196" s="6" t="str">
        <x:v>USER</x:v>
      </x:c>
      <x:c r="C196" s="6" t="n">
        <x:v>7</x:v>
      </x:c>
      <x:c r="D196" s="6" t="n">
        <x:v>8</x:v>
      </x:c>
      <x:c r="E196" s="6" t="str">
        <x:v>/app/strategy/investment-decision-history</x:v>
      </x:c>
      <x:c r="F196" s="6" t="str">
        <x:v>Enterprise Strategy Manager &gt; Investment Governance &gt; Investment Decision / FID &gt; Decision History</x:v>
      </x:c>
      <x:c r="G196" s="6" t="str">
        <x:v>frontend/src/features/investment-decision/InvestmentDecisionWorkspace.tsx</x:v>
      </x:c>
      <x:c r="H196" s="6" t="str">
        <x:v>USER_TRANSACTION</x:v>
      </x:c>
      <x:c r="I196" s="19" t="b">
        <x:v>1</x:v>
      </x:c>
      <x:c r="J196" s="6" t="str">
        <x:v>NONE</x:v>
      </x:c>
      <x:c r="K196" s="19" t="b">
        <x:v>0</x:v>
      </x:c>
      <x:c r="L196" s="6" t="str"/>
    </x:row>
    <x:row r="197" ht="42" customHeight="1">
      <x:c r="A197" s="15" t="str">
        <x:v>NAV-190</x:v>
      </x:c>
      <x:c r="B197" s="13" t="str">
        <x:v>USER</x:v>
      </x:c>
      <x:c r="C197" s="13" t="n">
        <x:v>7</x:v>
      </x:c>
      <x:c r="D197" s="13" t="n">
        <x:v>9</x:v>
      </x:c>
      <x:c r="E197" s="13" t="str">
        <x:v>/app/strategy/investment-decision-output</x:v>
      </x:c>
      <x:c r="F197" s="13" t="str">
        <x:v>Enterprise Strategy Manager &gt; Investment Governance &gt; Investment Decision / FID &gt; Authorization Output</x:v>
      </x:c>
      <x:c r="G197" s="13" t="str">
        <x:v>frontend/src/features/investment-decision/InvestmentDecisionWorkspace.tsx</x:v>
      </x:c>
      <x:c r="H197" s="13" t="str">
        <x:v>USER_TRANSACTION</x:v>
      </x:c>
      <x:c r="I197" s="20" t="b">
        <x:v>1</x:v>
      </x:c>
      <x:c r="J197" s="13" t="str">
        <x:v>NONE</x:v>
      </x:c>
      <x:c r="K197" s="20" t="b">
        <x:v>0</x:v>
      </x:c>
      <x:c r="L197" s="13" t="str"/>
    </x:row>
    <x:row r="198" ht="42" customHeight="1">
      <x:c r="A198" s="14" t="str">
        <x:v>NAV-191</x:v>
      </x:c>
      <x:c r="B198" s="6" t="str">
        <x:v>USER</x:v>
      </x:c>
      <x:c r="C198" s="6" t="n">
        <x:v>7</x:v>
      </x:c>
      <x:c r="D198" s="6" t="n">
        <x:v>1</x:v>
      </x:c>
      <x:c r="E198" s="6" t="str">
        <x:v>/app/strategy/post-fid-queue</x:v>
      </x:c>
      <x:c r="F198" s="6" t="str">
        <x:v>Enterprise Strategy Manager &gt; Investment Governance &gt; Post-FID Project Governance &gt; Post-FID Queue</x:v>
      </x:c>
      <x:c r="G198" s="6" t="str">
        <x:v>frontend/src/features/post-fid-governance/PostFIDGovernanceWorkspace.tsx</x:v>
      </x:c>
      <x:c r="H198" s="6" t="str">
        <x:v>USER_TRANSACTION</x:v>
      </x:c>
      <x:c r="I198" s="19" t="b">
        <x:v>1</x:v>
      </x:c>
      <x:c r="J198" s="6" t="str">
        <x:v>ANCESTOR_LANDING_ALIAS_SAME_ROUTE</x:v>
      </x:c>
      <x:c r="K198" s="19" t="b">
        <x:v>0</x:v>
      </x:c>
      <x:c r="L198" s="6" t="str"/>
    </x:row>
    <x:row r="199" ht="42" customHeight="1">
      <x:c r="A199" s="15" t="str">
        <x:v>NAV-192</x:v>
      </x:c>
      <x:c r="B199" s="13" t="str">
        <x:v>USER</x:v>
      </x:c>
      <x:c r="C199" s="13" t="n">
        <x:v>7</x:v>
      </x:c>
      <x:c r="D199" s="13" t="n">
        <x:v>2</x:v>
      </x:c>
      <x:c r="E199" s="13" t="str">
        <x:v>/app/strategy/post-fid-handoff</x:v>
      </x:c>
      <x:c r="F199" s="13" t="str">
        <x:v>Enterprise Strategy Manager &gt; Investment Governance &gt; Post-FID Project Governance &gt; FID Handoff</x:v>
      </x:c>
      <x:c r="G199" s="13" t="str">
        <x:v>frontend/src/features/post-fid-governance/PostFIDGovernanceWorkspace.tsx</x:v>
      </x:c>
      <x:c r="H199" s="13" t="str">
        <x:v>USER_TRANSACTION</x:v>
      </x:c>
      <x:c r="I199" s="20" t="b">
        <x:v>1</x:v>
      </x:c>
      <x:c r="J199" s="13" t="str">
        <x:v>NONE</x:v>
      </x:c>
      <x:c r="K199" s="20" t="b">
        <x:v>0</x:v>
      </x:c>
      <x:c r="L199" s="13" t="str"/>
    </x:row>
    <x:row r="200" ht="42" customHeight="1">
      <x:c r="A200" s="14" t="str">
        <x:v>NAV-193</x:v>
      </x:c>
      <x:c r="B200" s="6" t="str">
        <x:v>USER</x:v>
      </x:c>
      <x:c r="C200" s="6" t="n">
        <x:v>7</x:v>
      </x:c>
      <x:c r="D200" s="6" t="n">
        <x:v>3</x:v>
      </x:c>
      <x:c r="E200" s="6" t="str">
        <x:v>/app/strategy/post-fid-eligibility-matrix</x:v>
      </x:c>
      <x:c r="F200" s="6" t="str">
        <x:v>Enterprise Strategy Manager &gt; Investment Governance &gt; Post-FID Project Governance &gt; Project Eligibility Matrix</x:v>
      </x:c>
      <x:c r="G200" s="6" t="str">
        <x:v>frontend/src/features/post-fid-governance/PostFIDGovernanceWorkspace.tsx</x:v>
      </x:c>
      <x:c r="H200" s="6" t="str">
        <x:v>USER_TRANSACTION</x:v>
      </x:c>
      <x:c r="I200" s="19" t="b">
        <x:v>1</x:v>
      </x:c>
      <x:c r="J200" s="6" t="str">
        <x:v>NONE</x:v>
      </x:c>
      <x:c r="K200" s="19" t="b">
        <x:v>0</x:v>
      </x:c>
      <x:c r="L200" s="6" t="str"/>
    </x:row>
    <x:row r="201" ht="42" customHeight="1">
      <x:c r="A201" s="15" t="str">
        <x:v>NAV-194</x:v>
      </x:c>
      <x:c r="B201" s="13" t="str">
        <x:v>USER</x:v>
      </x:c>
      <x:c r="C201" s="13" t="n">
        <x:v>7</x:v>
      </x:c>
      <x:c r="D201" s="13" t="n">
        <x:v>4</x:v>
      </x:c>
      <x:c r="E201" s="13" t="str">
        <x:v>/app/strategy/post-fid-conditions</x:v>
      </x:c>
      <x:c r="F201" s="13" t="str">
        <x:v>Enterprise Strategy Manager &gt; Investment Governance &gt; Post-FID Project Governance &gt; Post-FID Conditions</x:v>
      </x:c>
      <x:c r="G201" s="13" t="str">
        <x:v>frontend/src/features/post-fid-governance/PostFIDGovernanceWorkspace.tsx</x:v>
      </x:c>
      <x:c r="H201" s="13" t="str">
        <x:v>USER_TRANSACTION</x:v>
      </x:c>
      <x:c r="I201" s="20" t="b">
        <x:v>1</x:v>
      </x:c>
      <x:c r="J201" s="13" t="str">
        <x:v>NONE</x:v>
      </x:c>
      <x:c r="K201" s="20" t="b">
        <x:v>0</x:v>
      </x:c>
      <x:c r="L201" s="13" t="str"/>
    </x:row>
    <x:row r="202" ht="42" customHeight="1">
      <x:c r="A202" s="14" t="str">
        <x:v>NAV-195</x:v>
      </x:c>
      <x:c r="B202" s="6" t="str">
        <x:v>USER</x:v>
      </x:c>
      <x:c r="C202" s="6" t="n">
        <x:v>7</x:v>
      </x:c>
      <x:c r="D202" s="6" t="n">
        <x:v>5</x:v>
      </x:c>
      <x:c r="E202" s="6" t="str">
        <x:v>/app/strategy/post-fid-initialization-handoff</x:v>
      </x:c>
      <x:c r="F202" s="6" t="str">
        <x:v>Enterprise Strategy Manager &gt; Investment Governance &gt; Post-FID Project Governance &gt; Initialization Handoff</x:v>
      </x:c>
      <x:c r="G202" s="6" t="str">
        <x:v>frontend/src/features/post-fid-governance/PostFIDGovernanceWorkspace.tsx</x:v>
      </x:c>
      <x:c r="H202" s="6" t="str">
        <x:v>USER_TRANSACTION</x:v>
      </x:c>
      <x:c r="I202" s="19" t="b">
        <x:v>1</x:v>
      </x:c>
      <x:c r="J202" s="6" t="str">
        <x:v>NONE</x:v>
      </x:c>
      <x:c r="K202" s="19" t="b">
        <x:v>0</x:v>
      </x:c>
      <x:c r="L202" s="6" t="str"/>
    </x:row>
    <x:row r="203" ht="42" customHeight="1">
      <x:c r="A203" s="15" t="str">
        <x:v>NAV-196</x:v>
      </x:c>
      <x:c r="B203" s="13" t="str">
        <x:v>USER</x:v>
      </x:c>
      <x:c r="C203" s="13" t="n">
        <x:v>7</x:v>
      </x:c>
      <x:c r="D203" s="13" t="n">
        <x:v>6</x:v>
      </x:c>
      <x:c r="E203" s="13" t="str">
        <x:v>/app/strategy/post-fid-activation-handoff</x:v>
      </x:c>
      <x:c r="F203" s="13" t="str">
        <x:v>Enterprise Strategy Manager &gt; Investment Governance &gt; Post-FID Project Governance &gt; Activation Handoff</x:v>
      </x:c>
      <x:c r="G203" s="13" t="str">
        <x:v>frontend/src/features/post-fid-governance/PostFIDGovernanceWorkspace.tsx</x:v>
      </x:c>
      <x:c r="H203" s="13" t="str">
        <x:v>USER_TRANSACTION</x:v>
      </x:c>
      <x:c r="I203" s="20" t="b">
        <x:v>1</x:v>
      </x:c>
      <x:c r="J203" s="13" t="str">
        <x:v>NONE</x:v>
      </x:c>
      <x:c r="K203" s="20" t="b">
        <x:v>0</x:v>
      </x:c>
      <x:c r="L203" s="13" t="str"/>
    </x:row>
    <x:row r="204" ht="42" customHeight="1">
      <x:c r="A204" s="14" t="str">
        <x:v>NAV-197</x:v>
      </x:c>
      <x:c r="B204" s="6" t="str">
        <x:v>USER</x:v>
      </x:c>
      <x:c r="C204" s="6" t="n">
        <x:v>7</x:v>
      </x:c>
      <x:c r="D204" s="6" t="n">
        <x:v>7</x:v>
      </x:c>
      <x:c r="E204" s="6" t="str">
        <x:v>/app/strategy/post-fid-history</x:v>
      </x:c>
      <x:c r="F204" s="6" t="str">
        <x:v>Enterprise Strategy Manager &gt; Investment Governance &gt; Post-FID Project Governance &gt; Post-FID History / Audit</x:v>
      </x:c>
      <x:c r="G204" s="6" t="str">
        <x:v>frontend/src/features/post-fid-governance/PostFIDGovernanceWorkspace.tsx</x:v>
      </x:c>
      <x:c r="H204" s="6" t="str">
        <x:v>USER_TRANSACTION</x:v>
      </x:c>
      <x:c r="I204" s="19" t="b">
        <x:v>1</x:v>
      </x:c>
      <x:c r="J204" s="6" t="str">
        <x:v>NONE</x:v>
      </x:c>
      <x:c r="K204" s="19" t="b">
        <x:v>0</x:v>
      </x:c>
      <x:c r="L204" s="6" t="str"/>
    </x:row>
  </x:sheetData>
  <x:pageMargins left="0.7" right="0.7" top="0.75" bottom="0.75" header="0.3" footer="0.3"/>
  <x:tableParts count="1">
    <x:tablePart xmlns:r="http://schemas.openxmlformats.org/officeDocument/2006/relationships" r:id="Rbfd41c467d06449a"/>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3" hidden="0" customWidth="1"/>
    <x:col min="2" max="2" width="88" hidden="0" customWidth="1"/>
    <x:col min="3" max="3" width="90" hidden="0" customWidth="1"/>
    <x:col min="4" max="4" width="70" hidden="0" customWidth="1"/>
  </x:cols>
  <x:sheetData>
    <x:row r="2" ht="26" customHeight="1">
      <x:c r="A2" s="1" t="str">
        <x:v>Reglas implementadas y referencias de evidencia</x:v>
      </x:c>
    </x:row>
    <x:row r="3">
      <x:c r="A3" s="2"/>
      <x:c r="B3" s="2"/>
      <x:c r="C3" s="2"/>
      <x:c r="D3" s="2"/>
    </x:row>
    <x:row r="4">
      <x:c r="A4" s="3" t="str">
        <x:v>Corte 14 octubre 2026</x:v>
      </x:c>
      <x:c r="B4" s="3"/>
      <x:c r="C4" s="3"/>
      <x:c r="D4" s="3" t="str">
        <x:v>Fuente del registro</x:v>
      </x:c>
      <x:c r="E4" t="str">
        <x:v>Catálogo de 26 reglas. Inspección de fuente separada del resultado ejecutado por caso.</x:v>
      </x:c>
    </x:row>
    <x:row r="5">
      <x:c r="A5" s="3" t="str">
        <x:v>Registros</x:v>
      </x:c>
      <x:c r="B5" s="3" t="n">
        <x:f>COUNTA(A8:A33)</x:f>
        <x:v>26</x:v>
      </x:c>
      <x:c r="C5" s="3"/>
      <x:c r="D5" s="3"/>
    </x:row>
    <x:row r="7" ht="34" customHeight="1">
      <x:c r="A7" s="10" t="str">
        <x:v>Regla ID</x:v>
      </x:c>
      <x:c r="B7" s="11" t="str">
        <x:v>Regla de negocio</x:v>
      </x:c>
      <x:c r="C7" s="11" t="str">
        <x:v>Implementación o prueba de referencia</x:v>
      </x:c>
      <x:c r="D7" s="12" t="str">
        <x:v>Tipo de evidencia</x:v>
      </x:c>
    </x:row>
    <x:row r="8" ht="42" customHeight="1">
      <x:c r="A8" s="14" t="str">
        <x:v>BR01</x:v>
      </x:c>
      <x:c r="B8" s="6" t="str">
        <x:v>ADMIN configures reusable policy; USER executes live records.</x:v>
      </x:c>
      <x:c r="C8" s="6" t="str">
        <x:v>backend/tests/test_capital_allocation_wave2a.py::test_wave2a_admin_user_rbac_separates_bucket_configuration_from_live_allocation</x:v>
      </x:c>
      <x:c r="D8" s="6" t="str">
        <x:v>SOURCE_CONFIRMED; execution status follows mapped case; no authorized business sign-off inferred</x:v>
      </x:c>
    </x:row>
    <x:row r="9" ht="42" customHeight="1">
      <x:c r="A9" s="15" t="str">
        <x:v>BR02</x:v>
      </x:c>
      <x:c r="B9" s="13" t="str">
        <x:v>Idea belongs to eligible enterprise/business-unit/portfolio and is a strategic record, not a Workspace.</x:v>
      </x:c>
      <x:c r="C9" s="13" t="str">
        <x:v>backend/app/modules/idea_demand/service.py::OWNING_TYPES</x:v>
      </x:c>
      <x:c r="D9" s="13" t="str">
        <x:v>SOURCE_CONFIRMED; execution status follows mapped case; no authorized business sign-off inferred</x:v>
      </x:c>
    </x:row>
    <x:row r="10" ht="42" customHeight="1">
      <x:c r="A10" s="14" t="str">
        <x:v>BR03</x:v>
      </x:c>
      <x:c r="B10" s="6" t="str">
        <x:v>Fresh CAPITAL_OWNER Idea may require independently completed Business Analysis before Proposal; do not silently use grandfathered snapshots.</x:v>
      </x:c>
      <x:c r="C10" s="6" t="str">
        <x:v>backend/tests/test_business_analysis_gate07a_ba.py::test_gate07a_ba_full_path_sod_lineage_and_immutable_snapshots</x:v>
      </x:c>
      <x:c r="D10" s="6" t="str">
        <x:v>SOURCE_CONFIRMED; execution status follows mapped case; no authorized business sign-off inferred</x:v>
      </x:c>
    </x:row>
    <x:row r="11" ht="42" customHeight="1">
      <x:c r="A11" s="15" t="str">
        <x:v>BR04</x:v>
      </x:c>
      <x:c r="B11" s="13" t="str">
        <x:v>Project identity is enterprise_workspaces with workspace_type_code=project; materialization is single shared engine.</x:v>
      </x:c>
      <x:c r="C11" s="13" t="str">
        <x:v>backend/tests/test_project_creation_process.py::test_32_no_legacy_project_row_is_created</x:v>
      </x:c>
      <x:c r="D11" s="13" t="str">
        <x:v>SOURCE_CONFIRMED; execution status follows mapped case; no authorized business sign-off inferred</x:v>
      </x:c>
    </x:row>
    <x:row r="12" ht="42" customHeight="1">
      <x:c r="A12" s="14" t="str">
        <x:v>BR05</x:v>
      </x:c>
      <x:c r="B12" s="6" t="str">
        <x:v>Governance model and project_type are independent dimensions.</x:v>
      </x:c>
      <x:c r="C12" s="6" t="str">
        <x:v>backend/tests/test_project_creation_process.py::test_44_direct_internal_and_project_type_are_separate_dimensions</x:v>
      </x:c>
      <x:c r="D12" s="6" t="str">
        <x:v>SOURCE_CONFIRMED; execution status follows mapped case; no authorized business sign-off inferred</x:v>
      </x:c>
    </x:row>
    <x:row r="13" ht="42" customHeight="1">
      <x:c r="A13" s="15" t="str">
        <x:v>BR06</x:v>
      </x:c>
      <x:c r="B13" s="13" t="str">
        <x:v>Strategic Gate APPROVE authorizes Portfolio Intake, not Project creation, FID or activation; governed planning entry and materializer create identity.</x:v>
      </x:c>
      <x:c r="C13" s="13" t="str">
        <x:v>backend/tests/test_strategic_gate_gate07c.py::test_gate07c_approve_produces_portfolio_intake_readiness_only</x:v>
      </x:c>
      <x:c r="D13" s="13" t="str">
        <x:v>SOURCE_CONFIRMED; execution status follows mapped case; no authorized business sign-off inferred</x:v>
      </x:c>
    </x:row>
    <x:row r="14" ht="42" customHeight="1">
      <x:c r="A14" s="14" t="str">
        <x:v>BR07</x:v>
      </x:c>
      <x:c r="B14" s="6" t="str">
        <x:v>Every materialized Project starts pending; initialization and independent activation are separate.</x:v>
      </x:c>
      <x:c r="C14" s="6" t="str">
        <x:v>backend/tests/test_strategic_final_uat_routes.py::test_compact_governance_source_to_independent_activation</x:v>
      </x:c>
      <x:c r="D14" s="6" t="str">
        <x:v>SOURCE_CONFIRMED; execution status follows mapped case; no authorized business sign-off inferred</x:v>
      </x:c>
    </x:row>
    <x:row r="15" ht="42" customHeight="1">
      <x:c r="A15" s="15" t="str">
        <x:v>BR08</x:v>
      </x:c>
      <x:c r="B15" s="13" t="str">
        <x:v>Portfolio Rank is contextual to membership/evaluation, not global per Project.</x:v>
      </x:c>
      <x:c r="C15" s="13" t="str">
        <x:v>backend/tests/test_portfolio_evaluation_gate07e.py::test_same_project_can_have_independent_evaluation_and_rank_in_two_portfolios</x:v>
      </x:c>
      <x:c r="D15" s="13" t="str">
        <x:v>SOURCE_CONFIRMED; execution status follows mapped case; no authorized business sign-off inferred</x:v>
      </x:c>
    </x:row>
    <x:row r="16" ht="42" customHeight="1">
      <x:c r="A16" s="14" t="str">
        <x:v>BR09</x:v>
      </x:c>
      <x:c r="B16" s="6" t="str">
        <x:v>Mixed monetary currencies without governed FX cannot be silently aggregated/comparable.</x:v>
      </x:c>
      <x:c r="C16" s="6" t="str">
        <x:v>backend/tests/test_portfolio_analysis_gate07f.py::test_currency_guardrail_disables_monetary_size_and_budget_branch_only</x:v>
      </x:c>
      <x:c r="D16" s="6" t="str">
        <x:v>SOURCE_CONFIRMED; execution status follows mapped case; no authorized business sign-off inferred</x:v>
      </x:c>
    </x:row>
    <x:row r="17" ht="42" customHeight="1">
      <x:c r="A17" s="15" t="str">
        <x:v>BR10</x:v>
      </x:c>
      <x:c r="B17" s="13" t="str">
        <x:v>Budget FROZEN is analytical immutability, not approved investment authority.</x:v>
      </x:c>
      <x:c r="C17" s="13" t="str">
        <x:v>backend/tests/test_portfolio_budget_gate07g.py::test_happy_path_target_scenarios_comparison_and_final_contract</x:v>
      </x:c>
      <x:c r="D17" s="13" t="str">
        <x:v>SOURCE_CONFIRMED; execution status follows mapped case; no authorized business sign-off inferred</x:v>
      </x:c>
    </x:row>
    <x:row r="18" ht="42" customHeight="1">
      <x:c r="A18" s="14" t="str">
        <x:v>BR11</x:v>
      </x:c>
      <x:c r="B18" s="6" t="str">
        <x:v>Strategic Resource Scenario does not change Project dates, assign named staff or perform P6 leveling.</x:v>
      </x:c>
      <x:c r="C18" s="6" t="str">
        <x:v>backend/tests/test_portfolio_resource_gate07h.py::test_gate07h_happy_path_overload_timing_comparison_and_final_output</x:v>
      </x:c>
      <x:c r="D18" s="6" t="str">
        <x:v>SOURCE_CONFIRMED; execution status follows mapped case; no authorized business sign-off inferred</x:v>
      </x:c>
    </x:row>
    <x:row r="19" ht="42" customHeight="1">
      <x:c r="A19" s="15" t="str">
        <x:v>BR12</x:v>
      </x:c>
      <x:c r="B19" s="13" t="str">
        <x:v>Portfolio recommendation is not FID; infeasible/misaligned alternative cannot be recommended.</x:v>
      </x:c>
      <x:c r="C19" s="13" t="str">
        <x:v>backend/tests/test_portfolio_convergence_gate07i.py::test_misaligned_and_forced_conflict_alternative_is_not_recommendable</x:v>
      </x:c>
      <x:c r="D19" s="13" t="str">
        <x:v>SOURCE_CONFIRMED; execution status follows mapped case; no authorized business sign-off inferred</x:v>
      </x:c>
    </x:row>
    <x:row r="20" ht="42" customHeight="1">
      <x:c r="A20" s="14" t="str">
        <x:v>BR13</x:v>
      </x:c>
      <x:c r="B20" s="6" t="str">
        <x:v>HOLD_FOR_CAPACITY is a portfolio governance request, not Gate07K HOLD or automatic source write-back.</x:v>
      </x:c>
      <x:c r="C20" s="6" t="str">
        <x:v>backend/tests/test_portfolio_review_wave3a.py::test_wave3a_action_semantics_are_request_only_without_source_mutations</x:v>
      </x:c>
      <x:c r="D20" s="6" t="str">
        <x:v>SOURCE_CONFIRMED; execution status follows mapped case; no authorized business sign-off inferred</x:v>
      </x:c>
    </x:row>
    <x:row r="21" ht="66" customHeight="1">
      <x:c r="A21" s="15" t="str">
        <x:v>BR14</x:v>
      </x:c>
      <x:c r="B21" s="13" t="str">
        <x:v>FEL Stage is not Definition Maturity/PDRI; score cannot hide blocking gaps; Basic Data is separate.</x:v>
      </x:c>
      <x:c r="C21" s="13" t="str">
        <x:v>backend/tests/test_project_definition_gate07j_fel.py::test_below_threshold_blocking_element_and_action_prevent_score_only_readiness; backend/tests/test_basic_data_wave2b.py::test_basic_data_mining_happy_path_exact_denominator_provider_and_authority_independence</x:v>
      </x:c>
      <x:c r="D21" s="13" t="str">
        <x:v>SOURCE_CONFIRMED; execution status follows mapped case; no authorized business sign-off inferred</x:v>
      </x:c>
    </x:row>
    <x:row r="22" ht="42" customHeight="1">
      <x:c r="A22" s="14" t="str">
        <x:v>BR15</x:v>
      </x:c>
      <x:c r="B22" s="6" t="str">
        <x:v>Owner Capability is not Resource Planning, Contractor Capability or Operational Readiness; maturity is not quality/confidence.</x:v>
      </x:c>
      <x:c r="C22" s="6" t="str">
        <x:v>backend/tests/test_owner_capability_wave3b.py::test_quality_confidence_semantics_are_distinct_and_scale_configurable</x:v>
      </x:c>
      <x:c r="D22" s="6" t="str">
        <x:v>SOURCE_CONFIRMED; execution status follows mapped case; no authorized business sign-off inferred</x:v>
      </x:c>
    </x:row>
    <x:row r="23" ht="42" customHeight="1">
      <x:c r="A23" s="15" t="str">
        <x:v>BR16</x:v>
      </x:c>
      <x:c r="B23" s="13" t="str">
        <x:v>Funding is not Budget; current confirmed coverage can stale when authority changes without rewriting frozen FIN/BC/Gate/FID.</x:v>
      </x:c>
      <x:c r="C23" s="13" t="str">
        <x:v>backend/tests/test_gate07m_fid_e2e.py::test_new_pyp_ffa_fid_path_full_stack_revalidation</x:v>
      </x:c>
      <x:c r="D23" s="13" t="str">
        <x:v>SOURCE_CONFIRMED; execution status follows mapped case; no authorized business sign-off inferred</x:v>
      </x:c>
    </x:row>
    <x:row r="24" ht="42" customHeight="1">
      <x:c r="A24" s="14" t="str">
        <x:v>BR17</x:v>
      </x:c>
      <x:c r="B24" s="6" t="str">
        <x:v>Completed immutable content may transition to SUPERSEDED only under controlled lifecycle; history must not be rewritten.</x:v>
      </x:c>
      <x:c r="C24" s="6" t="str">
        <x:v>backend/app/modules/strategic_benefits/models.py; backend/app/modules/commercial_strategy/models.py</x:v>
      </x:c>
      <x:c r="D24" s="6" t="str">
        <x:v>SOURCE_CONFIRMED; execution status follows mapped case; no authorized business sign-off inferred</x:v>
      </x:c>
    </x:row>
    <x:row r="25" ht="53" customHeight="1">
      <x:c r="A25" s="15" t="str">
        <x:v>BR18</x:v>
      </x:c>
      <x:c r="B25" s="13" t="str">
        <x:v>QRA provider AVAILABLE is not a universal QRA mandate; effective policy controls model/project/type/value/stage applicability.</x:v>
      </x:c>
      <x:c r="C25" s="13" t="str">
        <x:v>backend/tests/test_qra_evidence_policy.py::test_one_provider_two_qualified_rows_and_no_default_requirement; backend/tests/test_qra_evidence_policy.py::test_qra_not_forced_on_other_governance</x:v>
      </x:c>
      <x:c r="D25" s="13" t="str">
        <x:v>SOURCE_CONFIRMED; execution status follows mapped case; no authorized business sign-off inferred</x:v>
      </x:c>
    </x:row>
    <x:row r="26" ht="42" customHeight="1">
      <x:c r="A26" s="14" t="str">
        <x:v>BR19</x:v>
      </x:c>
      <x:c r="B26" s="6" t="str">
        <x:v>Only accepted current QRA with matching analysis/scope/capability can satisfy required QRA evidence.</x:v>
      </x:c>
      <x:c r="C26" s="6" t="str">
        <x:v>backend/tests/test_qra_evidence_policy.py::test_result_qualifiers_and_freshness</x:v>
      </x:c>
      <x:c r="D26" s="6" t="str">
        <x:v>SOURCE_CONFIRMED; execution status follows mapped case; no authorized business sign-off inferred</x:v>
      </x:c>
    </x:row>
    <x:row r="27" ht="42" customHeight="1">
      <x:c r="A27" s="15" t="str">
        <x:v>BR20</x:v>
      </x:c>
      <x:c r="B27" s="13" t="str">
        <x:v>Class A native provider requirement cannot be replaced by manual attachment.</x:v>
      </x:c>
      <x:c r="C27" s="13" t="str">
        <x:v>backend/tests/test_qra_evidence_stack.py::test_class_a_manual_qra_fallback_remains_forbidden</x:v>
      </x:c>
      <x:c r="D27" s="13" t="str">
        <x:v>SOURCE_CONFIRMED; execution status follows mapped case; no authorized business sign-off inferred</x:v>
      </x:c>
    </x:row>
    <x:row r="28" ht="42" customHeight="1">
      <x:c r="A28" s="14" t="str">
        <x:v>BR21</x:v>
      </x:c>
      <x:c r="B28" s="6" t="str">
        <x:v>Consumer Gate/BC/FID never creates or executes QRA; no automatic contingency approval/Budget/schedule write-back.</x:v>
      </x:c>
      <x:c r="C28" s="6" t="str">
        <x:v>backend/tests/test_qra_evidence_stack.py::test_actual_cost_schedule_policy_bc_gate_and_fid_path</x:v>
      </x:c>
      <x:c r="D28" s="6" t="str">
        <x:v>SOURCE_CONFIRMED; execution status follows mapped case; no authorized business sign-off inferred</x:v>
      </x:c>
    </x:row>
    <x:row r="29" ht="42" customHeight="1">
      <x:c r="A29" s="15" t="str">
        <x:v>BR22</x:v>
      </x:c>
      <x:c r="B29" s="13" t="str">
        <x:v>Gate07J prepares/freezes evidence and can hand off to decision, but has no FID authority; Gate07K sole formal investment decision authority.</x:v>
      </x:c>
      <x:c r="C29" s="13" t="str">
        <x:v>backend/tests/test_investment_gate_preparation_gate07j.py::test_happy_path_freezes_decision_ready_package_without_fid_authority</x:v>
      </x:c>
      <x:c r="D29" s="13" t="str">
        <x:v>SOURCE_CONFIRMED; execution status follows mapped case; no authorized business sign-off inferred</x:v>
      </x:c>
    </x:row>
    <x:row r="30" ht="53" customHeight="1">
      <x:c r="A30" s="14" t="str">
        <x:v>BR23</x:v>
      </x:c>
      <x:c r="B30" s="6" t="str">
        <x:v>PYP-FFA+GO sets formal FID/full funds/investment authorization; GO selection is not FID and no decision auto-activates Project.</x:v>
      </x:c>
      <x:c r="C30" s="6" t="str">
        <x:v>backend/tests/test_investment_decision_gate07k.py::test_pyp_ffa_go_is_single_fid_and_duplicate_decide_is_idempotent; backend/tests/test_investment_decision_gate07k.py::test_investment_selection_go_is_not_fid_and_has_no_project_activation</x:v>
      </x:c>
      <x:c r="D30" s="6" t="str">
        <x:v>SOURCE_CONFIRMED; execution status follows mapped case; no authorized business sign-off inferred</x:v>
      </x:c>
    </x:row>
    <x:row r="31" ht="42" customHeight="1">
      <x:c r="A31" s="15" t="str">
        <x:v>BR24</x:v>
      </x:c>
      <x:c r="B31" s="13" t="str">
        <x:v>Post-FID eligibility is not operational execution; existing active Project not reactivated.</x:v>
      </x:c>
      <x:c r="C31" s="13" t="str">
        <x:v>backend/tests/test_post_fid_governance_gate07l.py::test_project_state_routes_reuse_existing_initialization_state</x:v>
      </x:c>
      <x:c r="D31" s="13" t="str">
        <x:v>SOURCE_CONFIRMED; execution status follows mapped case; no authorized business sign-off inferred</x:v>
      </x:c>
    </x:row>
    <x:row r="32" ht="53" customHeight="1">
      <x:c r="A32" s="14" t="str">
        <x:v>BR25</x:v>
      </x:c>
      <x:c r="B32" s="6" t="str">
        <x:v>Contractor source authorization is mobilization_authorized or notice_to_proceed_date; Direct source authorization is authorization_approved; Capital Owner source activation requires execution_authorized.</x:v>
      </x:c>
      <x:c r="C32" s="6" t="str">
        <x:v>backend/app/modules/project_creation/governance.py::activation_authorization_status</x:v>
      </x:c>
      <x:c r="D32" s="6" t="str">
        <x:v>SOURCE_CONFIRMED; execution status follows mapped case; no authorized business sign-off inferred</x:v>
      </x:c>
    </x:row>
    <x:row r="33" ht="53" customHeight="1">
      <x:c r="A33" s="15" t="str">
        <x:v>BR26</x:v>
      </x:c>
      <x:c r="B33" s="13" t="str">
        <x:v>Contractor/Direct default route does not impose Idea/Portfolio/FEL/PDRI/FID; explicit opt-in policy can add context.</x:v>
      </x:c>
      <x:c r="C33" s="13" t="str">
        <x:v>backend/app/modules/project_creation/governance.py::DEFAULT_GOVERNANCE_POLICIES; backend/tests/test_strategic_final_uat_routes.py::test_compact_governance_source_to_independent_activation</x:v>
      </x:c>
      <x:c r="D33" s="13" t="str">
        <x:v>SOURCE_CONFIRMED; execution status follows mapped case; no authorized business sign-off inferred</x:v>
      </x:c>
    </x:row>
  </x:sheetData>
  <x:pageMargins left="0.7" right="0.7" top="0.75" bottom="0.75" header="0.3" footer="0.3"/>
  <x:tableParts count="1">
    <x:tablePart xmlns:r="http://schemas.openxmlformats.org/officeDocument/2006/relationships" r:id="R068f9874daa04b9b"/>
  </x:tableParts>
</x:worksheet>
</file>

<file path=xl/worksheets/sheet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1" hidden="0" customWidth="1"/>
    <x:col min="2" max="2" width="30" hidden="0" customWidth="1"/>
    <x:col min="3" max="3" width="21" hidden="0" customWidth="1"/>
    <x:col min="4" max="4" width="55" hidden="0" customWidth="1"/>
    <x:col min="5" max="5" width="70" hidden="0" customWidth="1"/>
    <x:col min="6" max="6" width="34" hidden="0" customWidth="1"/>
    <x:col min="7" max="7" width="68" hidden="0" customWidth="1"/>
    <x:col min="8" max="8" width="25" hidden="0" customWidth="1"/>
    <x:col min="9" max="9" width="78" hidden="0" customWidth="1"/>
    <x:col min="16" max="16" width="80" hidden="0" customWidth="1"/>
    <x:col min="17" max="17" width="80" hidden="0" customWidth="1"/>
    <x:col min="18" max="18" width="90" hidden="0" customWidth="1"/>
  </x:cols>
  <x:sheetData>
    <x:row r="2" ht="26" customHeight="1">
      <x:c r="A2" s="1" t="str">
        <x:v>Defectos y acciones del cierre estratégico</x:v>
      </x:c>
    </x:row>
    <x:row r="3">
      <x:c r="A3" s="2"/>
      <x:c r="B3" s="2"/>
      <x:c r="C3" s="2"/>
      <x:c r="D3" s="2"/>
      <x:c r="E3" s="2"/>
      <x:c r="F3" s="2"/>
      <x:c r="G3" s="2"/>
      <x:c r="H3" s="2"/>
      <x:c r="I3" s="2"/>
    </x:row>
    <x:row r="4">
      <x:c r="A4" s="3" t="str">
        <x:v>Corte 14 octubre 2026</x:v>
      </x:c>
      <x:c r="B4" s="3"/>
      <x:c r="C4" s="3"/>
      <x:c r="D4" s="3" t="str">
        <x:v>Fuente del registro</x:v>
      </x:c>
      <x:c r="E4" s="3" t="str">
        <x:v>Hallazgos consolidados por Root. No se reclasifica un defecto como deuda técnica para ocultarlo.</x:v>
      </x:c>
      <x:c r="F4" s="3"/>
      <x:c r="G4" s="3"/>
      <x:c r="H4" s="3"/>
      <x:c r="I4" s="3"/>
    </x:row>
    <x:row r="5">
      <x:c r="A5" s="3" t="str">
        <x:v>Registros</x:v>
      </x:c>
      <x:c r="B5" s="3" t="n">
        <x:f>COUNTA(A8:A25)</x:f>
        <x:v>18</x:v>
      </x:c>
      <x:c r="C5" s="3"/>
      <x:c r="D5" s="3"/>
      <x:c r="E5" s="3"/>
      <x:c r="F5" s="3"/>
      <x:c r="G5" s="3"/>
      <x:c r="H5" s="3"/>
      <x:c r="I5" s="3"/>
    </x:row>
    <x:row r="7" ht="34" customHeight="1">
      <x:c r="A7" s="10" t="str">
        <x:v>Defecto ID</x:v>
      </x:c>
      <x:c r="B7" s="11" t="str">
        <x:v>Clasificación</x:v>
      </x:c>
      <x:c r="C7" s="11" t="str">
        <x:v>Severidad</x:v>
      </x:c>
      <x:c r="D7" s="11" t="str">
        <x:v>Título</x:v>
      </x:c>
      <x:c r="E7" s="11" t="str">
        <x:v>Resultado o impacto</x:v>
      </x:c>
      <x:c r="F7" s="11" t="str">
        <x:v>Estado</x:v>
      </x:c>
      <x:c r="G7" s="11" t="str">
        <x:v>Acción o workaround</x:v>
      </x:c>
      <x:c r="H7" s="11" t="str">
        <x:v>Responsable</x:v>
      </x:c>
      <x:c r="I7" s="12" t="str">
        <x:v>Evidencia</x:v>
      </x:c>
      <x:c r="P7" s="10" t="str">
        <x:v>Historial anterior 14 octubre</x:v>
      </x:c>
      <x:c r="Q7" s="10" t="str">
        <x:v>Disposición previa al preflight</x:v>
      </x:c>
      <x:c r="R7" s="10" t="str">
        <x:v>Disposición previa a reconstrucción</x:v>
      </x:c>
    </x:row>
    <x:row r="8" ht="42" customHeight="1">
      <x:c r="A8" s="14" t="str">
        <x:v>UAT-S2-001</x:v>
      </x:c>
      <x:c r="B8" s="6" t="str">
        <x:v>DEFECT</x:v>
      </x:c>
      <x:c r="C8" s="6" t="str">
        <x:v>S2 CRITICAL</x:v>
      </x:c>
      <x:c r="D8" s="6" t="str">
        <x:v>Project creado o activado por comandos ADMIN genéricos</x:v>
      </x:c>
      <x:c r="E8" s="6" t="str">
        <x:v>Se rechazó PROJECT con 409 antes de DML y se preservaron las actualizaciones legítimas sin cambio de lifecycle.</x:v>
      </x:c>
      <x:c r="F8" s="6" t="str">
        <x:v>CLOSED_SCOPED_TESTS_PASS</x:v>
      </x:c>
      <x:c r="G8" s="6" t="str">
        <x:v>Usar Project Creation Process USER y lifecycle existente</x:v>
      </x:c>
      <x:c r="H8" s="6" t="str">
        <x:v>Equipo de desarrollo</x:v>
      </x:c>
      <x:c r="I8" s="6" t="str">
        <x:v>backend-authority-guard-final.xml; browser-final.xml negativo: tres Workspaces antes y tres después</x:v>
      </x:c>
      <x:c r="P8" s="25" t="str">
        <x:v>Anterior CLOSED_SCOPED_TESTS_PASS. ["UAT-S2-001","DEFECT","S2 CRITICAL","Project creado o activado por comandos ADMIN genéricos","Se rechazó PROJECT con 409 antes de DML y se preservaron las actualizaciones legítimas sin cambio de lifecycle.","CLOSED_SCOPED_TESTS_PASS","Usar Project Creation Process USER y lifecycle existente","Equipo de desarrollo","backend-authority-guard-final.xml; browser-final.xml negativo: tres Workspaces antes y tres después",null,null,null,null,null,null]</x:v>
      </x:c>
    </x:row>
    <x:row r="9" ht="53" customHeight="1">
      <x:c r="A9" s="15" t="str">
        <x:v>UAT-S2-002</x:v>
      </x:c>
      <x:c r="B9" s="13" t="str">
        <x:v>DEFECT</x:v>
      </x:c>
      <x:c r="C9" s="13" t="str">
        <x:v>S2 CRITICAL</x:v>
      </x:c>
      <x:c r="D9" s="13" t="str">
        <x:v>Revisión CORE materializa Project nuevo activo o cambia estado fuera del lifecycle</x:v>
      </x:c>
      <x:c r="E9" s="13" t="str">
        <x:v>Preflight rechaza nueva identidad, conversión, omisión que archivaría y cambio de estado antes de materializar. La adopción existente requiere identidad tenant scoped.</x:v>
      </x:c>
      <x:c r="F9" s="13" t="str">
        <x:v>CLOSED_SCOPED_TESTS_PASS</x:v>
      </x:c>
      <x:c r="G9" s="13" t="str">
        <x:v>Adoptar solo identidades históricas existentes sin cambios de lifecycle</x:v>
      </x:c>
      <x:c r="H9" s="13" t="str">
        <x:v>Equipo de desarrollo</x:v>
      </x:c>
      <x:c r="I9" s="13" t="str">
        <x:v>backend-authority-guard-final.xml y tests CORE de identidad; reproducción anterior conservada</x:v>
      </x:c>
      <x:c r="P9" s="25" t="str">
        <x:v>Anterior CLOSED_SCOPED_TESTS_PASS. ["UAT-S2-002","DEFECT","S2 CRITICAL","Revisión CORE materializa Project nuevo activo o cambia estado fuera del lifecycle","Preflight rechaza nueva identidad, conversión, omisión que archivaría y cambio de estado antes de materializar. La adopción existente requiere identidad tenant scoped.","CLOSED_SCOPED_TESTS_PASS","Adoptar solo identidades históricas existentes sin cambios de lifecycle","Equipo de desarrollo","backend-authority-guard-final.xml y tests CORE de identidad; reproducción anterior conservada",null,null,null,null,null,null]</x:v>
      </x:c>
    </x:row>
    <x:row r="10" ht="290" customHeight="1">
      <x:c r="A10" s="14" t="str">
        <x:v>UAT-S2-003</x:v>
      </x:c>
      <x:c r="B10" s="6" t="str">
        <x:v>CONFIGURATION GAP</x:v>
      </x:c>
      <x:c r="C10" s="6" t="str">
        <x:v>S2 CRITICAL</x:v>
      </x:c>
      <x:c r="D10" s="6" t="str">
        <x:v>Capital Owner completo no acreditado y fixture FID sin fuentes Five Case requeridas</x:v>
      </x:c>
      <x:c r="E10" s="6" t="str">
        <x:v>Cuatro Class B, freeze y FID acreditados en la nueva cadena autorizada. Cierre integral acreditado.</x:v>
      </x:c>
      <x:c r="F10" s="6" t="str">
        <x:v>CLOSED_SCOPED_TECHNICAL</x:v>
      </x:c>
      <x:c r="G10" s="6" t="str">
        <x:v>Conservar cadena e historial; resolver únicamente el bloqueo pendiente y repetir las verificaciones afectadas.</x:v>
      </x:c>
      <x:c r="H10" s="6" t="str">
        <x:v>Responsables UAT y administradores de dominios por designar</x:v>
      </x:c>
      <x:c r="I10" s="6" t="str">
        <x:v>outputs/.qa/gate07j-controlled-class-b-rebuild/fresh-capital-owner-chain.json
outputs/.qa/gate07j-controlled-class-b-rebuild/selected-delivery-20261016.json
outputs/.qa/gate07j-controlled-class-b-rebuild/broad-clean/backend-strategic-regression-clean.xml
outputs/.qa/gate07j-controlled-class-b-rebuild/browser-actual-3/strategic-capital-current.xml</x:v>
      </x:c>
      <x:c r="P10" s="25" t="str">
        <x:v>Anterior OPEN. ["UAT-S2-003","CONFIGURATION GAP","S2 CRITICAL","Capital Owner completo no acreditado y fixture FID sin fuentes Five Case requeridas","Una base nueva reproduce BUSINESS_CASE_NOT_READY. El ensayo viejo no prepara las fuentes requeridas por Five Case vigente; no demuestra ausencia de módulos productivos.","OPEN","No liberar. Preparar fuentes BA Benefits Commercial Permit FEL y FIN por sus ciclos reales y repetir una sola cadena fresca","Responsables UAT y administradores de dominios por designar","backend-full-fid-isolated-final.xml; no rebajar requisitos",null,null,null,null,null,null]</x:v>
      </x:c>
      <x:c r="Q10" s="5" t="str">
        <x:v>{"actual":"La cadena nueva está registrada por etapas; no se acredita A0 a A31 completo hasta cumplir fuentes actuales, FID, Post FID, regresión y Chromium sobre la misma identidad","status":"OPEN","evidence":"fresh-capital-owner-chain.json","workaround":"No liberar. Preparar fuentes BA Benefits Commercial Permit FEL y FIN por sus ciclos reales y repetir una sola cadena fresca"}</x:v>
      </x:c>
      <x:c r="R10" s="5" t="str">
        <x:v>{"actual":"OPEN. El cierre Capital Owner A0–A31 sigue sin acreditarse. Esta continuación está bloqueada antes de comandos de negocio por pérdida de la base UAT tmpfs. No se rebajó política ni se reconstruyó upstream","status":"OPEN","action":"Recuperar el respaldo PostgreSQL exacto de la cadena UAT seleccionada. Si no existe, obtener autorización humana explícita para reconstruir por lifecycles gobernados en almacenamiento aislado persistente. No reconstruir ni repetir la cadena sin esa autorización","evidence":"preflight.json. BLOCKED_UAT_DATABASE_NOT_AVAILABLE. Fuentes y ensayos previos son históricos. Pruebas y navegador NOT_RUN"}</x:v>
      </x:c>
    </x:row>
    <x:row r="11" ht="42" customHeight="1">
      <x:c r="A11" s="15" t="str">
        <x:v>UAT-S3-001</x:v>
      </x:c>
      <x:c r="B11" s="13" t="str">
        <x:v>UX/NAVIGATION GAP</x:v>
      </x:c>
      <x:c r="C11" s="13" t="str">
        <x:v>S3 MAJOR</x:v>
      </x:c>
      <x:c r="D11" s="13" t="str">
        <x:v>Review aparecía antes de Convergence</x:v>
      </x:c>
      <x:c r="E11" s="13" t="str">
        <x:v>El blueprint único sitúa Review después de Convergence, conservando rutas y configuración ADMIN; orden y teclado comprobados.</x:v>
      </x:c>
      <x:c r="F11" s="13" t="str">
        <x:v>CLOSED_SCOPED_TESTS_PASS</x:v>
      </x:c>
      <x:c r="G11" s="13" t="str">
        <x:v>Orden del blueprint corregido con mismas rutas y nombres</x:v>
      </x:c>
      <x:c r="H11" s="13" t="str">
        <x:v>Equipo frontend</x:v>
      </x:c>
      <x:c r="I11" s="13" t="str">
        <x:v>44 pruebas frontend enfocadas; browser-final.xml</x:v>
      </x:c>
      <x:c r="P11" s="25" t="str">
        <x:v>Anterior CLOSED_SCOPED_TESTS_PASS. ["UAT-S3-001","UX/NAVIGATION GAP","S3 MAJOR","Review aparecía antes de Convergence","El blueprint único sitúa Review después de Convergence, conservando rutas y configuración ADMIN; orden y teclado comprobados.","CLOSED_SCOPED_TESTS_PASS","Orden del blueprint corregido con mismas rutas y nombres","Equipo frontend","44 pruebas frontend enfocadas; browser-final.xml",null,null,null,null,null,null]</x:v>
      </x:c>
    </x:row>
    <x:row r="12" ht="53" customHeight="1">
      <x:c r="A12" s="14" t="str">
        <x:v>UAT-S3-002</x:v>
      </x:c>
      <x:c r="B12" s="6" t="str">
        <x:v>CODE/TECHNICAL DEBT</x:v>
      </x:c>
      <x:c r="C12" s="6" t="str">
        <x:v>S3 MAJOR</x:v>
      </x:c>
      <x:c r="D12" s="6" t="str">
        <x:v>Fixtures de regresión comparten estado e identificadores entre módulos</x:v>
      </x:c>
      <x:c r="E12" s="6" t="str">
        <x:v>Aislamiento cerrado en alcance acotado: misma invocación original de 61 módulos y 914 casos únicos, 898 PASS, 1 FAIL, 0 ERROR, 15 SKIP. Cinco antiguos FAIL y tres ERROR por estado compartido ahora PASS; el FID legado sigue fallando con BUSINESS_CASE_NOT_READY. No existe global green</x:v>
      </x:c>
      <x:c r="F12" s="6" t="str">
        <x:v>CLOSED_ISOLATION_SCOPED</x:v>
      </x:c>
      <x:c r="G12" s="6" t="str">
        <x:v>Importer con 12 casos, Enterprise con ocho, Portfolio Preview con dos y rutas con tres aprobaron en bases independientes. No afirmar global verde ni workaround ya aceptado</x:v>
      </x:c>
      <x:c r="H12" s="6" t="str">
        <x:v>Equipo de pruebas</x:v>
      </x:c>
      <x:c r="I12" s="6" t="str">
        <x:v>backend-strategic-regression-global-resume.xml</x:v>
      </x:c>
      <x:c r="P12" s="25" t="str">
        <x:v>Anterior OPEN_WORKAROUND_NOT_BUSINESS_APPROVED. ["UAT-S3-002","CODE/TECHNICAL DEBT","S3 MAJOR","Fixtures de regresión comparten estado e identificadores entre módulos","El global conserva 6 FAIL y 3 ERROR. Reruns en DB independientes separan contaminación del único fallo FID confirmado. Falta integrar aislamiento estable en la suite.","OPEN_WORKAROUND_NOT_BUSINESS_APPROVED","Importer con 12 casos, Enterprise con ocho, Portfolio Preview con dos y rutas con tres aprobaron en bases independientes. No afirmar global verde ni workaround ya aceptado","Equipo de pruebas","backend-reconciled-final.json y regression-reconciliation-notes.md; resultado original conservado",null,null,null,null,null,null]</x:v>
      </x:c>
    </x:row>
    <x:row r="13" ht="42" customHeight="1">
      <x:c r="A13" s="15" t="str">
        <x:v>UAT-S4-001</x:v>
      </x:c>
      <x:c r="B13" s="13" t="str">
        <x:v>CODE/TECHNICAL DEBT</x:v>
      </x:c>
      <x:c r="C13" s="13" t="str">
        <x:v>S4 MINOR</x:v>
      </x:c>
      <x:c r="D13" s="13" t="str">
        <x:v>Aplicabilidad de gobernanza de navegación es metadata y no filtro runtime</x:v>
      </x:c>
      <x:c r="E13" s="13" t="str">
        <x:v>El menú puede mostrar rutas no aplicables; las acciones siguen sujetas a elegibilidad y permisos backend.</x:v>
      </x:c>
      <x:c r="F13" s="13" t="str">
        <x:v>OPEN</x:v>
      </x:c>
      <x:c r="G13" s="13" t="str">
        <x:v>Usar allowed_actions y elegibilidad backend; el menú no otorga autoridad</x:v>
      </x:c>
      <x:c r="H13" s="13" t="str">
        <x:v>Responsable frontend por designar</x:v>
      </x:c>
      <x:c r="I13" s="13" t="str">
        <x:v>frontend_findings.json FE-S4-001</x:v>
      </x:c>
      <x:c r="P13" s="25" t="str">
        <x:v>Anterior OPEN. ["UAT-S4-001","CODE/TECHNICAL DEBT","S4 MINOR","Aplicabilidad de gobernanza de navegación es metadata y no filtro runtime","El menú puede mostrar rutas no aplicables; las acciones siguen sujetas a elegibilidad y permisos backend.","OPEN","Usar allowed_actions y elegibilidad backend; el menú no otorga autoridad","Responsable frontend por designar","frontend_findings.json FE-S4-001",null,null,null,null,null,null]</x:v>
      </x:c>
    </x:row>
    <x:row r="14" ht="42" customHeight="1">
      <x:c r="A14" s="14" t="str">
        <x:v>UAT-S4-002</x:v>
      </x:c>
      <x:c r="B14" s="6" t="str">
        <x:v>CODE/TECHNICAL DEBT</x:v>
      </x:c>
      <x:c r="C14" s="6" t="str">
        <x:v>S4 MINOR</x:v>
      </x:c>
      <x:c r="D14" s="6" t="str">
        <x:v>Renderers BC legacy requieren decisión de deprecación</x:v>
      </x:c>
      <x:c r="E14" s="6" t="str">
        <x:v>Once renderers fuera del registro canónico podrían tener consumidores externos. No hay prueba suficiente de retiro seguro.</x:v>
      </x:c>
      <x:c r="F14" s="6" t="str">
        <x:v>OPEN</x:v>
      </x:c>
      <x:c r="G14" s="6" t="str">
        <x:v>Usar rutas canónicas Five Case; conservar históricos y enlaces externos hasta confirmar consumidores</x:v>
      </x:c>
      <x:c r="H14" s="6" t="str">
        <x:v>Responsable de compatibilidad por designar</x:v>
      </x:c>
      <x:c r="I14" s="6" t="str">
        <x:v>frontend_legacy_renderers.json</x:v>
      </x:c>
      <x:c r="P14" s="25" t="str">
        <x:v>Anterior OPEN. ["UAT-S4-002","CODE/TECHNICAL DEBT","S4 MINOR","Renderers BC legacy requieren decisión de deprecación","Once renderers fuera del registro canónico podrían tener consumidores externos. No hay prueba suficiente de retiro seguro.","OPEN","Usar rutas canónicas Five Case; conservar históricos y enlaces externos hasta confirmar consumidores","Responsable de compatibilidad por designar","frontend_legacy_renderers.json",null,null,null,null,null,null]</x:v>
      </x:c>
    </x:row>
    <x:row r="15" ht="53" customHeight="1">
      <x:c r="A15" s="15" t="str">
        <x:v>UAT-S4-003</x:v>
      </x:c>
      <x:c r="B15" s="13" t="str">
        <x:v>DOCUMENTATION GAP</x:v>
      </x:c>
      <x:c r="C15" s="13" t="str">
        <x:v>S4 MINOR</x:v>
      </x:c>
      <x:c r="D15" s="13" t="str">
        <x:v>Explorer compartido también contiene acciones USER y su etiqueta metadata es incompleta</x:v>
      </x:c>
      <x:c r="E15" s="13" t="str">
        <x:v>La clasificación READ_ONLY_SHARED no describe sus transacciones USER protegidas; no se usa la etiqueta como control de seguridad.</x:v>
      </x:c>
      <x:c r="F15" s="13" t="str">
        <x:v>OPEN</x:v>
      </x:c>
      <x:c r="G15" s="13" t="str">
        <x:v>Guías distinguen lectura compartida de transacciones USER protegidas</x:v>
      </x:c>
      <x:c r="H15" s="13" t="str">
        <x:v>Responsable de documentación por designar</x:v>
      </x:c>
      <x:c r="I15" s="13" t="str">
        <x:v>frontend_findings.json FE-S4-003</x:v>
      </x:c>
      <x:c r="P15" s="25" t="str">
        <x:v>Anterior OPEN. ["UAT-S4-003","DOCUMENTATION GAP","S4 MINOR","Explorer compartido también contiene acciones USER y su etiqueta metadata es incompleta","La clasificación READ_ONLY_SHARED no describe sus transacciones USER protegidas; no se usa la etiqueta como control de seguridad.","OPEN","Guías distinguen lectura compartida de transacciones USER protegidas","Responsable de documentación por designar","frontend_findings.json FE-S4-003",null,null,null,null,null,null]</x:v>
      </x:c>
    </x:row>
    <x:row r="16" ht="42" customHeight="1">
      <x:c r="A16" s="14" t="str">
        <x:v>UAT-S4-004</x:v>
      </x:c>
      <x:c r="B16" s="6" t="str">
        <x:v>UX/NAVIGATION GAP</x:v>
      </x:c>
      <x:c r="C16" s="6" t="str">
        <x:v>S4 MINOR</x:v>
      </x:c>
      <x:c r="D16" s="6" t="str">
        <x:v>Texto largo y badges desbordan tarjetas Gate</x:v>
      </x:c>
      <x:c r="E16" s="6" t="str">
        <x:v>La captura Gate muestra FROZEN_HISTORICAL_SOURCE_PRESERVED cruzando tarjeta y etiqueta Decision Package recortada.</x:v>
      </x:c>
      <x:c r="F16" s="6" t="str">
        <x:v>OPEN</x:v>
      </x:c>
      <x:c r="G16" s="6" t="str">
        <x:v>Consultar evidencia histórica API y usar viewport amplio; corregir wrap/min-width antes de aceptación visual final</x:v>
      </x:c>
      <x:c r="H16" s="6" t="str">
        <x:v>Equipo frontend</x:v>
      </x:c>
      <x:c r="I16" s="6" t="str">
        <x:v>performance/browser-evidence-audit.json y gate-frozen-historical-read.png</x:v>
      </x:c>
      <x:c r="P16" s="25" t="str">
        <x:v>Anterior OPEN. ["UAT-S4-004","UX/NAVIGATION GAP","S4 MINOR","Texto largo y badges desbordan tarjetas Gate","La captura Gate muestra FROZEN_HISTORICAL_SOURCE_PRESERVED cruzando tarjeta y etiqueta Decision Package recortada.","OPEN","Consultar evidencia histórica API y usar viewport amplio; corregir wrap/min-width antes de aceptación visual final","Equipo frontend","performance/browser-evidence-audit.json y gate-frozen-historical-read.png",null,null,null,null,null,null]</x:v>
      </x:c>
    </x:row>
    <x:row r="17" ht="42" customHeight="1">
      <x:c r="A17" s="15" t="str">
        <x:v>UAT-S4-005</x:v>
      </x:c>
      <x:c r="B17" s="13" t="str">
        <x:v>UX/NAVIGATION GAP</x:v>
      </x:c>
      <x:c r="C17" s="13" t="str">
        <x:v>S4 MINOR</x:v>
      </x:c>
      <x:c r="D17" s="13" t="str">
        <x:v>Navegación expandida mobile demasiado extensa y orden visual confuso</x:v>
      </x:c>
      <x:c r="E17" s="13" t="str">
        <x:v>A 390 px la navegación ocupa aproximadamente 3700 px antes del contenido y las columnas muestran fase 5 por encima de fase 4.</x:v>
      </x:c>
      <x:c r="F17" s="13" t="str">
        <x:v>OPEN</x:v>
      </x:c>
      <x:c r="G17" s="13" t="str">
        <x:v>Colapsar navegación o usar escritorio; revisar una sola columna y acceso directo al contenido</x:v>
      </x:c>
      <x:c r="H17" s="13" t="str">
        <x:v>Equipo frontend</x:v>
      </x:c>
      <x:c r="I17" s="13" t="str">
        <x:v>performance/browser-evidence-audit.json y user-review-mobile.png</x:v>
      </x:c>
      <x:c r="P17" s="25" t="str">
        <x:v>Anterior OPEN. ["UAT-S4-005","UX/NAVIGATION GAP","S4 MINOR","Navegación expandida mobile demasiado extensa y orden visual confuso","A 390 px la navegación ocupa aproximadamente 3700 px antes del contenido y las columnas muestran fase 5 por encima de fase 4.","OPEN","Colapsar navegación o usar escritorio; revisar una sola columna y acceso directo al contenido","Equipo frontend","performance/browser-evidence-audit.json y user-review-mobile.png",null,null,null,null,null,null]</x:v>
      </x:c>
    </x:row>
    <x:row r="18" ht="66" customHeight="1">
      <x:c r="A18" s="14" t="str">
        <x:v>UAT-S3-003</x:v>
      </x:c>
      <x:c r="B18" s="6" t="str">
        <x:v>CONFIGURATION GAP</x:v>
      </x:c>
      <x:c r="C18" s="6" t="str">
        <x:v>S3 MAJOR</x:v>
      </x:c>
      <x:c r="D18" s="6" t="str">
        <x:v>Adopción de Project exige padre live representado en CORE</x:v>
      </x:c>
      <x:c r="E18" s="6" t="str">
        <x:v>Ruta explícita de reconciliación de padres existentes, ETag/RBAC y protección concurrente acreditadas con 72 pruebas enfocadas; no equivale a regresión PostgreSQL completa</x:v>
      </x:c>
      <x:c r="F18" s="6" t="str">
        <x:v>CLOSED_SCOPED_TECHNICAL</x:v>
      </x:c>
      <x:c r="G18" s="6" t="str">
        <x:v>Conservar el snapshot y detener publicación. Preparar reconciliación controlada de padres existentes sin inventar identidades ni modificar historia; no omitir el guard</x:v>
      </x:c>
      <x:c r="H18" s="6" t="str">
        <x:v>Responsables de Enterprise Structure y UAT</x:v>
      </x:c>
      <x:c r="I18" s="6" t="str">
        <x:v>core-parent-focused-current.xml</x:v>
      </x:c>
      <x:c r="P18" s="25" t="str">
        <x:v>Anterior OPEN. ["UAT-S3-003","CONFIGURATION GAP","S3 MAJOR","Adopción de Project exige padre live representado en CORE","Si el padre de un Project posterior no existe en el snapshot con ID exacto, clone devuelve 409 PROJECT_PARENT_RECONCILIATION_REQUIRED antes de DML. No hay un flujo de reconciliación completa de ancestros acreditado en esta UAT.","OPEN","Conservar el snapshot y detener publicación. Preparar reconciliación controlada de padres existentes sin inventar identidades ni modificar historia; no omitir el guard","Responsables de Enterprise Structure y UAT","test_project_with_missing_core_parent_requires_reconciliation_before_any_draft_dml; backend-authority-guard-final.xml",null,null,null,null,null,null]</x:v>
      </x:c>
    </x:row>
    <x:row r="19">
      <x:c r="A19" s="14" t="str">
        <x:v>UAT-S2-004</x:v>
      </x:c>
      <x:c r="B19" s="6" t="str">
        <x:v>UX/ARCHITECTURE</x:v>
      </x:c>
      <x:c r="C19" s="6" t="str">
        <x:v>S2 CRITICAL</x:v>
      </x:c>
      <x:c r="D19" s="6" t="str">
        <x:v>Las pantallas estratégicas nuevas dependen del dashboard Project heredado</x:v>
      </x:c>
      <x:c r="E19" s="6" t="str">
        <x:v>El usuario autorizó expresamente el ajuste mínimo de App.tsx. El fallback USER reutiliza StrategicWorkspaceShell, WorkspaceNavigation y StrategicViewOutlet sin Project operacional ficticio y con canConfigure=false. Shell 29 PASS; Chromium abrió 8 vistas de registros reales. No equivale a E2E ni valida freeze/FID/Post-FID</x:v>
      </x:c>
      <x:c r="F19" s="6" t="str">
        <x:v>CLOSED_SCOPED_UI</x:v>
      </x:c>
      <x:c r="G19" s="6" t="str">
        <x:v>No se creó Project operacional heredado ficticio; no se habilita configuración ADMIN desde el fallback USER</x:v>
      </x:c>
      <x:c r="H19" s="6" t="str">
        <x:v>Frontend estratégico</x:v>
      </x:c>
      <x:c r="I19" s="6" t="str">
        <x:v>strategic-shell-focused.xml; browser/strategic-capital-current.xml; browser-current-validation.json</x:v>
      </x:c>
      <x:c r="P19" s="25" t="str">
        <x:v>Nuevo hallazgo; sin disposición anterior</x:v>
      </x:c>
    </x:row>
    <x:row r="20">
      <x:c r="A20" s="14" t="str">
        <x:v>UAT-S3-004</x:v>
      </x:c>
      <x:c r="B20" s="6" t="str">
        <x:v>CODE</x:v>
      </x:c>
      <x:c r="C20" s="6" t="str">
        <x:v>S3 MAJOR</x:v>
      </x:c>
      <x:c r="D20" s="6" t="str">
        <x:v>La entrada Portfolio omitía la moneda capturada en Proposal</x:v>
      </x:c>
      <x:c r="E20" s="6" t="str">
        <x:v>Snapshots nuevos conservan currency y currency_code de Proposal. Cuatro pruebas cubren USD, ausencia de moneda y ausencia de backfill; el avance de la cadena seleccionada se registra por separado sin extrapolar un Budget anterior</x:v>
      </x:c>
      <x:c r="F20" s="6" t="str">
        <x:v>CLOSED_NEW_ENTRIES_SCOPED</x:v>
      </x:c>
      <x:c r="G20" s="6" t="str">
        <x:v>Los snapshots históricos no se reescriben; la carencia anterior permanece explícita</x:v>
      </x:c>
      <x:c r="H20" s="6" t="str">
        <x:v>Portfolio Planning</x:v>
      </x:c>
      <x:c r="I20" s="6" t="str">
        <x:v>currency-projection-focused.xml; fresh-capital-owner-chain-project4-currency-blocker.json; fresh-capital-owner-chain.json</x:v>
      </x:c>
      <x:c r="P20" s="25" t="str">
        <x:v>Nuevo hallazgo; sin disposición anterior</x:v>
      </x:c>
    </x:row>
    <x:row r="21" ht="230" customHeight="1">
      <x:c r="A21" s="14" t="str">
        <x:v>UAT-S3-005</x:v>
      </x:c>
      <x:c r="B21" s="6" t="str">
        <x:v>UX/DATA_PRESENTATION</x:v>
      </x:c>
      <x:c r="C21" s="6" t="str">
        <x:v>S3 MAJOR</x:v>
      </x:c>
      <x:c r="D21" s="6" t="str">
        <x:v>La tabla de fuentes Five Case no refleja algunos valores serializados</x:v>
      </x:c>
      <x:c r="E21" s="6" t="str">
        <x:v>La proyección visual de Business Case y Funding tiene regresión enfocada; su aceptación visual requiere Chromium actual sin falsa etiqueta STALE.</x:v>
      </x:c>
      <x:c r="F21" s="6" t="str">
        <x:v>CLOSED_SCOPED_PRESENTATION</x:v>
      </x:c>
      <x:c r="G21" s="6" t="str">
        <x:v>Mostrar el resultado autoritativo; no modificar Funding ni Business Case para ajustarlos a la pantalla.</x:v>
      </x:c>
      <x:c r="H21" s="6" t="str">
        <x:v>Frontend Business Case</x:v>
      </x:c>
      <x:c r="I21" s="6" t="str">
        <x:v>outputs/.qa/gate07j-controlled-class-b-rebuild/frontend-presentations-focused.xml
outputs/.qa/gate07j-controlled-class-b-rebuild/browser-actual-3/strategic-capital-current.xml</x:v>
      </x:c>
      <x:c r="P21" s="25" t="str">
        <x:v>Nuevo hallazgo; sin disposición anterior</x:v>
      </x:c>
      <x:c r="Q21" s="5" t="str">
        <x:v>{"actual":"Chromium muestra NOT_AVAILABLE y Funding STALE en la tabla informativa, aunque BC4/revisión n.º2 (ID6) es READY/current y los providers gobernados del Gate están vigentes. Es un hallazgo de presentación; no se afirma Funding realmente STALE","status":"OPEN_SCOPED_PRESENTATION","evidence":"browser-current-validation.json; screenshot 06-fresh-completed-five-case-current-sources.png; normalizedSources y _five_case_contract"}</x:v>
      </x:c>
      <x:c r="R21" s="5" t="str">
        <x:v>{"actual":"Chromium muestra NOT_AVAILABLE y Funding STALE en la tabla informativa, aunque BC4/revisión n.º2 (ID6) es READY/current y los providers gobernados del Gate están vigentes. Es un hallazgo de presentación; no se afirma Funding realmente STALE","status":"OPEN_SCOPED_PRESENTATION","action":"Contrastar la revisión capturada y readiness/provider API; no interpretar esa etiqueta de tabla como estado live de Funding","evidence":"browser-current-validation.json; screenshot 06-fresh-completed-five-case-current-sources.png; normalizedSources y _five_case_contract. Hallazgo histórico abierto. Sin fix ni revalidación en esta continuación: preflight.json, pruebas y navegador NOT_RUN"}</x:v>
      </x:c>
    </x:row>
    <x:row r="22" ht="230" customHeight="1">
      <x:c r="A22" s="14" t="str">
        <x:v>UAT-S4-006</x:v>
      </x:c>
      <x:c r="B22" s="6" t="str">
        <x:v>UX/LIFECYCLE_LABEL</x:v>
      </x:c>
      <x:c r="C22" s="6" t="str">
        <x:v>S4 MINOR</x:v>
      </x:c>
      <x:c r="D22" s="6" t="str">
        <x:v>La etiqueta de elegibilidad posterior a APPROVE requiere contexto de lifecycle</x:v>
      </x:c>
      <x:c r="E22" s="6" t="str">
        <x:v>Se separan lifecycle histórico de Proposal y elegibilidad actual de reingreso; no se reescribe la aprobación histórica.</x:v>
      </x:c>
      <x:c r="F22" s="6" t="str">
        <x:v>CLOSED_SCOPED_PRESENTATION</x:v>
      </x:c>
      <x:c r="G22" s="6" t="str">
        <x:v>Mantener ambos conceptos separados y verificar su presentación en la cadena actual.</x:v>
      </x:c>
      <x:c r="H22" s="6" t="str">
        <x:v>Project Proposal y frontend estratégico</x:v>
      </x:c>
      <x:c r="I22" s="6" t="str">
        <x:v>outputs/.qa/gate07j-controlled-class-b-rebuild/frontend-presentations-focused.xml
outputs/.qa/gate07j-controlled-class-b-rebuild/browser-actual-3/strategic-capital-current.xml</x:v>
      </x:c>
      <x:c r="P22" s="25" t="str">
        <x:v>Nuevo hallazgo; sin disposición anterior</x:v>
      </x:c>
      <x:c r="Q22" s="5" t="str">
        <x:v>{"actual":"Proposal4 conserva STRATEGIC_GATE_APPROVED e historia DECIDED APPROVE, pero su elegibilidad de entrada posterior muestra GATE07B_REWORK_REQUIRED / PROPOSAL_NOT_EVALUATED. No se borra la aprobación histórica ni se infiere otro bloqueo FID","status":"OPEN_SCOPED_LIFECYCLE_LABEL","evidence":"browser-current-validation.json; screenshot 03-fresh-proposal.png; _gate_readiness y proposalReadiness"}</x:v>
      </x:c>
      <x:c r="R22" s="5" t="str">
        <x:v>{"actual":"Proposal4 conserva STRATEGIC_GATE_APPROVED e historia DECIDED APPROVE, pero su elegibilidad de entrada posterior muestra GATE07B_REWORK_REQUIRED / PROPOSAL_NOT_EVALUATED. No se borra la aprobación histórica ni se infiere otro bloqueo FID","status":"OPEN_SCOPED_LIFECYCLE_LABEL","action":"Consultar el snapshot y la decisión aprobada; distinguir elegibilidad para una nueva entrada de la historia de APPROVE","evidence":"browser-current-validation.json; screenshot 03-fresh-proposal.png; _gate_readiness y proposalReadiness. Hallazgo histórico abierto. Sin fix ni revalidación en esta continuación: preflight.json, pruebas y navegador NOT_RUN"}</x:v>
      </x:c>
    </x:row>
    <x:row r="23" ht="230" customHeight="1">
      <x:c r="A23" s="14" t="str">
        <x:v>UAT-ENV-001</x:v>
      </x:c>
      <x:c r="B23" s="6" t="str">
        <x:v>VALIDATION_ENVIRONMENT</x:v>
      </x:c>
      <x:c r="C23" s="6" t="str">
        <x:v>ENVIRONMENT BLOCKER</x:v>
      </x:c>
      <x:c r="D23" s="6" t="str">
        <x:v>La base PostgreSQL aislada de la cadena seleccionada no está disponible</x:v>
      </x:c>
      <x:c r="E23" s="6" t="str">
        <x:v>La UAT tmpfs original se perdió. El usuario autorizó una reconstrucción gobernada en otra base persistente; no es el antiguo Tenant 4 / Project 16.</x:v>
      </x:c>
      <x:c r="F23" s="6" t="str">
        <x:v>CLOSED_AUTHORIZED_RECONSTRUCTION</x:v>
      </x:c>
      <x:c r="G23" s="6" t="str">
        <x:v>Conservar informes del 15 de octubre y respaldos verificables de la nueva base.</x:v>
      </x:c>
      <x:c r="H23" s="6" t="str">
        <x:v>Responsable del entorno UAT y aprobador de la continuidad</x:v>
      </x:c>
      <x:c r="I23" s="6" t="str">
        <x:v>docs/validation/gate07j-controlled-class-b/rebuild-authorization.md
outputs/.qa/gate07j-controlled-class-b-rebuild/selected-delivery-20261016.json</x:v>
      </x:c>
      <x:c r="P23" s="25"/>
      <x:c r="Q23" s="5" t="str">
        <x:v>Nuevo bloqueo del entorno de validación. No sustituye ni cierra defectos de producto previos</x:v>
      </x:c>
      <x:c r="R23" s="5" t="str">
        <x:v>{"actual":"BLOCKED_UAT_DATABASE_NOT_AVAILABLE. Contenedor detenido con almacenamiento tmpfs, sin PG_VERSION ni montaje persistente. No se encontró backup coincidente en la búsqueda registrada. No se confirma un defecto de producto S1/S2","status":"OPEN_VALIDATION_ENVIRONMENT","action":"Aportar backup PostgreSQL de esta misma cadena o autorización humana explícita para reconstruir por lifecycles reales con almacenamiento aislado persistente. No restaurar snapshots JSON ni iniciar el tmpfs vacío","evidence":"preflight.json. selected_chain_verification NOT_VERIFIABLE. Cero comandos contra la cadena. Pruebas y navegador NOT_RUN"}</x:v>
      </x:c>
    </x:row>
    <x:row r="24" ht="230" customHeight="1">
      <x:c r="A24" s="14" t="str">
        <x:v>UAT-S2-005</x:v>
      </x:c>
      <x:c r="B24" s="6" t="str">
        <x:v>LIFECYCLE INTEGRATION</x:v>
      </x:c>
      <x:c r="C24" s="6" t="str">
        <x:v>S2 CRITICAL</x:v>
      </x:c>
      <x:c r="D24" s="6" t="str">
        <x:v>Integración de FID con inicialización y currentness posterior a activación</x:v>
      </x:c>
      <x:c r="E24" s="6" t="str">
        <x:v>Se reprodujeron dos desacoplamientos: inicialización no reconocía el FID real y la activación canónica provocaba PREPARATION_STALE al reevaluar reglas de ingreso pending-only. El puente de inicialización cuenta con regresión; activación real=True. Post-FID actual=NO_REACTIVATION_REQUIRED; bloqueos=[]. Focused de currentness: 38 PASS / 0 FAIL / 0 ERROR / 0 SKIP; los errores compartidos de setup se distinguen de fallos de cada caso.</x:v>
      </x:c>
      <x:c r="F24" s="6" t="str">
        <x:v>CLOSED_SCOPED_TECHNICAL</x:v>
      </x:c>
      <x:c r="G24" s="6" t="str">
        <x:v>Reconocer la transición canónica autorizada sin omitir cambios genuinos de fuentes, condiciones o configuración.</x:v>
      </x:c>
      <x:c r="H24" s="6" t="str">
        <x:v>Investment Decision y Project Workspace Governance</x:v>
      </x:c>
      <x:c r="I24" s="6" t="str">
        <x:v>outputs/.qa/gate07j-controlled-class-b-rebuild/project-initialization-post-fid-bridge.xml
outputs/.qa/gate07j-controlled-class-b-rebuild/postactivation-focused-final-3/currentness-focused.xml
outputs/.qa/gate07j-controlled-class-b-rebuild/selected-delivery-20261016.json
outputs/.qa/gate07j-controlled-class-b-rebuild/browser-actual-3/strategic-capital-current.xml</x:v>
      </x:c>
      <x:c r="P24" s="25"/>
      <x:c r="R24" s="5" t="str">
        <x:v>{"previous_record":null,"new_defect":"UAT-S2-005","collected_at":"2026-10-16T21:39:07.630261-05:00","note":"Nuevo hallazgo documentado durante la reconstrucción autorizada; no reemplaza UAT-ENV-001 ni los defectos anteriores"}</x:v>
      </x:c>
    </x:row>
    <x:row r="25" ht="230" customHeight="1">
      <x:c r="A25" s="14" t="str">
        <x:v>UAT-S3-006</x:v>
      </x:c>
      <x:c r="B25" s="6" t="str">
        <x:v>METADATA PROJECTION / DISCOVERY</x:v>
      </x:c>
      <x:c r="C25" s="6" t="str">
        <x:v>S3 MAJOR</x:v>
      </x:c>
      <x:c r="D25" s="6" t="str">
        <x:v>Home omite responsable y plantilla; filtro por responsable incompleto</x:v>
      </x:c>
      <x:c r="E25" s="6" t="str">
        <x:v>El mismo Project 4 muestra responsable y plantilla en el Overview canónico, pero Home proyecta Not assigned y No template snapshot. La auditoría fuente identifica impacto en presentación, lista, filtro por responsable y ETag: ese filtro puede omitir el Project. No se encontró consumo en autorización, lifecycle, elegibilidad o selección de Project en el repositorio actual; no se afirma cobertura de clientes externos o futuros. No es UAT-S4-003. La observación inicial sin clasificación se conserva y el triage posterior la clasifica S3 MAJOR OPEN.</x:v>
      </x:c>
      <x:c r="F25" s="6" t="str">
        <x:v>OPEN</x:v>
      </x:c>
      <x:c r="G25" s="6" t="str">
        <x:v>Pendiente corrección focalizada del read model y pruebas de proyección/filtro, sin alterar permisos ni datos canónicos. Workaround: Overview canónico, Enterprise Explorer o ruta directa sin filtro por responsable. No se implementa fuera de este alcance.</x:v>
      </x:c>
      <x:c r="H25" s="6" t="str">
        <x:v>Investment Decision y Project Workspace Governance</x:v>
      </x:c>
      <x:c r="I25" s="6" t="str">
        <x:v>outputs/.qa/gate07j-controlled-class-b-rebuild/browser-actual-3/home-context-consumer-audit.md
outputs/.qa/gate07j-controlled-class-b-rebuild/browser-actual-3/visual-qa-summary.json
outputs/.qa/gate07j-controlled-class-b-rebuild/browser-actual-3/chromium/strategic-capital-current--14910--browser-business-mutations-chromium/05a-fresh-canonical-project-overview.png
outputs/.qa/gate07j-controlled-class-b-rebuild/browser-actual-3/chromium/strategic-capital-current--14910--browser-business-mutations-chromium/10-fresh-governed-active-workspace-home.png</x:v>
      </x:c>
      <x:c r="P25" s="25"/>
      <x:c r="R25" s="5" t="str">
        <x:v>{"previous_record":null,"new_defect":"UAT-S3-006","collected_at":"2026-10-16T21:39:07.630261-05:00","note":"Nuevo hallazgo documentado durante la reconstrucción autorizada; no reemplaza UAT-ENV-001 ni los defectos anteriores"}</x:v>
      </x:c>
    </x:row>
    <x:row r="26">
      <x:c r="P26" s="25"/>
    </x:row>
    <x:row r="27">
      <x:c r="P27" s="25"/>
    </x:row>
    <x:row r="28">
      <x:c r="P28" s="25"/>
    </x:row>
    <x:row r="29">
      <x:c r="P29" s="25"/>
    </x:row>
    <x:row r="30">
      <x:c r="P30" s="25"/>
    </x:row>
    <x:row r="31">
      <x:c r="P31" s="25"/>
    </x:row>
    <x:row r="32">
      <x:c r="P32" s="25"/>
    </x:row>
    <x:row r="33">
      <x:c r="P33" s="25"/>
    </x:row>
    <x:row r="34">
      <x:c r="P34" s="25"/>
    </x:row>
    <x:row r="35">
      <x:c r="P35" s="25"/>
    </x:row>
    <x:row r="36">
      <x:c r="P36" s="25"/>
    </x:row>
    <x:row r="37">
      <x:c r="P37" s="25"/>
    </x:row>
    <x:row r="38">
      <x:c r="P38" s="25"/>
    </x:row>
    <x:row r="39">
      <x:c r="P39" s="25"/>
    </x:row>
    <x:row r="40">
      <x:c r="P40" s="25"/>
    </x:row>
  </x:sheetData>
  <x:pageMargins left="0.7" right="0.7" top="0.75" bottom="0.75" header="0.3" footer="0.3"/>
  <x:tableParts count="1">
    <x:tablePart xmlns:r="http://schemas.openxmlformats.org/officeDocument/2006/relationships" r:id="R75b66aac0fb54a43"/>
  </x:tableParts>
</x:worksheet>
</file>

<file path=xl/worksheets/sheet7.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15" hidden="0" customWidth="1"/>
    <x:col min="3" max="3" width="72" hidden="0" customWidth="1"/>
    <x:col min="4" max="4" width="37" hidden="0" customWidth="1"/>
    <x:col min="5" max="5" width="80" hidden="0" customWidth="1"/>
    <x:col min="6" max="6" width="82" hidden="0" customWidth="1"/>
    <x:col min="7" max="7" width="14" hidden="0" customWidth="1"/>
    <x:col min="8" max="8" width="52" hidden="0" customWidth="1"/>
  </x:cols>
  <x:sheetData>
    <x:row r="2" ht="26" customHeight="1">
      <x:c r="A2" s="1" t="str">
        <x:v>Candidatos de limpieza y disposición segura</x:v>
      </x:c>
    </x:row>
    <x:row r="3">
      <x:c r="A3" s="2"/>
      <x:c r="B3" s="2"/>
      <x:c r="C3" s="2"/>
      <x:c r="D3" s="2"/>
      <x:c r="E3" s="2"/>
      <x:c r="F3" s="2"/>
      <x:c r="G3" s="2"/>
      <x:c r="H3" s="2"/>
    </x:row>
    <x:row r="4">
      <x:c r="A4" s="3" t="str">
        <x:v>Corte 14 octubre 2026</x:v>
      </x:c>
      <x:c r="B4" s="3"/>
      <x:c r="C4" s="3"/>
      <x:c r="D4" s="3" t="str">
        <x:v>Fuente del registro</x:v>
      </x:c>
      <x:c r="E4" s="3" t="str">
        <x:v>Inventario estático. Solo SAFE_TO_REMOVE con regresión y autorización admite retiro.</x:v>
      </x:c>
      <x:c r="F4" s="3"/>
      <x:c r="G4" s="3"/>
      <x:c r="H4" s="3"/>
    </x:row>
    <x:row r="5">
      <x:c r="A5" s="3" t="str">
        <x:v>Registros</x:v>
      </x:c>
      <x:c r="B5" s="3" t="n">
        <x:f>COUNTA(A8:A102)</x:f>
        <x:v>95</x:v>
      </x:c>
      <x:c r="C5" s="3"/>
      <x:c r="D5" s="3"/>
      <x:c r="E5" s="3"/>
      <x:c r="F5" s="3"/>
      <x:c r="G5" s="3"/>
      <x:c r="H5" s="3"/>
    </x:row>
    <x:row r="7" ht="34" customHeight="1">
      <x:c r="A7" s="10" t="str">
        <x:v>ID</x:v>
      </x:c>
      <x:c r="B7" s="11" t="str">
        <x:v>Área</x:v>
      </x:c>
      <x:c r="C7" s="11" t="str">
        <x:v>Candidato</x:v>
      </x:c>
      <x:c r="D7" s="11" t="str">
        <x:v>Clasificación</x:v>
      </x:c>
      <x:c r="E7" s="11" t="str">
        <x:v>Evidencia</x:v>
      </x:c>
      <x:c r="F7" s="11" t="str">
        <x:v>Acción o fundamento</x:v>
      </x:c>
      <x:c r="G7" s="11" t="str">
        <x:v>Eliminado</x:v>
      </x:c>
      <x:c r="H7" s="12" t="str">
        <x:v>Regresión de retiro</x:v>
      </x:c>
    </x:row>
    <x:row r="8" ht="42" customHeight="1">
      <x:c r="A8" s="14" t="str">
        <x:v>CL-BE-01</x:v>
      </x:c>
      <x:c r="B8" s="6" t="str">
        <x:v>BACKEND</x:v>
      </x:c>
      <x:c r="C8" s="6" t="str">
        <x:v>Legacy ADMIN Workspace creation/status API</x:v>
      </x:c>
      <x:c r="D8" s="6" t="str">
        <x:v>REQUIRES_DEPRECATION</x:v>
      </x:c>
      <x:c r="E8" s="6" t="str">
        <x:v>backend/app/api/v1/routers/admin_configuration.py; frontend/src/api/adminConfiguration.ts</x:v>
      </x:c>
      <x:c r="F8" s="6" t="str">
        <x:v>Live consumer exists. PROJECT guard fixed; retain other types and configuration until explicit compatibility deprecation.</x:v>
      </x:c>
      <x:c r="G8" s="19" t="b">
        <x:v>0</x:v>
      </x:c>
      <x:c r="H8" s="19" t="b">
        <x:v>0</x:v>
      </x:c>
    </x:row>
    <x:row r="9" ht="42" customHeight="1">
      <x:c r="A9" s="15" t="str">
        <x:v>CL-BE-02</x:v>
      </x:c>
      <x:c r="B9" s="13" t="str">
        <x:v>BACKEND</x:v>
      </x:c>
      <x:c r="C9" s="13" t="str">
        <x:v>EnterpriseStructureService create/update/archive live nodes</x:v>
      </x:c>
      <x:c r="D9" s="13" t="str">
        <x:v>STILL_REFERENCED</x:v>
      </x:c>
      <x:c r="E9" s="13" t="str">
        <x:v>backend/app/modules/enterprise_structure/router_admin.py; service.py</x:v>
      </x:c>
      <x:c r="F9" s="13" t="str">
        <x:v>Used by foundation and history regression. PROJECT lifecycle guards added; not dead code.</x:v>
      </x:c>
      <x:c r="G9" s="20" t="b">
        <x:v>0</x:v>
      </x:c>
      <x:c r="H9" s="20" t="b">
        <x:v>0</x:v>
      </x:c>
    </x:row>
    <x:row r="10" ht="66" customHeight="1">
      <x:c r="A10" s="14" t="str">
        <x:v>CL-BE-03</x:v>
      </x:c>
      <x:c r="B10" s="6" t="str">
        <x:v>BACKEND</x:v>
      </x:c>
      <x:c r="C10" s="6" t="str">
        <x:v>CORE revisions add_workspace / materialize snapshot</x:v>
      </x:c>
      <x:c r="D10" s="6" t="str">
        <x:v>STILL_REFERENCED</x:v>
      </x:c>
      <x:c r="E10" s="6" t="str">
        <x:v>backend/app/modules/enterprise_structure/revisions.py</x:v>
      </x:c>
      <x:c r="F10" s="6" t="str">
        <x:v>Reproduced S2 live authority defect was guarded at mutation and shared pre-DML materialization boundaries; targeted execution evidence is separate from full release UAT. Preserve historical identity adoption and CORE revision functionality; not removable dead code.</x:v>
      </x:c>
      <x:c r="G10" s="19" t="b">
        <x:v>0</x:v>
      </x:c>
      <x:c r="H10" s="19" t="b">
        <x:v>0</x:v>
      </x:c>
    </x:row>
    <x:row r="11" ht="42" customHeight="1">
      <x:c r="A11" s="15" t="str">
        <x:v>CL-BE-04</x:v>
      </x:c>
      <x:c r="B11" s="13" t="str">
        <x:v>BACKEND</x:v>
      </x:c>
      <x:c r="C11" s="13" t="str">
        <x:v>Approved CORE YAML apply/publish</x:v>
      </x:c>
      <x:c r="D11" s="13" t="str">
        <x:v>HISTORICAL_COMPATIBILITY_REQUIRED</x:v>
      </x:c>
      <x:c r="E11" s="13" t="str">
        <x:v>backend/app/modules/enterprise_structure/importer/apply.py; publish.py</x:v>
      </x:c>
      <x:c r="F11" s="13" t="str">
        <x:v>Exact reconciliation/count/hash/tenant release checks and protected historical identities; no generic removal or operational execution authorized.</x:v>
      </x:c>
      <x:c r="G11" s="20" t="b">
        <x:v>0</x:v>
      </x:c>
      <x:c r="H11" s="20" t="b">
        <x:v>0</x:v>
      </x:c>
    </x:row>
    <x:row r="12" ht="42" customHeight="1">
      <x:c r="A12" s="14" t="str">
        <x:v>CL-BE-05</x:v>
      </x:c>
      <x:c r="B12" s="6" t="str">
        <x:v>BACKEND</x:v>
      </x:c>
      <x:c r="C12" s="6" t="str">
        <x:v>Operational Project ORM/table</x:v>
      </x:c>
      <x:c r="D12" s="6" t="str">
        <x:v>HISTORICAL_COMPATIBILITY_REQUIRED</x:v>
      </x:c>
      <x:c r="E12" s="6" t="str">
        <x:v>backend/app/domain/models.py:79; strategic provider adapters</x:v>
      </x:c>
      <x:c r="F12" s="6" t="str">
        <x:v>projects is used by operational controls and QRA source refs. Strategic identity is enterprise_workspaces. Do not drop or merge in UAT.</x:v>
      </x:c>
      <x:c r="G12" s="19" t="b">
        <x:v>0</x:v>
      </x:c>
      <x:c r="H12" s="19" t="b">
        <x:v>0</x:v>
      </x:c>
    </x:row>
    <x:row r="13" ht="42" customHeight="1">
      <x:c r="A13" s="15" t="str">
        <x:v>CL-BE-06</x:v>
      </x:c>
      <x:c r="B13" s="13" t="str">
        <x:v>BACKEND</x:v>
      </x:c>
      <x:c r="C13" s="13" t="str">
        <x:v>Per-router ETag / If-Match helpers</x:v>
      </x:c>
      <x:c r="D13" s="13" t="str">
        <x:v>STILL_REFERENCED</x:v>
      </x:c>
      <x:c r="E13" s="13" t="str">
        <x:v>backend/app/modules/portfolio_budget/router.py; investment_decision/router.py; project_definition/router.py</x:v>
      </x:c>
      <x:c r="F13" s="13" t="str">
        <x:v>Repeated active contract with slight historical error-envelope differences. Consolidation needs targeted HTTP compatibility regression.</x:v>
      </x:c>
      <x:c r="G13" s="20" t="b">
        <x:v>0</x:v>
      </x:c>
      <x:c r="H13" s="20" t="b">
        <x:v>0</x:v>
      </x:c>
    </x:row>
    <x:row r="14" ht="42" customHeight="1">
      <x:c r="A14" s="14" t="str">
        <x:v>CL-BE-07</x:v>
      </x:c>
      <x:c r="B14" s="6" t="str">
        <x:v>BACKEND</x:v>
      </x:c>
      <x:c r="C14" s="6" t="str">
        <x:v>Per-domain _hash functions</x:v>
      </x:c>
      <x:c r="D14" s="6" t="str">
        <x:v>STILL_REFERENCED</x:v>
      </x:c>
      <x:c r="E14" s="6" t="str">
        <x:v>backend/app/modules/business_case/service.py; investment_decision/service.py; investment_gate_preparation/service.py</x:v>
      </x:c>
      <x:c r="F14" s="6" t="str">
        <x:v>Same hashing primitive does not imply same semantic hash authority; preserve frozen canonicalization and historical payloads.</x:v>
      </x:c>
      <x:c r="G14" s="19" t="b">
        <x:v>0</x:v>
      </x:c>
      <x:c r="H14" s="19" t="b">
        <x:v>0</x:v>
      </x:c>
    </x:row>
    <x:row r="15" ht="42" customHeight="1">
      <x:c r="A15" s="15" t="str">
        <x:v>CL-BE-08</x:v>
      </x:c>
      <x:c r="B15" s="13" t="str">
        <x:v>BACKEND</x:v>
      </x:c>
      <x:c r="C15" s="13" t="str">
        <x:v>QRA provider currentness and policy adapter</x:v>
      </x:c>
      <x:c r="D15" s="13" t="str">
        <x:v>STILL_REFERENCED</x:v>
      </x:c>
      <x:c r="E15" s="13" t="str">
        <x:v>backend/app/modules/qra_engine/service.py; investment_evidence_policy/qra_evidence.py</x:v>
      </x:c>
      <x:c r="F15" s="13" t="str">
        <x:v>Engine proves run/model validity; adapter proves policy applicability/quality. Different authorities, not duplicate decision logic.</x:v>
      </x:c>
      <x:c r="G15" s="20" t="b">
        <x:v>0</x:v>
      </x:c>
      <x:c r="H15" s="20" t="b">
        <x:v>0</x:v>
      </x:c>
    </x:row>
    <x:row r="16" ht="42" customHeight="1">
      <x:c r="A16" s="14" t="str">
        <x:v>CL-BE-09</x:v>
      </x:c>
      <x:c r="B16" s="6" t="str">
        <x:v>BACKEND</x:v>
      </x:c>
      <x:c r="C16" s="6" t="str">
        <x:v>Business Case source resolver vs Gate bundle</x:v>
      </x:c>
      <x:c r="D16" s="6" t="str">
        <x:v>STILL_REFERENCED</x:v>
      </x:c>
      <x:c r="E16" s="6" t="str">
        <x:v>backend/app/modules/business_case/service.py; investment_gate_preparation/service.py</x:v>
      </x:c>
      <x:c r="F16" s="6" t="str">
        <x:v>Separate longitudinal BC and as-of Gate consumers; source/hash consistency is policy-governed, not interchangeable snapshots.</x:v>
      </x:c>
      <x:c r="G16" s="19" t="b">
        <x:v>0</x:v>
      </x:c>
      <x:c r="H16" s="19" t="b">
        <x:v>0</x:v>
      </x:c>
    </x:row>
    <x:row r="17" ht="42" customHeight="1">
      <x:c r="A17" s="15" t="str">
        <x:v>CL-BE-10</x:v>
      </x:c>
      <x:c r="B17" s="13" t="str">
        <x:v>BACKEND</x:v>
      </x:c>
      <x:c r="C17" s="13" t="str">
        <x:v>QRA result section dynamic routes</x:v>
      </x:c>
      <x:c r="D17" s="13" t="str">
        <x:v>STILL_REFERENCED</x:v>
      </x:c>
      <x:c r="E17" s="13" t="str">
        <x:v>backend/app/modules/qra_engine/router.py:_result_route; frontend/src/features/qra-engine/api.ts</x:v>
      </x:c>
      <x:c r="F17" s="13" t="str">
        <x:v>Registered dynamically for summary/percentiles/convergence/etc.; missing literal consumer is not proof unused.</x:v>
      </x:c>
      <x:c r="G17" s="20" t="b">
        <x:v>0</x:v>
      </x:c>
      <x:c r="H17" s="20" t="b">
        <x:v>0</x:v>
      </x:c>
    </x:row>
    <x:row r="18" ht="42" customHeight="1">
      <x:c r="A18" s="14" t="str">
        <x:v>CL-BE-11</x:v>
      </x:c>
      <x:c r="B18" s="6" t="str">
        <x:v>BACKEND</x:v>
      </x:c>
      <x:c r="C18" s="6" t="str">
        <x:v>Domain schemas without direct frontend type match</x:v>
      </x:c>
      <x:c r="D18" s="6" t="str">
        <x:v>UNKNOWN</x:v>
      </x:c>
      <x:c r="E18" s="6" t="str">
        <x:v>backend/app/modules/*/schemas.py; backend-api-inventory.json</x:v>
      </x:c>
      <x:c r="F18" s="6" t="str">
        <x:v>FastAPI response schemas, nested DTOs and API consumers require symbol/contract reachability. No deletion supported by the literal inventory.</x:v>
      </x:c>
      <x:c r="G18" s="19" t="b">
        <x:v>0</x:v>
      </x:c>
      <x:c r="H18" s="19" t="b">
        <x:v>0</x:v>
      </x:c>
    </x:row>
    <x:row r="19" ht="42" customHeight="1">
      <x:c r="A19" s="15" t="str">
        <x:v>CL-BE-12</x:v>
      </x:c>
      <x:c r="B19" s="13" t="str">
        <x:v>BACKEND</x:v>
      </x:c>
      <x:c r="C19" s="13" t="str">
        <x:v>LEGACY_UNCLASSIFIED governance branches</x:v>
      </x:c>
      <x:c r="D19" s="13" t="str">
        <x:v>HISTORICAL_COMPATIBILITY_REQUIRED</x:v>
      </x:c>
      <x:c r="E19" s="13" t="str">
        <x:v>backend/app/modules/project_creation/governance.py; frontend strategicNavigationBlueprint.ts</x:v>
      </x:c>
      <x:c r="F19" s="13" t="str">
        <x:v>Needed to read unreconciled historical records; must not silently force CAPITAL_OWNER.</x:v>
      </x:c>
      <x:c r="G19" s="20" t="b">
        <x:v>0</x:v>
      </x:c>
      <x:c r="H19" s="20" t="b">
        <x:v>0</x:v>
      </x:c>
    </x:row>
    <x:row r="20" ht="42" customHeight="1">
      <x:c r="A20" s="14" t="str">
        <x:v>CL-BE-13</x:v>
      </x:c>
      <x:c r="B20" s="6" t="str">
        <x:v>BACKEND</x:v>
      </x:c>
      <x:c r="C20" s="6" t="str">
        <x:v>Manual references for Class B legacy evidence</x:v>
      </x:c>
      <x:c r="D20" s="6" t="str">
        <x:v>HISTORICAL_COMPATIBILITY_REQUIRED</x:v>
      </x:c>
      <x:c r="E20" s="6" t="str">
        <x:v>backend/app/modules/investment_gate_preparation/service.py</x:v>
      </x:c>
      <x:c r="F20" s="6" t="str">
        <x:v>Class A forbidden; Class B behavior depends on effective historical policy and must not be deleted as universally obsolete.</x:v>
      </x:c>
      <x:c r="G20" s="19" t="b">
        <x:v>0</x:v>
      </x:c>
      <x:c r="H20" s="19" t="b">
        <x:v>0</x:v>
      </x:c>
    </x:row>
    <x:row r="21" ht="42" customHeight="1">
      <x:c r="A21" s="15" t="str">
        <x:v>CL-BE-14</x:v>
      </x:c>
      <x:c r="B21" s="13" t="str">
        <x:v>BACKEND</x:v>
      </x:c>
      <x:c r="C21" s="13" t="str">
        <x:v>QRA methodology legacy generic guard</x:v>
      </x:c>
      <x:c r="D21" s="13" t="str">
        <x:v>STILL_REFERENCED</x:v>
      </x:c>
      <x:c r="E21" s="13" t="str">
        <x:v>backend/app/api/v1/routers/admin_configuration.py:GOVERNED_CONFIGURATION_APIS</x:v>
      </x:c>
      <x:c r="F21" s="13" t="str">
        <x:v>Explicit rejection protects dedicated policy authority; removing guard would reintroduce bypass.</x:v>
      </x:c>
      <x:c r="G21" s="20" t="b">
        <x:v>0</x:v>
      </x:c>
      <x:c r="H21" s="20" t="b">
        <x:v>0</x:v>
      </x:c>
    </x:row>
    <x:row r="22" ht="42" customHeight="1">
      <x:c r="A22" s="14" t="str">
        <x:v>CL-BE-15</x:v>
      </x:c>
      <x:c r="B22" s="6" t="str">
        <x:v>BACKEND</x:v>
      </x:c>
      <x:c r="C22" s="6" t="str">
        <x:v>Known strategic hotspots</x:v>
      </x:c>
      <x:c r="D22" s="6" t="str">
        <x:v>STILL_REFERENCED</x:v>
      </x:c>
      <x:c r="E22" s="6" t="str">
        <x:v>backend/app/api/v1/router.py; backend/app/domain/models.py; backend/app/domain/schemas.py</x:v>
      </x:c>
      <x:c r="F22" s="6" t="str">
        <x:v>No big-bang refactor, migration rewrite or added strategic module in closeout.</x:v>
      </x:c>
      <x:c r="G22" s="19" t="b">
        <x:v>0</x:v>
      </x:c>
      <x:c r="H22" s="19" t="b">
        <x:v>0</x:v>
      </x:c>
    </x:row>
    <x:row r="23" ht="42" customHeight="1">
      <x:c r="A23" s="15" t="str">
        <x:v>CL-BE-16</x:v>
      </x:c>
      <x:c r="B23" s="13" t="str">
        <x:v>BACKEND</x:v>
      </x:c>
      <x:c r="C23" s="13" t="str">
        <x:v>Development-only fixture imports in production</x:v>
      </x:c>
      <x:c r="D23" s="13" t="str">
        <x:v>UNKNOWN</x:v>
      </x:c>
      <x:c r="E23" s="13" t="str">
        <x:v>backend/app/modules and backend/tests directory separation</x:v>
      </x:c>
      <x:c r="F23" s="13" t="str">
        <x:v>No demonstrated production import established by this review; absence of a quick match is not full import-graph proof.</x:v>
      </x:c>
      <x:c r="G23" s="20" t="b">
        <x:v>0</x:v>
      </x:c>
      <x:c r="H23" s="20" t="b">
        <x:v>0</x:v>
      </x:c>
    </x:row>
    <x:row r="24" ht="42" customHeight="1">
      <x:c r="A24" s="14" t="str">
        <x:v>CL-BE-17</x:v>
      </x:c>
      <x:c r="B24" s="6" t="str">
        <x:v>BACKEND</x:v>
      </x:c>
      <x:c r="C24" s="6" t="str">
        <x:v>Dead feature flags</x:v>
      </x:c>
      <x:c r="D24" s="6" t="str">
        <x:v>UNKNOWN</x:v>
      </x:c>
      <x:c r="E24" s="6" t="str">
        <x:v>backend/app/core/config.py; backend/app/modules</x:v>
      </x:c>
      <x:c r="F24" s="6" t="str">
        <x:v>No strategic flag is proven dead by source-only endpoint inventory; require deployed config and branch coverage.</x:v>
      </x:c>
      <x:c r="G24" s="19" t="b">
        <x:v>0</x:v>
      </x:c>
      <x:c r="H24" s="19" t="b">
        <x:v>0</x:v>
      </x:c>
    </x:row>
    <x:row r="25" ht="42" customHeight="1">
      <x:c r="A25" s="15" t="str">
        <x:v>CL-BE-18</x:v>
      </x:c>
      <x:c r="B25" s="13" t="str">
        <x:v>BACKEND</x:v>
      </x:c>
      <x:c r="C25" s="13" t="str">
        <x:v>Duplicate constants/enums across frontend/backend</x:v>
      </x:c>
      <x:c r="D25" s="13" t="str">
        <x:v>STILL_REFERENCED</x:v>
      </x:c>
      <x:c r="E25" s="13" t="str">
        <x:v>backend/app/modules/*/schemas.py; frontend/src/features/*/types.ts</x:v>
      </x:c>
      <x:c r="F25" s="13" t="str">
        <x:v>Cross-language contract copies are not automatically removable; validate schema generation strategy separately.</x:v>
      </x:c>
      <x:c r="G25" s="20" t="b">
        <x:v>0</x:v>
      </x:c>
      <x:c r="H25" s="20" t="b">
        <x:v>0</x:v>
      </x:c>
    </x:row>
    <x:row r="26" ht="42" customHeight="1">
      <x:c r="A26" s="14" t="str">
        <x:v>FE-1</x:v>
      </x:c>
      <x:c r="B26" s="6" t="str">
        <x:v>FRONTEND</x:v>
      </x:c>
      <x:c r="C26" s="6" t="str">
        <x:v>business-case-current-revision</x:v>
      </x:c>
      <x:c r="D26" s="6" t="str">
        <x:v>REQUIRES_DEPRECATION</x:v>
      </x:c>
      <x:c r="E26" s="6" t="str">
        <x:v>Renderer registered but strategicNodeForView has no canonical node in either mode; outlet returns null before renderer invocation.</x:v>
      </x:c>
      <x:c r="F26" s="6" t="str">
        <x:v>Document migration/redirect intent; do not delete in validation.</x:v>
      </x:c>
      <x:c r="G26" s="19" t="b">
        <x:v>0</x:v>
      </x:c>
      <x:c r="H26" s="6" t="str">
        <x:v>No retiro autorizado por ausencia de referencia directa</x:v>
      </x:c>
    </x:row>
    <x:row r="27" ht="42" customHeight="1">
      <x:c r="A27" s="15" t="str">
        <x:v>FE-2</x:v>
      </x:c>
      <x:c r="B27" s="13" t="str">
        <x:v>FRONTEND</x:v>
      </x:c>
      <x:c r="C27" s="13" t="str">
        <x:v>business-case-alternatives</x:v>
      </x:c>
      <x:c r="D27" s="13" t="str">
        <x:v>REQUIRES_DEPRECATION</x:v>
      </x:c>
      <x:c r="E27" s="13" t="str">
        <x:v>Renderer registered but strategicNodeForView has no canonical node in either mode; outlet returns null before renderer invocation.</x:v>
      </x:c>
      <x:c r="F27" s="13" t="str">
        <x:v>Document migration/redirect intent; do not delete in validation.</x:v>
      </x:c>
      <x:c r="G27" s="20" t="b">
        <x:v>0</x:v>
      </x:c>
      <x:c r="H27" s="13" t="str">
        <x:v>No retiro autorizado por ausencia de referencia directa</x:v>
      </x:c>
    </x:row>
    <x:row r="28" ht="42" customHeight="1">
      <x:c r="A28" s="14" t="str">
        <x:v>FE-3</x:v>
      </x:c>
      <x:c r="B28" s="6" t="str">
        <x:v>FRONTEND</x:v>
      </x:c>
      <x:c r="C28" s="6" t="str">
        <x:v>business-case-benefits</x:v>
      </x:c>
      <x:c r="D28" s="6" t="str">
        <x:v>REQUIRES_DEPRECATION</x:v>
      </x:c>
      <x:c r="E28" s="6" t="str">
        <x:v>Renderer registered but strategicNodeForView has no canonical node in either mode; outlet returns null before renderer invocation.</x:v>
      </x:c>
      <x:c r="F28" s="6" t="str">
        <x:v>Document migration/redirect intent; do not delete in validation.</x:v>
      </x:c>
      <x:c r="G28" s="19" t="b">
        <x:v>0</x:v>
      </x:c>
      <x:c r="H28" s="6" t="str">
        <x:v>No retiro autorizado por ausencia de referencia directa</x:v>
      </x:c>
    </x:row>
    <x:row r="29" ht="42" customHeight="1">
      <x:c r="A29" s="15" t="str">
        <x:v>FE-4</x:v>
      </x:c>
      <x:c r="B29" s="13" t="str">
        <x:v>FRONTEND</x:v>
      </x:c>
      <x:c r="C29" s="13" t="str">
        <x:v>business-case-project-definition</x:v>
      </x:c>
      <x:c r="D29" s="13" t="str">
        <x:v>REQUIRES_DEPRECATION</x:v>
      </x:c>
      <x:c r="E29" s="13" t="str">
        <x:v>Renderer registered but strategicNodeForView has no canonical node in either mode; outlet returns null before renderer invocation.</x:v>
      </x:c>
      <x:c r="F29" s="13" t="str">
        <x:v>Document migration/redirect intent; do not delete in validation.</x:v>
      </x:c>
      <x:c r="G29" s="20" t="b">
        <x:v>0</x:v>
      </x:c>
      <x:c r="H29" s="13" t="str">
        <x:v>No retiro autorizado por ausencia de referencia directa</x:v>
      </x:c>
    </x:row>
    <x:row r="30" ht="42" customHeight="1">
      <x:c r="A30" s="14" t="str">
        <x:v>FE-5</x:v>
      </x:c>
      <x:c r="B30" s="6" t="str">
        <x:v>FRONTEND</x:v>
      </x:c>
      <x:c r="C30" s="6" t="str">
        <x:v>business-case-budget-resources</x:v>
      </x:c>
      <x:c r="D30" s="6" t="str">
        <x:v>REQUIRES_DEPRECATION</x:v>
      </x:c>
      <x:c r="E30" s="6" t="str">
        <x:v>Renderer registered but strategicNodeForView has no canonical node in either mode; outlet returns null before renderer invocation.</x:v>
      </x:c>
      <x:c r="F30" s="6" t="str">
        <x:v>Document migration/redirect intent; do not delete in validation.</x:v>
      </x:c>
      <x:c r="G30" s="19" t="b">
        <x:v>0</x:v>
      </x:c>
      <x:c r="H30" s="6" t="str">
        <x:v>No retiro autorizado por ausencia de referencia directa</x:v>
      </x:c>
    </x:row>
    <x:row r="31" ht="42" customHeight="1">
      <x:c r="A31" s="15" t="str">
        <x:v>FE-6</x:v>
      </x:c>
      <x:c r="B31" s="13" t="str">
        <x:v>FRONTEND</x:v>
      </x:c>
      <x:c r="C31" s="13" t="str">
        <x:v>business-case-funding</x:v>
      </x:c>
      <x:c r="D31" s="13" t="str">
        <x:v>REQUIRES_DEPRECATION</x:v>
      </x:c>
      <x:c r="E31" s="13" t="str">
        <x:v>Renderer registered but strategicNodeForView has no canonical node in either mode; outlet returns null before renderer invocation.</x:v>
      </x:c>
      <x:c r="F31" s="13" t="str">
        <x:v>Document migration/redirect intent; do not delete in validation.</x:v>
      </x:c>
      <x:c r="G31" s="20" t="b">
        <x:v>0</x:v>
      </x:c>
      <x:c r="H31" s="13" t="str">
        <x:v>No retiro autorizado por ausencia de referencia directa</x:v>
      </x:c>
    </x:row>
    <x:row r="32" ht="42" customHeight="1">
      <x:c r="A32" s="14" t="str">
        <x:v>FE-7</x:v>
      </x:c>
      <x:c r="B32" s="6" t="str">
        <x:v>FRONTEND</x:v>
      </x:c>
      <x:c r="C32" s="6" t="str">
        <x:v>business-case-risk-permits</x:v>
      </x:c>
      <x:c r="D32" s="6" t="str">
        <x:v>REQUIRES_DEPRECATION</x:v>
      </x:c>
      <x:c r="E32" s="6" t="str">
        <x:v>Renderer registered but strategicNodeForView has no canonical node in either mode; outlet returns null before renderer invocation.</x:v>
      </x:c>
      <x:c r="F32" s="6" t="str">
        <x:v>Document migration/redirect intent; do not delete in validation.</x:v>
      </x:c>
      <x:c r="G32" s="19" t="b">
        <x:v>0</x:v>
      </x:c>
      <x:c r="H32" s="6" t="str">
        <x:v>No retiro autorizado por ausencia de referencia directa</x:v>
      </x:c>
    </x:row>
    <x:row r="33" ht="42" customHeight="1">
      <x:c r="A33" s="15" t="str">
        <x:v>FE-8</x:v>
      </x:c>
      <x:c r="B33" s="13" t="str">
        <x:v>FRONTEND</x:v>
      </x:c>
      <x:c r="C33" s="13" t="str">
        <x:v>business-case-execution</x:v>
      </x:c>
      <x:c r="D33" s="13" t="str">
        <x:v>REQUIRES_DEPRECATION</x:v>
      </x:c>
      <x:c r="E33" s="13" t="str">
        <x:v>Renderer registered but strategicNodeForView has no canonical node in either mode; outlet returns null before renderer invocation.</x:v>
      </x:c>
      <x:c r="F33" s="13" t="str">
        <x:v>Document migration/redirect intent; do not delete in validation.</x:v>
      </x:c>
      <x:c r="G33" s="20" t="b">
        <x:v>0</x:v>
      </x:c>
      <x:c r="H33" s="13" t="str">
        <x:v>No retiro autorizado por ausencia de referencia directa</x:v>
      </x:c>
    </x:row>
    <x:row r="34" ht="42" customHeight="1">
      <x:c r="A34" s="14" t="str">
        <x:v>FE-9</x:v>
      </x:c>
      <x:c r="B34" s="6" t="str">
        <x:v>FRONTEND</x:v>
      </x:c>
      <x:c r="C34" s="6" t="str">
        <x:v>business-case-assumptions</x:v>
      </x:c>
      <x:c r="D34" s="6" t="str">
        <x:v>REQUIRES_DEPRECATION</x:v>
      </x:c>
      <x:c r="E34" s="6" t="str">
        <x:v>Renderer registered but strategicNodeForView has no canonical node in either mode; outlet returns null before renderer invocation.</x:v>
      </x:c>
      <x:c r="F34" s="6" t="str">
        <x:v>Document migration/redirect intent; do not delete in validation.</x:v>
      </x:c>
      <x:c r="G34" s="19" t="b">
        <x:v>0</x:v>
      </x:c>
      <x:c r="H34" s="6" t="str">
        <x:v>No retiro autorizado por ausencia de referencia directa</x:v>
      </x:c>
    </x:row>
    <x:row r="35" ht="42" customHeight="1">
      <x:c r="A35" s="15" t="str">
        <x:v>FE-10</x:v>
      </x:c>
      <x:c r="B35" s="13" t="str">
        <x:v>FRONTEND</x:v>
      </x:c>
      <x:c r="C35" s="13" t="str">
        <x:v>business-case-recommendation</x:v>
      </x:c>
      <x:c r="D35" s="13" t="str">
        <x:v>REQUIRES_DEPRECATION</x:v>
      </x:c>
      <x:c r="E35" s="13" t="str">
        <x:v>Renderer registered but strategicNodeForView has no canonical node in either mode; outlet returns null before renderer invocation.</x:v>
      </x:c>
      <x:c r="F35" s="13" t="str">
        <x:v>Document migration/redirect intent; do not delete in validation.</x:v>
      </x:c>
      <x:c r="G35" s="20" t="b">
        <x:v>0</x:v>
      </x:c>
      <x:c r="H35" s="13" t="str">
        <x:v>No retiro autorizado por ausencia de referencia directa</x:v>
      </x:c>
    </x:row>
    <x:row r="36" ht="42" customHeight="1">
      <x:c r="A36" s="14" t="str">
        <x:v>FE-11</x:v>
      </x:c>
      <x:c r="B36" s="6" t="str">
        <x:v>FRONTEND</x:v>
      </x:c>
      <x:c r="C36" s="6" t="str">
        <x:v>business-case-material-changes</x:v>
      </x:c>
      <x:c r="D36" s="6" t="str">
        <x:v>REQUIRES_DEPRECATION</x:v>
      </x:c>
      <x:c r="E36" s="6" t="str">
        <x:v>Renderer registered but strategicNodeForView has no canonical node in either mode; outlet returns null before renderer invocation.</x:v>
      </x:c>
      <x:c r="F36" s="6" t="str">
        <x:v>Document migration/redirect intent; do not delete in validation.</x:v>
      </x:c>
      <x:c r="G36" s="19" t="b">
        <x:v>0</x:v>
      </x:c>
      <x:c r="H36" s="6" t="str">
        <x:v>No retiro autorizado por ausencia de referencia directa</x:v>
      </x:c>
    </x:row>
    <x:row r="37" ht="42" customHeight="1">
      <x:c r="A37" s="15" t="str">
        <x:v>FE-12</x:v>
      </x:c>
      <x:c r="B37" s="13" t="str">
        <x:v>FRONTEND</x:v>
      </x:c>
      <x:c r="C37" s="13" t="str">
        <x:v>BusinessCaseWorkspace initialViewRenderers group overridden by dedicated loop</x:v>
      </x:c>
      <x:c r="D37" s="13" t="str">
        <x:v>STILL_REFERENCED</x:v>
      </x:c>
      <x:c r="E37" s="13" t="str">
        <x:v>StrategicViewOutlet.tsx initialViewRenderers includes BC group; later loop overwrites all BC entries to add onNavigate.</x:v>
      </x:c>
      <x:c r="F37" s="13" t="str">
        <x:v>Small cleanup possible after dedicated equivalence regression; no deletion performed.</x:v>
      </x:c>
      <x:c r="G37" s="20" t="b">
        <x:v>0</x:v>
      </x:c>
      <x:c r="H37" s="13" t="str">
        <x:v>No retiro autorizado por ausencia de referencia directa</x:v>
      </x:c>
    </x:row>
    <x:row r="38" ht="42" customHeight="1">
      <x:c r="A38" s="14" t="str">
        <x:v>FE-13</x:v>
      </x:c>
      <x:c r="B38" s="6" t="str">
        <x:v>FRONTEND</x:v>
      </x:c>
      <x:c r="C38" s="6" t="str">
        <x:v>Ancestor and leaf nodes sharing one route</x:v>
      </x:c>
      <x:c r="D38" s="6" t="str">
        <x:v>STILL_REFERENCED</x:v>
      </x:c>
      <x:c r="E38" s="6" t="str">
        <x:v>30 repeated node-to-route representations; strategicNodeForView canonicalizes registry.</x:v>
      </x:c>
      <x:c r="F38" s="6" t="str">
        <x:v>Keep; not duplicate screens or competing authorities.</x:v>
      </x:c>
      <x:c r="G38" s="19" t="b">
        <x:v>0</x:v>
      </x:c>
      <x:c r="H38" s="6" t="str">
        <x:v>No retiro autorizado por ausencia de referencia directa</x:v>
      </x:c>
    </x:row>
    <x:row r="39" ht="42" customHeight="1">
      <x:c r="A39" s="15" t="str">
        <x:v>FE-14</x:v>
      </x:c>
      <x:c r="B39" s="13" t="str">
        <x:v>FRONTEND</x:v>
      </x:c>
      <x:c r="C39" s="13" t="str">
        <x:v>ENTERPRISE_WORKSPACE_ORDER / PROJECT_WORKSPACE_ORDER</x:v>
      </x:c>
      <x:c r="D39" s="13" t="str">
        <x:v>STILL_REFERENCED</x:v>
      </x:c>
      <x:c r="E39" s="13" t="str">
        <x:v>WorkspaceOperationalPage.tsx imports orderStrategicWorkspaceNavigator; backend module codes differ from ControlFlowView.</x:v>
      </x:c>
      <x:c r="F39" s="13" t="str">
        <x:v>Compatibility adapter; do not create new navigation arrays.</x:v>
      </x:c>
      <x:c r="G39" s="20" t="b">
        <x:v>0</x:v>
      </x:c>
      <x:c r="H39" s="13" t="str">
        <x:v>No retiro autorizado por ausencia de referencia directa</x:v>
      </x:c>
    </x:row>
    <x:row r="40" ht="42" customHeight="1">
      <x:c r="A40" s="14" t="str">
        <x:v>FE-15</x:v>
      </x:c>
      <x:c r="B40" s="6" t="str">
        <x:v>FRONTEND</x:v>
      </x:c>
      <x:c r="C40" s="6" t="str">
        <x:v>strategicNodeApplies</x:v>
      </x:c>
      <x:c r="D40" s="6" t="str">
        <x:v>UNKNOWN</x:v>
      </x:c>
      <x:c r="E40" s="6" t="str">
        <x:v>Exported from canonical blueprint; direct production references absent, tests call applicability metadata only.</x:v>
      </x:c>
      <x:c r="F40" s="6" t="str">
        <x:v>Determine intended UI applicability contract before removing; tests are not runtime enforcement.</x:v>
      </x:c>
      <x:c r="G40" s="19" t="b">
        <x:v>0</x:v>
      </x:c>
      <x:c r="H40" s="6" t="str">
        <x:v>No retiro autorizado por ausencia de referencia directa</x:v>
      </x:c>
    </x:row>
    <x:row r="41" ht="53" customHeight="1">
      <x:c r="A41" s="15" t="str">
        <x:v>FE-16</x:v>
      </x:c>
      <x:c r="B41" s="13" t="str">
        <x:v>FRONTEND</x:v>
      </x:c>
      <x:c r="C41" s="13" t="str">
        <x:v>/app/admin/strategy/enterprise-workspace-structure</x:v>
      </x:c>
      <x:c r="D41" s="13" t="str">
        <x:v>REQUIRES_DEPRECATION</x:v>
      </x:c>
      <x:c r="E41" s="13" t="str">
        <x:v>Canonical route now resolves AdminEnterpriseStructurePage rules; legacy AdminConfigurationView creation branch remains in source but is not a strategic renderer.</x:v>
      </x:c>
      <x:c r="F41" s="13" t="str">
        <x:v>Retain history; deprecated route intent documented. Backend must deny live PROJECT bypass. Do not delete historical API or data.</x:v>
      </x:c>
      <x:c r="G41" s="20" t="b">
        <x:v>0</x:v>
      </x:c>
      <x:c r="H41" s="13" t="str">
        <x:v>No retiro autorizado por ausencia de referencia directa</x:v>
      </x:c>
    </x:row>
    <x:row r="42" ht="42" customHeight="1">
      <x:c r="A42" s="14" t="str">
        <x:v>FE-17</x:v>
      </x:c>
      <x:c r="B42" s="6" t="str">
        <x:v>FRONTEND</x:v>
      </x:c>
      <x:c r="C42" s="6" t="str">
        <x:v>basicDataApi.configurations</x:v>
      </x:c>
      <x:c r="D42" s="6" t="str">
        <x:v>UNKNOWN</x:v>
      </x:c>
      <x:c r="E42" s="6" t="str">
        <x:v>frontend/src/features/risk-governance/policyApi.ts:24</x:v>
      </x:c>
      <x:c r="F42" s="6" t="str">
        <x:v>Check dynamic member access, external clients, server and historical compatibility; absence of client reference is insufficient for deletion.</x:v>
      </x:c>
      <x:c r="G42" s="19" t="b">
        <x:v>0</x:v>
      </x:c>
      <x:c r="H42" s="6" t="str">
        <x:v>No retiro autorizado por ausencia de referencia directa</x:v>
      </x:c>
    </x:row>
    <x:row r="43" ht="42" customHeight="1">
      <x:c r="A43" s="15" t="str">
        <x:v>FE-18</x:v>
      </x:c>
      <x:c r="B43" s="13" t="str">
        <x:v>FRONTEND</x:v>
      </x:c>
      <x:c r="C43" s="13" t="str">
        <x:v>basicDataApi.clone</x:v>
      </x:c>
      <x:c r="D43" s="13" t="str">
        <x:v>UNKNOWN</x:v>
      </x:c>
      <x:c r="E43" s="13" t="str">
        <x:v>frontend/src/features/risk-governance/policyApi.ts:25</x:v>
      </x:c>
      <x:c r="F43" s="13" t="str">
        <x:v>Check dynamic member access, external clients, server and historical compatibility; absence of client reference is insufficient for deletion.</x:v>
      </x:c>
      <x:c r="G43" s="20" t="b">
        <x:v>0</x:v>
      </x:c>
      <x:c r="H43" s="13" t="str">
        <x:v>No retiro autorizado por ausencia de referencia directa</x:v>
      </x:c>
    </x:row>
    <x:row r="44" ht="42" customHeight="1">
      <x:c r="A44" s="14" t="str">
        <x:v>FE-19</x:v>
      </x:c>
      <x:c r="B44" s="6" t="str">
        <x:v>FRONTEND</x:v>
      </x:c>
      <x:c r="C44" s="6" t="str">
        <x:v>basicDataApi.update</x:v>
      </x:c>
      <x:c r="D44" s="6" t="str">
        <x:v>UNKNOWN</x:v>
      </x:c>
      <x:c r="E44" s="6" t="str">
        <x:v>frontend/src/features/risk-governance/policyApi.ts:32</x:v>
      </x:c>
      <x:c r="F44" s="6" t="str">
        <x:v>Check dynamic member access, external clients, server and historical compatibility; absence of client reference is insufficient for deletion.</x:v>
      </x:c>
      <x:c r="G44" s="19" t="b">
        <x:v>0</x:v>
      </x:c>
      <x:c r="H44" s="6" t="str">
        <x:v>No retiro autorizado por ausencia de referencia directa</x:v>
      </x:c>
    </x:row>
    <x:row r="45" ht="42" customHeight="1">
      <x:c r="A45" s="15" t="str">
        <x:v>FE-20</x:v>
      </x:c>
      <x:c r="B45" s="13" t="str">
        <x:v>FRONTEND</x:v>
      </x:c>
      <x:c r="C45" s="13" t="str">
        <x:v>basicDataApi.publish</x:v>
      </x:c>
      <x:c r="D45" s="13" t="str">
        <x:v>UNKNOWN</x:v>
      </x:c>
      <x:c r="E45" s="13" t="str">
        <x:v>frontend/src/features/risk-governance/policyApi.ts:39</x:v>
      </x:c>
      <x:c r="F45" s="13" t="str">
        <x:v>Check dynamic member access, external clients, server and historical compatibility; absence of client reference is insufficient for deletion.</x:v>
      </x:c>
      <x:c r="G45" s="20" t="b">
        <x:v>0</x:v>
      </x:c>
      <x:c r="H45" s="13" t="str">
        <x:v>No retiro autorizado por ausencia de referencia directa</x:v>
      </x:c>
    </x:row>
    <x:row r="46" ht="42" customHeight="1">
      <x:c r="A46" s="14" t="str">
        <x:v>FE-21</x:v>
      </x:c>
      <x:c r="B46" s="6" t="str">
        <x:v>FRONTEND</x:v>
      </x:c>
      <x:c r="C46" s="6" t="str">
        <x:v>basicDataApi.archive</x:v>
      </x:c>
      <x:c r="D46" s="6" t="str">
        <x:v>UNKNOWN</x:v>
      </x:c>
      <x:c r="E46" s="6" t="str">
        <x:v>frontend/src/features/risk-governance/policyApi.ts:45</x:v>
      </x:c>
      <x:c r="F46" s="6" t="str">
        <x:v>Check dynamic member access, external clients, server and historical compatibility; absence of client reference is insufficient for deletion.</x:v>
      </x:c>
      <x:c r="G46" s="19" t="b">
        <x:v>0</x:v>
      </x:c>
      <x:c r="H46" s="6" t="str">
        <x:v>No retiro autorizado por ausencia de referencia directa</x:v>
      </x:c>
    </x:row>
    <x:row r="47" ht="42" customHeight="1">
      <x:c r="A47" s="15" t="str">
        <x:v>FE-22</x:v>
      </x:c>
      <x:c r="B47" s="13" t="str">
        <x:v>FRONTEND</x:v>
      </x:c>
      <x:c r="C47" s="13" t="str">
        <x:v>basicDataApi.preview</x:v>
      </x:c>
      <x:c r="D47" s="13" t="str">
        <x:v>UNKNOWN</x:v>
      </x:c>
      <x:c r="E47" s="13" t="str">
        <x:v>frontend/src/features/risk-governance/policyApi.ts:51</x:v>
      </x:c>
      <x:c r="F47" s="13" t="str">
        <x:v>Check dynamic member access, external clients, server and historical compatibility; absence of client reference is insufficient for deletion.</x:v>
      </x:c>
      <x:c r="G47" s="20" t="b">
        <x:v>0</x:v>
      </x:c>
      <x:c r="H47" s="13" t="str">
        <x:v>No retiro autorizado por ausencia de referencia directa</x:v>
      </x:c>
    </x:row>
    <x:row r="48" ht="42" customHeight="1">
      <x:c r="A48" s="14" t="str">
        <x:v>FE-23</x:v>
      </x:c>
      <x:c r="B48" s="6" t="str">
        <x:v>FRONTEND</x:v>
      </x:c>
      <x:c r="C48" s="6" t="str">
        <x:v>basicDataApi.assessment</x:v>
      </x:c>
      <x:c r="D48" s="6" t="str">
        <x:v>UNKNOWN</x:v>
      </x:c>
      <x:c r="E48" s="6" t="str">
        <x:v>frontend/src/features/basic-data/api.ts:91</x:v>
      </x:c>
      <x:c r="F48" s="6" t="str">
        <x:v>Check dynamic member access, external clients, server and historical compatibility; absence of client reference is insufficient for deletion.</x:v>
      </x:c>
      <x:c r="G48" s="19" t="b">
        <x:v>0</x:v>
      </x:c>
      <x:c r="H48" s="6" t="str">
        <x:v>No retiro autorizado por ausencia de referencia directa</x:v>
      </x:c>
    </x:row>
    <x:row r="49" ht="42" customHeight="1">
      <x:c r="A49" s="15" t="str">
        <x:v>FE-24</x:v>
      </x:c>
      <x:c r="B49" s="13" t="str">
        <x:v>FRONTEND</x:v>
      </x:c>
      <x:c r="C49" s="13" t="str">
        <x:v>businessAnalysisApi.list</x:v>
      </x:c>
      <x:c r="D49" s="13" t="str">
        <x:v>UNKNOWN</x:v>
      </x:c>
      <x:c r="E49" s="13" t="str">
        <x:v>frontend/src/features/business-analysis/api.ts:19</x:v>
      </x:c>
      <x:c r="F49" s="13" t="str">
        <x:v>Check dynamic member access, external clients, server and historical compatibility; absence of client reference is insufficient for deletion.</x:v>
      </x:c>
      <x:c r="G49" s="20" t="b">
        <x:v>0</x:v>
      </x:c>
      <x:c r="H49" s="13" t="str">
        <x:v>No retiro autorizado por ausencia de referencia directa</x:v>
      </x:c>
    </x:row>
    <x:row r="50" ht="42" customHeight="1">
      <x:c r="A50" s="14" t="str">
        <x:v>FE-25</x:v>
      </x:c>
      <x:c r="B50" s="6" t="str">
        <x:v>FRONTEND</x:v>
      </x:c>
      <x:c r="C50" s="6" t="str">
        <x:v>businessAnalysisApi.configurations</x:v>
      </x:c>
      <x:c r="D50" s="6" t="str">
        <x:v>UNKNOWN</x:v>
      </x:c>
      <x:c r="E50" s="6" t="str">
        <x:v>frontend/src/features/business-analysis/api.ts:58</x:v>
      </x:c>
      <x:c r="F50" s="6" t="str">
        <x:v>Check dynamic member access, external clients, server and historical compatibility; absence of client reference is insufficient for deletion.</x:v>
      </x:c>
      <x:c r="G50" s="19" t="b">
        <x:v>0</x:v>
      </x:c>
      <x:c r="H50" s="6" t="str">
        <x:v>No retiro autorizado por ausencia de referencia directa</x:v>
      </x:c>
    </x:row>
    <x:row r="51" ht="42" customHeight="1">
      <x:c r="A51" s="15" t="str">
        <x:v>FE-26</x:v>
      </x:c>
      <x:c r="B51" s="13" t="str">
        <x:v>FRONTEND</x:v>
      </x:c>
      <x:c r="C51" s="13" t="str">
        <x:v>businessAnalysisApi.previewConfiguration</x:v>
      </x:c>
      <x:c r="D51" s="13" t="str">
        <x:v>UNKNOWN</x:v>
      </x:c>
      <x:c r="E51" s="13" t="str">
        <x:v>frontend/src/features/business-analysis/api.ts:60</x:v>
      </x:c>
      <x:c r="F51" s="13" t="str">
        <x:v>Check dynamic member access, external clients, server and historical compatibility; absence of client reference is insufficient for deletion.</x:v>
      </x:c>
      <x:c r="G51" s="20" t="b">
        <x:v>0</x:v>
      </x:c>
      <x:c r="H51" s="13" t="str">
        <x:v>No retiro autorizado por ausencia de referencia directa</x:v>
      </x:c>
    </x:row>
    <x:row r="52" ht="42" customHeight="1">
      <x:c r="A52" s="14" t="str">
        <x:v>FE-27</x:v>
      </x:c>
      <x:c r="B52" s="6" t="str">
        <x:v>FRONTEND</x:v>
      </x:c>
      <x:c r="C52" s="6" t="str">
        <x:v>businessAnalysisApi.cloneConfiguration</x:v>
      </x:c>
      <x:c r="D52" s="6" t="str">
        <x:v>UNKNOWN</x:v>
      </x:c>
      <x:c r="E52" s="6" t="str">
        <x:v>frontend/src/features/business-analysis/api.ts:66</x:v>
      </x:c>
      <x:c r="F52" s="6" t="str">
        <x:v>Check dynamic member access, external clients, server and historical compatibility; absence of client reference is insufficient for deletion.</x:v>
      </x:c>
      <x:c r="G52" s="19" t="b">
        <x:v>0</x:v>
      </x:c>
      <x:c r="H52" s="6" t="str">
        <x:v>No retiro autorizado por ausencia de referencia directa</x:v>
      </x:c>
    </x:row>
    <x:row r="53" ht="42" customHeight="1">
      <x:c r="A53" s="15" t="str">
        <x:v>FE-28</x:v>
      </x:c>
      <x:c r="B53" s="13" t="str">
        <x:v>FRONTEND</x:v>
      </x:c>
      <x:c r="C53" s="13" t="str">
        <x:v>businessAnalysisApi.updateConfiguration</x:v>
      </x:c>
      <x:c r="D53" s="13" t="str">
        <x:v>UNKNOWN</x:v>
      </x:c>
      <x:c r="E53" s="13" t="str">
        <x:v>frontend/src/features/business-analysis/api.ts:72</x:v>
      </x:c>
      <x:c r="F53" s="13" t="str">
        <x:v>Check dynamic member access, external clients, server and historical compatibility; absence of client reference is insufficient for deletion.</x:v>
      </x:c>
      <x:c r="G53" s="20" t="b">
        <x:v>0</x:v>
      </x:c>
      <x:c r="H53" s="13" t="str">
        <x:v>No retiro autorizado por ausencia de referencia directa</x:v>
      </x:c>
    </x:row>
    <x:row r="54" ht="42" customHeight="1">
      <x:c r="A54" s="14" t="str">
        <x:v>FE-29</x:v>
      </x:c>
      <x:c r="B54" s="6" t="str">
        <x:v>FRONTEND</x:v>
      </x:c>
      <x:c r="C54" s="6" t="str">
        <x:v>businessAnalysisApi.publishConfiguration</x:v>
      </x:c>
      <x:c r="D54" s="6" t="str">
        <x:v>UNKNOWN</x:v>
      </x:c>
      <x:c r="E54" s="6" t="str">
        <x:v>frontend/src/features/business-analysis/api.ts:83</x:v>
      </x:c>
      <x:c r="F54" s="6" t="str">
        <x:v>Check dynamic member access, external clients, server and historical compatibility; absence of client reference is insufficient for deletion.</x:v>
      </x:c>
      <x:c r="G54" s="19" t="b">
        <x:v>0</x:v>
      </x:c>
      <x:c r="H54" s="6" t="str">
        <x:v>No retiro autorizado por ausencia de referencia directa</x:v>
      </x:c>
    </x:row>
    <x:row r="55" ht="42" customHeight="1">
      <x:c r="A55" s="15" t="str">
        <x:v>FE-30</x:v>
      </x:c>
      <x:c r="B55" s="13" t="str">
        <x:v>FRONTEND</x:v>
      </x:c>
      <x:c r="C55" s="13" t="str">
        <x:v>strategicAllocationApi.updatePlan</x:v>
      </x:c>
      <x:c r="D55" s="13" t="str">
        <x:v>UNKNOWN</x:v>
      </x:c>
      <x:c r="E55" s="13" t="str">
        <x:v>frontend/src/features/capital-allocation/api.ts:320</x:v>
      </x:c>
      <x:c r="F55" s="13" t="str">
        <x:v>Check dynamic member access, external clients, server and historical compatibility; absence of client reference is insufficient for deletion.</x:v>
      </x:c>
      <x:c r="G55" s="20" t="b">
        <x:v>0</x:v>
      </x:c>
      <x:c r="H55" s="13" t="str">
        <x:v>No retiro autorizado por ausencia de referencia directa</x:v>
      </x:c>
    </x:row>
    <x:row r="56" ht="42" customHeight="1">
      <x:c r="A56" s="14" t="str">
        <x:v>FE-31</x:v>
      </x:c>
      <x:c r="B56" s="6" t="str">
        <x:v>FRONTEND</x:v>
      </x:c>
      <x:c r="C56" s="6" t="str">
        <x:v>capitalPlanningApi.updateCycle</x:v>
      </x:c>
      <x:c r="D56" s="6" t="str">
        <x:v>UNKNOWN</x:v>
      </x:c>
      <x:c r="E56" s="6" t="str">
        <x:v>frontend/src/features/capital-planning/api.ts:100</x:v>
      </x:c>
      <x:c r="F56" s="6" t="str">
        <x:v>Check dynamic member access, external clients, server and historical compatibility; absence of client reference is insufficient for deletion.</x:v>
      </x:c>
      <x:c r="G56" s="19" t="b">
        <x:v>0</x:v>
      </x:c>
      <x:c r="H56" s="6" t="str">
        <x:v>No retiro autorizado por ausencia de referencia directa</x:v>
      </x:c>
    </x:row>
    <x:row r="57" ht="42" customHeight="1">
      <x:c r="A57" s="15" t="str">
        <x:v>FE-32</x:v>
      </x:c>
      <x:c r="B57" s="13" t="str">
        <x:v>FRONTEND</x:v>
      </x:c>
      <x:c r="C57" s="13" t="str">
        <x:v>capitalPlanningApi.cycleSummary</x:v>
      </x:c>
      <x:c r="D57" s="13" t="str">
        <x:v>UNKNOWN</x:v>
      </x:c>
      <x:c r="E57" s="13" t="str">
        <x:v>frontend/src/features/capital-planning/api.ts:125</x:v>
      </x:c>
      <x:c r="F57" s="13" t="str">
        <x:v>Check dynamic member access, external clients, server and historical compatibility; absence of client reference is insufficient for deletion.</x:v>
      </x:c>
      <x:c r="G57" s="20" t="b">
        <x:v>0</x:v>
      </x:c>
      <x:c r="H57" s="13" t="str">
        <x:v>No retiro autorizado por ausencia de referencia directa</x:v>
      </x:c>
    </x:row>
    <x:row r="58" ht="42" customHeight="1">
      <x:c r="A58" s="14" t="str">
        <x:v>FE-33</x:v>
      </x:c>
      <x:c r="B58" s="6" t="str">
        <x:v>FRONTEND</x:v>
      </x:c>
      <x:c r="C58" s="6" t="str">
        <x:v>commercialStrategyApi.detail</x:v>
      </x:c>
      <x:c r="D58" s="6" t="str">
        <x:v>UNKNOWN</x:v>
      </x:c>
      <x:c r="E58" s="6" t="str">
        <x:v>frontend/src/features/commercial-strategy/api.ts:65</x:v>
      </x:c>
      <x:c r="F58" s="6" t="str">
        <x:v>Check dynamic member access, external clients, server and historical compatibility; absence of client reference is insufficient for deletion.</x:v>
      </x:c>
      <x:c r="G58" s="19" t="b">
        <x:v>0</x:v>
      </x:c>
      <x:c r="H58" s="6" t="str">
        <x:v>No retiro autorizado por ausencia de referencia directa</x:v>
      </x:c>
    </x:row>
    <x:row r="59" ht="42" customHeight="1">
      <x:c r="A59" s="15" t="str">
        <x:v>FE-34</x:v>
      </x:c>
      <x:c r="B59" s="13" t="str">
        <x:v>FRONTEND</x:v>
      </x:c>
      <x:c r="C59" s="13" t="str">
        <x:v>commercialStrategyApi.byProject</x:v>
      </x:c>
      <x:c r="D59" s="13" t="str">
        <x:v>UNKNOWN</x:v>
      </x:c>
      <x:c r="E59" s="13" t="str">
        <x:v>frontend/src/features/commercial-strategy/api.ts:67</x:v>
      </x:c>
      <x:c r="F59" s="13" t="str">
        <x:v>Check dynamic member access, external clients, server and historical compatibility; absence of client reference is insufficient for deletion.</x:v>
      </x:c>
      <x:c r="G59" s="20" t="b">
        <x:v>0</x:v>
      </x:c>
      <x:c r="H59" s="13" t="str">
        <x:v>No retiro autorizado por ausencia de referencia directa</x:v>
      </x:c>
    </x:row>
    <x:row r="60" ht="42" customHeight="1">
      <x:c r="A60" s="14" t="str">
        <x:v>FE-35</x:v>
      </x:c>
      <x:c r="B60" s="6" t="str">
        <x:v>FRONTEND</x:v>
      </x:c>
      <x:c r="C60" s="6" t="str">
        <x:v>commercialStrategyApi.providerEvidence</x:v>
      </x:c>
      <x:c r="D60" s="6" t="str">
        <x:v>UNKNOWN</x:v>
      </x:c>
      <x:c r="E60" s="6" t="str">
        <x:v>frontend/src/features/commercial-strategy/api.ts:130</x:v>
      </x:c>
      <x:c r="F60" s="6" t="str">
        <x:v>Check dynamic member access, external clients, server and historical compatibility; absence of client reference is insufficient for deletion.</x:v>
      </x:c>
      <x:c r="G60" s="19" t="b">
        <x:v>0</x:v>
      </x:c>
      <x:c r="H60" s="6" t="str">
        <x:v>No retiro autorizado por ausencia de referencia directa</x:v>
      </x:c>
    </x:row>
    <x:row r="61" ht="42" customHeight="1">
      <x:c r="A61" s="15" t="str">
        <x:v>FE-36</x:v>
      </x:c>
      <x:c r="B61" s="13" t="str">
        <x:v>FRONTEND</x:v>
      </x:c>
      <x:c r="C61" s="13" t="str">
        <x:v>enterpriseStructureApi.previewProjectGovernancePolicy</x:v>
      </x:c>
      <x:c r="D61" s="13" t="str">
        <x:v>UNKNOWN</x:v>
      </x:c>
      <x:c r="E61" s="13" t="str">
        <x:v>frontend/src/features/enterprise-structure/api/index.ts:172</x:v>
      </x:c>
      <x:c r="F61" s="13" t="str">
        <x:v>Check dynamic member access, external clients, server and historical compatibility; absence of client reference is insufficient for deletion.</x:v>
      </x:c>
      <x:c r="G61" s="20" t="b">
        <x:v>0</x:v>
      </x:c>
      <x:c r="H61" s="13" t="str">
        <x:v>No retiro autorizado por ausencia de referencia directa</x:v>
      </x:c>
    </x:row>
    <x:row r="62" ht="42" customHeight="1">
      <x:c r="A62" s="14" t="str">
        <x:v>FE-37</x:v>
      </x:c>
      <x:c r="B62" s="6" t="str">
        <x:v>FRONTEND</x:v>
      </x:c>
      <x:c r="C62" s="6" t="str">
        <x:v>enterpriseStructureApi.coreRevision</x:v>
      </x:c>
      <x:c r="D62" s="6" t="str">
        <x:v>UNKNOWN</x:v>
      </x:c>
      <x:c r="E62" s="6" t="str">
        <x:v>frontend/src/features/enterprise-structure/api/index.ts:286</x:v>
      </x:c>
      <x:c r="F62" s="6" t="str">
        <x:v>Check dynamic member access, external clients, server and historical compatibility; absence of client reference is insufficient for deletion.</x:v>
      </x:c>
      <x:c r="G62" s="19" t="b">
        <x:v>0</x:v>
      </x:c>
      <x:c r="H62" s="6" t="str">
        <x:v>No retiro autorizado por ausencia de referencia directa</x:v>
      </x:c>
    </x:row>
    <x:row r="63" ht="42" customHeight="1">
      <x:c r="A63" s="15" t="str">
        <x:v>FE-38</x:v>
      </x:c>
      <x:c r="B63" s="13" t="str">
        <x:v>FRONTEND</x:v>
      </x:c>
      <x:c r="C63" s="13" t="str">
        <x:v>enterpriseStructureApi.updateCoreRevision</x:v>
      </x:c>
      <x:c r="D63" s="13" t="str">
        <x:v>UNKNOWN</x:v>
      </x:c>
      <x:c r="E63" s="13" t="str">
        <x:v>frontend/src/features/enterprise-structure/api/index.ts:289</x:v>
      </x:c>
      <x:c r="F63" s="13" t="str">
        <x:v>Check dynamic member access, external clients, server and historical compatibility; absence of client reference is insufficient for deletion.</x:v>
      </x:c>
      <x:c r="G63" s="20" t="b">
        <x:v>0</x:v>
      </x:c>
      <x:c r="H63" s="13" t="str">
        <x:v>No retiro autorizado por ausencia de referencia directa</x:v>
      </x:c>
    </x:row>
    <x:row r="64" ht="42" customHeight="1">
      <x:c r="A64" s="14" t="str">
        <x:v>FE-39</x:v>
      </x:c>
      <x:c r="B64" s="6" t="str">
        <x:v>FRONTEND</x:v>
      </x:c>
      <x:c r="C64" s="6" t="str">
        <x:v>enterpriseStructureApi.createProjectRequest</x:v>
      </x:c>
      <x:c r="D64" s="6" t="str">
        <x:v>UNKNOWN</x:v>
      </x:c>
      <x:c r="E64" s="6" t="str">
        <x:v>frontend/src/features/enterprise-structure/api/index.ts:424</x:v>
      </x:c>
      <x:c r="F64" s="6" t="str">
        <x:v>Check dynamic member access, external clients, server and historical compatibility; absence of client reference is insufficient for deletion.</x:v>
      </x:c>
      <x:c r="G64" s="19" t="b">
        <x:v>0</x:v>
      </x:c>
      <x:c r="H64" s="6" t="str">
        <x:v>No retiro autorizado por ausencia de referencia directa</x:v>
      </x:c>
    </x:row>
    <x:row r="65" ht="42" customHeight="1">
      <x:c r="A65" s="15" t="str">
        <x:v>FE-40</x:v>
      </x:c>
      <x:c r="B65" s="13" t="str">
        <x:v>FRONTEND</x:v>
      </x:c>
      <x:c r="C65" s="13" t="str">
        <x:v>enterpriseStructureApi.updateProjectRequest</x:v>
      </x:c>
      <x:c r="D65" s="13" t="str">
        <x:v>UNKNOWN</x:v>
      </x:c>
      <x:c r="E65" s="13" t="str">
        <x:v>frontend/src/features/enterprise-structure/api/index.ts:447</x:v>
      </x:c>
      <x:c r="F65" s="13" t="str">
        <x:v>Check dynamic member access, external clients, server and historical compatibility; absence of client reference is insufficient for deletion.</x:v>
      </x:c>
      <x:c r="G65" s="20" t="b">
        <x:v>0</x:v>
      </x:c>
      <x:c r="H65" s="13" t="str">
        <x:v>No retiro autorizado por ausencia de referencia directa</x:v>
      </x:c>
    </x:row>
    <x:row r="66" ht="42" customHeight="1">
      <x:c r="A66" s="14" t="str">
        <x:v>FE-41</x:v>
      </x:c>
      <x:c r="B66" s="6" t="str">
        <x:v>FRONTEND</x:v>
      </x:c>
      <x:c r="C66" s="6" t="str">
        <x:v>ideaDemandApi.update</x:v>
      </x:c>
      <x:c r="D66" s="6" t="str">
        <x:v>UNKNOWN</x:v>
      </x:c>
      <x:c r="E66" s="6" t="str">
        <x:v>frontend/src/features/idea-demand/api.ts:13</x:v>
      </x:c>
      <x:c r="F66" s="6" t="str">
        <x:v>Check dynamic member access, external clients, server and historical compatibility; absence of client reference is insufficient for deletion.</x:v>
      </x:c>
      <x:c r="G66" s="19" t="b">
        <x:v>0</x:v>
      </x:c>
      <x:c r="H66" s="6" t="str">
        <x:v>No retiro autorizado por ausencia de referencia directa</x:v>
      </x:c>
    </x:row>
    <x:row r="67" ht="42" customHeight="1">
      <x:c r="A67" s="15" t="str">
        <x:v>FE-42</x:v>
      </x:c>
      <x:c r="B67" s="13" t="str">
        <x:v>FRONTEND</x:v>
      </x:c>
      <x:c r="C67" s="13" t="str">
        <x:v>ideaDemandApi.previewConfiguration</x:v>
      </x:c>
      <x:c r="D67" s="13" t="str">
        <x:v>UNKNOWN</x:v>
      </x:c>
      <x:c r="E67" s="13" t="str">
        <x:v>frontend/src/features/idea-demand/api.ts:29</x:v>
      </x:c>
      <x:c r="F67" s="13" t="str">
        <x:v>Check dynamic member access, external clients, server and historical compatibility; absence of client reference is insufficient for deletion.</x:v>
      </x:c>
      <x:c r="G67" s="20" t="b">
        <x:v>0</x:v>
      </x:c>
      <x:c r="H67" s="13" t="str">
        <x:v>No retiro autorizado por ausencia de referencia directa</x:v>
      </x:c>
    </x:row>
    <x:row r="68" ht="42" customHeight="1">
      <x:c r="A68" s="14" t="str">
        <x:v>FE-43</x:v>
      </x:c>
      <x:c r="B68" s="6" t="str">
        <x:v>FRONTEND</x:v>
      </x:c>
      <x:c r="C68" s="6" t="str">
        <x:v>ownerCapabilityApi.configurations</x:v>
      </x:c>
      <x:c r="D68" s="6" t="str">
        <x:v>UNKNOWN</x:v>
      </x:c>
      <x:c r="E68" s="6" t="str">
        <x:v>frontend/src/features/risk-governance/policyApi.ts:24</x:v>
      </x:c>
      <x:c r="F68" s="6" t="str">
        <x:v>Check dynamic member access, external clients, server and historical compatibility; absence of client reference is insufficient for deletion.</x:v>
      </x:c>
      <x:c r="G68" s="19" t="b">
        <x:v>0</x:v>
      </x:c>
      <x:c r="H68" s="6" t="str">
        <x:v>No retiro autorizado por ausencia de referencia directa</x:v>
      </x:c>
    </x:row>
    <x:row r="69" ht="42" customHeight="1">
      <x:c r="A69" s="15" t="str">
        <x:v>FE-44</x:v>
      </x:c>
      <x:c r="B69" s="13" t="str">
        <x:v>FRONTEND</x:v>
      </x:c>
      <x:c r="C69" s="13" t="str">
        <x:v>ownerCapabilityApi.clone</x:v>
      </x:c>
      <x:c r="D69" s="13" t="str">
        <x:v>UNKNOWN</x:v>
      </x:c>
      <x:c r="E69" s="13" t="str">
        <x:v>frontend/src/features/risk-governance/policyApi.ts:25</x:v>
      </x:c>
      <x:c r="F69" s="13" t="str">
        <x:v>Check dynamic member access, external clients, server and historical compatibility; absence of client reference is insufficient for deletion.</x:v>
      </x:c>
      <x:c r="G69" s="20" t="b">
        <x:v>0</x:v>
      </x:c>
      <x:c r="H69" s="13" t="str">
        <x:v>No retiro autorizado por ausencia de referencia directa</x:v>
      </x:c>
    </x:row>
    <x:row r="70" ht="42" customHeight="1">
      <x:c r="A70" s="14" t="str">
        <x:v>FE-45</x:v>
      </x:c>
      <x:c r="B70" s="6" t="str">
        <x:v>FRONTEND</x:v>
      </x:c>
      <x:c r="C70" s="6" t="str">
        <x:v>ownerCapabilityApi.update</x:v>
      </x:c>
      <x:c r="D70" s="6" t="str">
        <x:v>UNKNOWN</x:v>
      </x:c>
      <x:c r="E70" s="6" t="str">
        <x:v>frontend/src/features/risk-governance/policyApi.ts:32</x:v>
      </x:c>
      <x:c r="F70" s="6" t="str">
        <x:v>Check dynamic member access, external clients, server and historical compatibility; absence of client reference is insufficient for deletion.</x:v>
      </x:c>
      <x:c r="G70" s="19" t="b">
        <x:v>0</x:v>
      </x:c>
      <x:c r="H70" s="6" t="str">
        <x:v>No retiro autorizado por ausencia de referencia directa</x:v>
      </x:c>
    </x:row>
    <x:row r="71" ht="42" customHeight="1">
      <x:c r="A71" s="15" t="str">
        <x:v>FE-46</x:v>
      </x:c>
      <x:c r="B71" s="13" t="str">
        <x:v>FRONTEND</x:v>
      </x:c>
      <x:c r="C71" s="13" t="str">
        <x:v>ownerCapabilityApi.publish</x:v>
      </x:c>
      <x:c r="D71" s="13" t="str">
        <x:v>UNKNOWN</x:v>
      </x:c>
      <x:c r="E71" s="13" t="str">
        <x:v>frontend/src/features/risk-governance/policyApi.ts:39</x:v>
      </x:c>
      <x:c r="F71" s="13" t="str">
        <x:v>Check dynamic member access, external clients, server and historical compatibility; absence of client reference is insufficient for deletion.</x:v>
      </x:c>
      <x:c r="G71" s="20" t="b">
        <x:v>0</x:v>
      </x:c>
      <x:c r="H71" s="13" t="str">
        <x:v>No retiro autorizado por ausencia de referencia directa</x:v>
      </x:c>
    </x:row>
    <x:row r="72" ht="42" customHeight="1">
      <x:c r="A72" s="14" t="str">
        <x:v>FE-47</x:v>
      </x:c>
      <x:c r="B72" s="6" t="str">
        <x:v>FRONTEND</x:v>
      </x:c>
      <x:c r="C72" s="6" t="str">
        <x:v>ownerCapabilityApi.archive</x:v>
      </x:c>
      <x:c r="D72" s="6" t="str">
        <x:v>UNKNOWN</x:v>
      </x:c>
      <x:c r="E72" s="6" t="str">
        <x:v>frontend/src/features/risk-governance/policyApi.ts:45</x:v>
      </x:c>
      <x:c r="F72" s="6" t="str">
        <x:v>Check dynamic member access, external clients, server and historical compatibility; absence of client reference is insufficient for deletion.</x:v>
      </x:c>
      <x:c r="G72" s="19" t="b">
        <x:v>0</x:v>
      </x:c>
      <x:c r="H72" s="6" t="str">
        <x:v>No retiro autorizado por ausencia de referencia directa</x:v>
      </x:c>
    </x:row>
    <x:row r="73" ht="42" customHeight="1">
      <x:c r="A73" s="15" t="str">
        <x:v>FE-48</x:v>
      </x:c>
      <x:c r="B73" s="13" t="str">
        <x:v>FRONTEND</x:v>
      </x:c>
      <x:c r="C73" s="13" t="str">
        <x:v>ownerCapabilityApi.preview</x:v>
      </x:c>
      <x:c r="D73" s="13" t="str">
        <x:v>UNKNOWN</x:v>
      </x:c>
      <x:c r="E73" s="13" t="str">
        <x:v>frontend/src/features/risk-governance/policyApi.ts:51</x:v>
      </x:c>
      <x:c r="F73" s="13" t="str">
        <x:v>Check dynamic member access, external clients, server and historical compatibility; absence of client reference is insufficient for deletion.</x:v>
      </x:c>
      <x:c r="G73" s="20" t="b">
        <x:v>0</x:v>
      </x:c>
      <x:c r="H73" s="13" t="str">
        <x:v>No retiro autorizado por ausencia de referencia directa</x:v>
      </x:c>
    </x:row>
    <x:row r="74" ht="42" customHeight="1">
      <x:c r="A74" s="14" t="str">
        <x:v>FE-49</x:v>
      </x:c>
      <x:c r="B74" s="6" t="str">
        <x:v>FRONTEND</x:v>
      </x:c>
      <x:c r="C74" s="6" t="str">
        <x:v>ownerCapabilityApi.assessment</x:v>
      </x:c>
      <x:c r="D74" s="6" t="str">
        <x:v>UNKNOWN</x:v>
      </x:c>
      <x:c r="E74" s="6" t="str">
        <x:v>frontend/src/features/owner-capability/api.ts:51</x:v>
      </x:c>
      <x:c r="F74" s="6" t="str">
        <x:v>Check dynamic member access, external clients, server and historical compatibility; absence of client reference is insufficient for deletion.</x:v>
      </x:c>
      <x:c r="G74" s="19" t="b">
        <x:v>0</x:v>
      </x:c>
      <x:c r="H74" s="6" t="str">
        <x:v>No retiro autorizado por ausencia de referencia directa</x:v>
      </x:c>
    </x:row>
    <x:row r="75" ht="42" customHeight="1">
      <x:c r="A75" s="15" t="str">
        <x:v>FE-50</x:v>
      </x:c>
      <x:c r="B75" s="13" t="str">
        <x:v>FRONTEND</x:v>
      </x:c>
      <x:c r="C75" s="13" t="str">
        <x:v>permitReadinessApi.overview</x:v>
      </x:c>
      <x:c r="D75" s="13" t="str">
        <x:v>UNKNOWN</x:v>
      </x:c>
      <x:c r="E75" s="13" t="str">
        <x:v>frontend/src/features/permit-readiness/api.ts:14</x:v>
      </x:c>
      <x:c r="F75" s="13" t="str">
        <x:v>Check dynamic member access, external clients, server and historical compatibility; absence of client reference is insufficient for deletion.</x:v>
      </x:c>
      <x:c r="G75" s="20" t="b">
        <x:v>0</x:v>
      </x:c>
      <x:c r="H75" s="13" t="str">
        <x:v>No retiro autorizado por ausencia de referencia directa</x:v>
      </x:c>
    </x:row>
    <x:row r="76" ht="42" customHeight="1">
      <x:c r="A76" s="14" t="str">
        <x:v>FE-51</x:v>
      </x:c>
      <x:c r="B76" s="6" t="str">
        <x:v>FRONTEND</x:v>
      </x:c>
      <x:c r="C76" s="6" t="str">
        <x:v>permitReadinessApi.changeStatus</x:v>
      </x:c>
      <x:c r="D76" s="6" t="str">
        <x:v>UNKNOWN</x:v>
      </x:c>
      <x:c r="E76" s="6" t="str">
        <x:v>frontend/src/features/permit-readiness/api.ts:23</x:v>
      </x:c>
      <x:c r="F76" s="6" t="str">
        <x:v>Check dynamic member access, external clients, server and historical compatibility; absence of client reference is insufficient for deletion.</x:v>
      </x:c>
      <x:c r="G76" s="19" t="b">
        <x:v>0</x:v>
      </x:c>
      <x:c r="H76" s="6" t="str">
        <x:v>No retiro autorizado por ausencia de referencia directa</x:v>
      </x:c>
    </x:row>
    <x:row r="77" ht="42" customHeight="1">
      <x:c r="A77" s="15" t="str">
        <x:v>FE-52</x:v>
      </x:c>
      <x:c r="B77" s="13" t="str">
        <x:v>FRONTEND</x:v>
      </x:c>
      <x:c r="C77" s="13" t="str">
        <x:v>permitReadinessApi.createCondition</x:v>
      </x:c>
      <x:c r="D77" s="13" t="str">
        <x:v>UNKNOWN</x:v>
      </x:c>
      <x:c r="E77" s="13" t="str">
        <x:v>frontend/src/features/permit-readiness/api.ts:32</x:v>
      </x:c>
      <x:c r="F77" s="13" t="str">
        <x:v>Check dynamic member access, external clients, server and historical compatibility; absence of client reference is insufficient for deletion.</x:v>
      </x:c>
      <x:c r="G77" s="20" t="b">
        <x:v>0</x:v>
      </x:c>
      <x:c r="H77" s="13" t="str">
        <x:v>No retiro autorizado por ausencia de referencia directa</x:v>
      </x:c>
    </x:row>
    <x:row r="78" ht="42" customHeight="1">
      <x:c r="A78" s="14" t="str">
        <x:v>FE-53</x:v>
      </x:c>
      <x:c r="B78" s="6" t="str">
        <x:v>FRONTEND</x:v>
      </x:c>
      <x:c r="C78" s="6" t="str">
        <x:v>portfolioAnalysisApi.preview</x:v>
      </x:c>
      <x:c r="D78" s="6" t="str">
        <x:v>UNKNOWN</x:v>
      </x:c>
      <x:c r="E78" s="6" t="str">
        <x:v>frontend/src/features/portfolio-analysis/api.ts:18</x:v>
      </x:c>
      <x:c r="F78" s="6" t="str">
        <x:v>Check dynamic member access, external clients, server and historical compatibility; absence of client reference is insufficient for deletion.</x:v>
      </x:c>
      <x:c r="G78" s="19" t="b">
        <x:v>0</x:v>
      </x:c>
      <x:c r="H78" s="6" t="str">
        <x:v>No retiro autorizado por ausencia de referencia directa</x:v>
      </x:c>
    </x:row>
    <x:row r="79" ht="42" customHeight="1">
      <x:c r="A79" s="15" t="str">
        <x:v>FE-54</x:v>
      </x:c>
      <x:c r="B79" s="13" t="str">
        <x:v>FRONTEND</x:v>
      </x:c>
      <x:c r="C79" s="13" t="str">
        <x:v>portfolioEvaluationApi.get</x:v>
      </x:c>
      <x:c r="D79" s="13" t="str">
        <x:v>UNKNOWN</x:v>
      </x:c>
      <x:c r="E79" s="13" t="str">
        <x:v>frontend/src/features/portfolio-evaluation/api.ts:26</x:v>
      </x:c>
      <x:c r="F79" s="13" t="str">
        <x:v>Check dynamic member access, external clients, server and historical compatibility; absence of client reference is insufficient for deletion.</x:v>
      </x:c>
      <x:c r="G79" s="20" t="b">
        <x:v>0</x:v>
      </x:c>
      <x:c r="H79" s="13" t="str">
        <x:v>No retiro autorizado por ausencia de referencia directa</x:v>
      </x:c>
    </x:row>
    <x:row r="80" ht="42" customHeight="1">
      <x:c r="A80" s="14" t="str">
        <x:v>FE-55</x:v>
      </x:c>
      <x:c r="B80" s="6" t="str">
        <x:v>FRONTEND</x:v>
      </x:c>
      <x:c r="C80" s="6" t="str">
        <x:v>portfolioPlanningApi.portfolioEvaluationReadiness</x:v>
      </x:c>
      <x:c r="D80" s="6" t="str">
        <x:v>UNKNOWN</x:v>
      </x:c>
      <x:c r="E80" s="6" t="str">
        <x:v>frontend/src/features/portfolio-planning/api.ts:42</x:v>
      </x:c>
      <x:c r="F80" s="6" t="str">
        <x:v>Check dynamic member access, external clients, server and historical compatibility; absence of client reference is insufficient for deletion.</x:v>
      </x:c>
      <x:c r="G80" s="19" t="b">
        <x:v>0</x:v>
      </x:c>
      <x:c r="H80" s="6" t="str">
        <x:v>No retiro autorizado por ausencia de referencia directa</x:v>
      </x:c>
    </x:row>
    <x:row r="81" ht="42" customHeight="1">
      <x:c r="A81" s="15" t="str">
        <x:v>FE-56</x:v>
      </x:c>
      <x:c r="B81" s="13" t="str">
        <x:v>FRONTEND</x:v>
      </x:c>
      <x:c r="C81" s="13" t="str">
        <x:v>portfolioPlanningApi.projectDefinitionReadiness</x:v>
      </x:c>
      <x:c r="D81" s="13" t="str">
        <x:v>UNKNOWN</x:v>
      </x:c>
      <x:c r="E81" s="13" t="str">
        <x:v>frontend/src/features/portfolio-planning/api.ts:44</x:v>
      </x:c>
      <x:c r="F81" s="13" t="str">
        <x:v>Check dynamic member access, external clients, server and historical compatibility; absence of client reference is insufficient for deletion.</x:v>
      </x:c>
      <x:c r="G81" s="20" t="b">
        <x:v>0</x:v>
      </x:c>
      <x:c r="H81" s="13" t="str">
        <x:v>No retiro autorizado por ausencia de referencia directa</x:v>
      </x:c>
    </x:row>
    <x:row r="82" ht="42" customHeight="1">
      <x:c r="A82" s="14" t="str">
        <x:v>FE-57</x:v>
      </x:c>
      <x:c r="B82" s="6" t="str">
        <x:v>FRONTEND</x:v>
      </x:c>
      <x:c r="C82" s="6" t="str">
        <x:v>postFIDGovernanceApi.get</x:v>
      </x:c>
      <x:c r="D82" s="6" t="str">
        <x:v>UNKNOWN</x:v>
      </x:c>
      <x:c r="E82" s="6" t="str">
        <x:v>frontend/src/features/post-fid-governance/api.ts:8</x:v>
      </x:c>
      <x:c r="F82" s="6" t="str">
        <x:v>Check dynamic member access, external clients, server and historical compatibility; absence of client reference is insufficient for deletion.</x:v>
      </x:c>
      <x:c r="G82" s="19" t="b">
        <x:v>0</x:v>
      </x:c>
      <x:c r="H82" s="6" t="str">
        <x:v>No retiro autorizado por ausencia de referencia directa</x:v>
      </x:c>
    </x:row>
    <x:row r="83" ht="42" customHeight="1">
      <x:c r="A83" s="15" t="str">
        <x:v>FE-58</x:v>
      </x:c>
      <x:c r="B83" s="13" t="str">
        <x:v>FRONTEND</x:v>
      </x:c>
      <x:c r="C83" s="13" t="str">
        <x:v>projectProposalApi.get</x:v>
      </x:c>
      <x:c r="D83" s="13" t="str">
        <x:v>UNKNOWN</x:v>
      </x:c>
      <x:c r="E83" s="13" t="str">
        <x:v>frontend/src/features/project-proposal/api.ts:10</x:v>
      </x:c>
      <x:c r="F83" s="13" t="str">
        <x:v>Check dynamic member access, external clients, server and historical compatibility; absence of client reference is insufficient for deletion.</x:v>
      </x:c>
      <x:c r="G83" s="20" t="b">
        <x:v>0</x:v>
      </x:c>
      <x:c r="H83" s="13" t="str">
        <x:v>No retiro autorizado por ausencia de referencia directa</x:v>
      </x:c>
    </x:row>
    <x:row r="84" ht="42" customHeight="1">
      <x:c r="A84" s="14" t="str">
        <x:v>FE-59</x:v>
      </x:c>
      <x:c r="B84" s="6" t="str">
        <x:v>FRONTEND</x:v>
      </x:c>
      <x:c r="C84" s="6" t="str">
        <x:v>projectProposalApi.previewConfiguration</x:v>
      </x:c>
      <x:c r="D84" s="6" t="str">
        <x:v>UNKNOWN</x:v>
      </x:c>
      <x:c r="E84" s="6" t="str">
        <x:v>frontend/src/features/project-proposal/api.ts:48</x:v>
      </x:c>
      <x:c r="F84" s="6" t="str">
        <x:v>Check dynamic member access, external clients, server and historical compatibility; absence of client reference is insufficient for deletion.</x:v>
      </x:c>
      <x:c r="G84" s="19" t="b">
        <x:v>0</x:v>
      </x:c>
      <x:c r="H84" s="6" t="str">
        <x:v>No retiro autorizado por ausencia de referencia directa</x:v>
      </x:c>
    </x:row>
    <x:row r="85" ht="42" customHeight="1">
      <x:c r="A85" s="15" t="str">
        <x:v>FE-60</x:v>
      </x:c>
      <x:c r="B85" s="13" t="str">
        <x:v>FRONTEND</x:v>
      </x:c>
      <x:c r="C85" s="13" t="str">
        <x:v>qraFoundationApi.configurations</x:v>
      </x:c>
      <x:c r="D85" s="13" t="str">
        <x:v>UNKNOWN</x:v>
      </x:c>
      <x:c r="E85" s="13" t="str">
        <x:v>frontend/src/features/risk-governance/policyApi.ts:24</x:v>
      </x:c>
      <x:c r="F85" s="13" t="str">
        <x:v>Check dynamic member access, external clients, server and historical compatibility; absence of client reference is insufficient for deletion.</x:v>
      </x:c>
      <x:c r="G85" s="20" t="b">
        <x:v>0</x:v>
      </x:c>
      <x:c r="H85" s="13" t="str">
        <x:v>No retiro autorizado por ausencia de referencia directa</x:v>
      </x:c>
    </x:row>
    <x:row r="86" ht="42" customHeight="1">
      <x:c r="A86" s="14" t="str">
        <x:v>FE-61</x:v>
      </x:c>
      <x:c r="B86" s="6" t="str">
        <x:v>FRONTEND</x:v>
      </x:c>
      <x:c r="C86" s="6" t="str">
        <x:v>qraFoundationApi.clone</x:v>
      </x:c>
      <x:c r="D86" s="6" t="str">
        <x:v>UNKNOWN</x:v>
      </x:c>
      <x:c r="E86" s="6" t="str">
        <x:v>frontend/src/features/risk-governance/policyApi.ts:25</x:v>
      </x:c>
      <x:c r="F86" s="6" t="str">
        <x:v>Check dynamic member access, external clients, server and historical compatibility; absence of client reference is insufficient for deletion.</x:v>
      </x:c>
      <x:c r="G86" s="19" t="b">
        <x:v>0</x:v>
      </x:c>
      <x:c r="H86" s="6" t="str">
        <x:v>No retiro autorizado por ausencia de referencia directa</x:v>
      </x:c>
    </x:row>
    <x:row r="87" ht="42" customHeight="1">
      <x:c r="A87" s="15" t="str">
        <x:v>FE-62</x:v>
      </x:c>
      <x:c r="B87" s="13" t="str">
        <x:v>FRONTEND</x:v>
      </x:c>
      <x:c r="C87" s="13" t="str">
        <x:v>qraFoundationApi.publish</x:v>
      </x:c>
      <x:c r="D87" s="13" t="str">
        <x:v>UNKNOWN</x:v>
      </x:c>
      <x:c r="E87" s="13" t="str">
        <x:v>frontend/src/features/risk-governance/policyApi.ts:39</x:v>
      </x:c>
      <x:c r="F87" s="13" t="str">
        <x:v>Check dynamic member access, external clients, server and historical compatibility; absence of client reference is insufficient for deletion.</x:v>
      </x:c>
      <x:c r="G87" s="20" t="b">
        <x:v>0</x:v>
      </x:c>
      <x:c r="H87" s="13" t="str">
        <x:v>No retiro autorizado por ausencia de referencia directa</x:v>
      </x:c>
    </x:row>
    <x:row r="88" ht="42" customHeight="1">
      <x:c r="A88" s="14" t="str">
        <x:v>FE-63</x:v>
      </x:c>
      <x:c r="B88" s="6" t="str">
        <x:v>FRONTEND</x:v>
      </x:c>
      <x:c r="C88" s="6" t="str">
        <x:v>qraFoundationApi.archive</x:v>
      </x:c>
      <x:c r="D88" s="6" t="str">
        <x:v>UNKNOWN</x:v>
      </x:c>
      <x:c r="E88" s="6" t="str">
        <x:v>frontend/src/features/risk-governance/policyApi.ts:45</x:v>
      </x:c>
      <x:c r="F88" s="6" t="str">
        <x:v>Check dynamic member access, external clients, server and historical compatibility; absence of client reference is insufficient for deletion.</x:v>
      </x:c>
      <x:c r="G88" s="19" t="b">
        <x:v>0</x:v>
      </x:c>
      <x:c r="H88" s="6" t="str">
        <x:v>No retiro autorizado por ausencia de referencia directa</x:v>
      </x:c>
    </x:row>
    <x:row r="89" ht="42" customHeight="1">
      <x:c r="A89" s="15" t="str">
        <x:v>FE-64</x:v>
      </x:c>
      <x:c r="B89" s="13" t="str">
        <x:v>FRONTEND</x:v>
      </x:c>
      <x:c r="C89" s="13" t="str">
        <x:v>qraFoundationApi.preview</x:v>
      </x:c>
      <x:c r="D89" s="13" t="str">
        <x:v>UNKNOWN</x:v>
      </x:c>
      <x:c r="E89" s="13" t="str">
        <x:v>frontend/src/features/risk-governance/policyApi.ts:51</x:v>
      </x:c>
      <x:c r="F89" s="13" t="str">
        <x:v>Check dynamic member access, external clients, server and historical compatibility; absence of client reference is insufficient for deletion.</x:v>
      </x:c>
      <x:c r="G89" s="20" t="b">
        <x:v>0</x:v>
      </x:c>
      <x:c r="H89" s="13" t="str">
        <x:v>No retiro autorizado por ausencia de referencia directa</x:v>
      </x:c>
    </x:row>
    <x:row r="90" ht="42" customHeight="1">
      <x:c r="A90" s="14" t="str">
        <x:v>FE-65</x:v>
      </x:c>
      <x:c r="B90" s="6" t="str">
        <x:v>FRONTEND</x:v>
      </x:c>
      <x:c r="C90" s="6" t="str">
        <x:v>riskGovernanceApi.configurations</x:v>
      </x:c>
      <x:c r="D90" s="6" t="str">
        <x:v>UNKNOWN</x:v>
      </x:c>
      <x:c r="E90" s="6" t="str">
        <x:v>frontend/src/features/risk-governance/policyApi.ts:24</x:v>
      </x:c>
      <x:c r="F90" s="6" t="str">
        <x:v>Check dynamic member access, external clients, server and historical compatibility; absence of client reference is insufficient for deletion.</x:v>
      </x:c>
      <x:c r="G90" s="19" t="b">
        <x:v>0</x:v>
      </x:c>
      <x:c r="H90" s="6" t="str">
        <x:v>No retiro autorizado por ausencia de referencia directa</x:v>
      </x:c>
    </x:row>
    <x:row r="91" ht="42" customHeight="1">
      <x:c r="A91" s="15" t="str">
        <x:v>FE-66</x:v>
      </x:c>
      <x:c r="B91" s="13" t="str">
        <x:v>FRONTEND</x:v>
      </x:c>
      <x:c r="C91" s="13" t="str">
        <x:v>riskGovernanceApi.clone</x:v>
      </x:c>
      <x:c r="D91" s="13" t="str">
        <x:v>UNKNOWN</x:v>
      </x:c>
      <x:c r="E91" s="13" t="str">
        <x:v>frontend/src/features/risk-governance/policyApi.ts:25</x:v>
      </x:c>
      <x:c r="F91" s="13" t="str">
        <x:v>Check dynamic member access, external clients, server and historical compatibility; absence of client reference is insufficient for deletion.</x:v>
      </x:c>
      <x:c r="G91" s="20" t="b">
        <x:v>0</x:v>
      </x:c>
      <x:c r="H91" s="13" t="str">
        <x:v>No retiro autorizado por ausencia de referencia directa</x:v>
      </x:c>
    </x:row>
    <x:row r="92" ht="42" customHeight="1">
      <x:c r="A92" s="14" t="str">
        <x:v>FE-67</x:v>
      </x:c>
      <x:c r="B92" s="6" t="str">
        <x:v>FRONTEND</x:v>
      </x:c>
      <x:c r="C92" s="6" t="str">
        <x:v>riskGovernanceApi.update</x:v>
      </x:c>
      <x:c r="D92" s="6" t="str">
        <x:v>UNKNOWN</x:v>
      </x:c>
      <x:c r="E92" s="6" t="str">
        <x:v>frontend/src/features/risk-governance/policyApi.ts:32</x:v>
      </x:c>
      <x:c r="F92" s="6" t="str">
        <x:v>Check dynamic member access, external clients, server and historical compatibility; absence of client reference is insufficient for deletion.</x:v>
      </x:c>
      <x:c r="G92" s="19" t="b">
        <x:v>0</x:v>
      </x:c>
      <x:c r="H92" s="6" t="str">
        <x:v>No retiro autorizado por ausencia de referencia directa</x:v>
      </x:c>
    </x:row>
    <x:row r="93" ht="42" customHeight="1">
      <x:c r="A93" s="15" t="str">
        <x:v>FE-68</x:v>
      </x:c>
      <x:c r="B93" s="13" t="str">
        <x:v>FRONTEND</x:v>
      </x:c>
      <x:c r="C93" s="13" t="str">
        <x:v>riskGovernanceApi.publish</x:v>
      </x:c>
      <x:c r="D93" s="13" t="str">
        <x:v>UNKNOWN</x:v>
      </x:c>
      <x:c r="E93" s="13" t="str">
        <x:v>frontend/src/features/risk-governance/policyApi.ts:39</x:v>
      </x:c>
      <x:c r="F93" s="13" t="str">
        <x:v>Check dynamic member access, external clients, server and historical compatibility; absence of client reference is insufficient for deletion.</x:v>
      </x:c>
      <x:c r="G93" s="20" t="b">
        <x:v>0</x:v>
      </x:c>
      <x:c r="H93" s="13" t="str">
        <x:v>No retiro autorizado por ausencia de referencia directa</x:v>
      </x:c>
    </x:row>
    <x:row r="94" ht="42" customHeight="1">
      <x:c r="A94" s="14" t="str">
        <x:v>FE-69</x:v>
      </x:c>
      <x:c r="B94" s="6" t="str">
        <x:v>FRONTEND</x:v>
      </x:c>
      <x:c r="C94" s="6" t="str">
        <x:v>riskGovernanceApi.archive</x:v>
      </x:c>
      <x:c r="D94" s="6" t="str">
        <x:v>UNKNOWN</x:v>
      </x:c>
      <x:c r="E94" s="6" t="str">
        <x:v>frontend/src/features/risk-governance/policyApi.ts:45</x:v>
      </x:c>
      <x:c r="F94" s="6" t="str">
        <x:v>Check dynamic member access, external clients, server and historical compatibility; absence of client reference is insufficient for deletion.</x:v>
      </x:c>
      <x:c r="G94" s="19" t="b">
        <x:v>0</x:v>
      </x:c>
      <x:c r="H94" s="6" t="str">
        <x:v>No retiro autorizado por ausencia de referencia directa</x:v>
      </x:c>
    </x:row>
    <x:row r="95" ht="42" customHeight="1">
      <x:c r="A95" s="15" t="str">
        <x:v>FE-70</x:v>
      </x:c>
      <x:c r="B95" s="13" t="str">
        <x:v>FRONTEND</x:v>
      </x:c>
      <x:c r="C95" s="13" t="str">
        <x:v>riskGovernanceApi.preview</x:v>
      </x:c>
      <x:c r="D95" s="13" t="str">
        <x:v>UNKNOWN</x:v>
      </x:c>
      <x:c r="E95" s="13" t="str">
        <x:v>frontend/src/features/risk-governance/policyApi.ts:51</x:v>
      </x:c>
      <x:c r="F95" s="13" t="str">
        <x:v>Check dynamic member access, external clients, server and historical compatibility; absence of client reference is insufficient for deletion.</x:v>
      </x:c>
      <x:c r="G95" s="20" t="b">
        <x:v>0</x:v>
      </x:c>
      <x:c r="H95" s="13" t="str">
        <x:v>No retiro autorizado por ausencia de referencia directa</x:v>
      </x:c>
    </x:row>
    <x:row r="96" ht="42" customHeight="1">
      <x:c r="A96" s="14" t="str">
        <x:v>FE-71</x:v>
      </x:c>
      <x:c r="B96" s="6" t="str">
        <x:v>FRONTEND</x:v>
      </x:c>
      <x:c r="C96" s="6" t="str">
        <x:v>riskReadinessApi.overview</x:v>
      </x:c>
      <x:c r="D96" s="6" t="str">
        <x:v>UNKNOWN</x:v>
      </x:c>
      <x:c r="E96" s="6" t="str">
        <x:v>frontend/src/features/risk-readiness/api.ts:7</x:v>
      </x:c>
      <x:c r="F96" s="6" t="str">
        <x:v>Check dynamic member access, external clients, server and historical compatibility; absence of client reference is insufficient for deletion.</x:v>
      </x:c>
      <x:c r="G96" s="19" t="b">
        <x:v>0</x:v>
      </x:c>
      <x:c r="H96" s="6" t="str">
        <x:v>No retiro autorizado por ausencia de referencia directa</x:v>
      </x:c>
    </x:row>
    <x:row r="97" ht="42" customHeight="1">
      <x:c r="A97" s="15" t="str">
        <x:v>FE-72</x:v>
      </x:c>
      <x:c r="B97" s="13" t="str">
        <x:v>FRONTEND</x:v>
      </x:c>
      <x:c r="C97" s="13" t="str">
        <x:v>riskReadinessApi.changeStatus</x:v>
      </x:c>
      <x:c r="D97" s="13" t="str">
        <x:v>UNKNOWN</x:v>
      </x:c>
      <x:c r="E97" s="13" t="str">
        <x:v>frontend/src/features/risk-readiness/api.ts:23</x:v>
      </x:c>
      <x:c r="F97" s="13" t="str">
        <x:v>Check dynamic member access, external clients, server and historical compatibility; absence of client reference is insufficient for deletion.</x:v>
      </x:c>
      <x:c r="G97" s="20" t="b">
        <x:v>0</x:v>
      </x:c>
      <x:c r="H97" s="13" t="str">
        <x:v>No retiro autorizado por ausencia de referencia directa</x:v>
      </x:c>
    </x:row>
    <x:row r="98" ht="42" customHeight="1">
      <x:c r="A98" s="14" t="str">
        <x:v>FE-73</x:v>
      </x:c>
      <x:c r="B98" s="6" t="str">
        <x:v>FRONTEND</x:v>
      </x:c>
      <x:c r="C98" s="6" t="str">
        <x:v>strategicBenefitsApi.byProject</x:v>
      </x:c>
      <x:c r="D98" s="6" t="str">
        <x:v>UNKNOWN</x:v>
      </x:c>
      <x:c r="E98" s="6" t="str">
        <x:v>frontend/src/features/strategic-benefits/api.ts:100</x:v>
      </x:c>
      <x:c r="F98" s="6" t="str">
        <x:v>Check dynamic member access, external clients, server and historical compatibility; absence of client reference is insufficient for deletion.</x:v>
      </x:c>
      <x:c r="G98" s="19" t="b">
        <x:v>0</x:v>
      </x:c>
      <x:c r="H98" s="6" t="str">
        <x:v>No retiro autorizado por ausencia de referencia directa</x:v>
      </x:c>
    </x:row>
    <x:row r="99" ht="42" customHeight="1">
      <x:c r="A99" s="15" t="str">
        <x:v>FE-74</x:v>
      </x:c>
      <x:c r="B99" s="13" t="str">
        <x:v>FRONTEND</x:v>
      </x:c>
      <x:c r="C99" s="13" t="str">
        <x:v>strategicBenefitsApi.providerEvidence</x:v>
      </x:c>
      <x:c r="D99" s="13" t="str">
        <x:v>UNKNOWN</x:v>
      </x:c>
      <x:c r="E99" s="13" t="str">
        <x:v>frontend/src/features/strategic-benefits/api.ts:222</x:v>
      </x:c>
      <x:c r="F99" s="13" t="str">
        <x:v>Check dynamic member access, external clients, server and historical compatibility; absence of client reference is insufficient for deletion.</x:v>
      </x:c>
      <x:c r="G99" s="20" t="b">
        <x:v>0</x:v>
      </x:c>
      <x:c r="H99" s="13" t="str">
        <x:v>No retiro autorizado por ausencia de referencia directa</x:v>
      </x:c>
    </x:row>
    <x:row r="100" ht="42" customHeight="1">
      <x:c r="A100" s="14" t="str">
        <x:v>FE-75</x:v>
      </x:c>
      <x:c r="B100" s="6" t="str">
        <x:v>FRONTEND</x:v>
      </x:c>
      <x:c r="C100" s="6" t="str">
        <x:v>strategicGateApi.get</x:v>
      </x:c>
      <x:c r="D100" s="6" t="str">
        <x:v>UNKNOWN</x:v>
      </x:c>
      <x:c r="E100" s="6" t="str">
        <x:v>frontend/src/features/strategic-gate/api.ts:21</x:v>
      </x:c>
      <x:c r="F100" s="6" t="str">
        <x:v>Check dynamic member access, external clients, server and historical compatibility; absence of client reference is insufficient for deletion.</x:v>
      </x:c>
      <x:c r="G100" s="19" t="b">
        <x:v>0</x:v>
      </x:c>
      <x:c r="H100" s="6" t="str">
        <x:v>No retiro autorizado por ausencia de referencia directa</x:v>
      </x:c>
    </x:row>
    <x:row r="101" ht="42" customHeight="1">
      <x:c r="A101" s="15" t="str">
        <x:v>FE-76</x:v>
      </x:c>
      <x:c r="B101" s="13" t="str">
        <x:v>FRONTEND</x:v>
      </x:c>
      <x:c r="C101" s="13" t="str">
        <x:v>strategicGateApi.relatedToIdea</x:v>
      </x:c>
      <x:c r="D101" s="13" t="str">
        <x:v>UNKNOWN</x:v>
      </x:c>
      <x:c r="E101" s="13" t="str">
        <x:v>frontend/src/features/strategic-gate/api.ts:82</x:v>
      </x:c>
      <x:c r="F101" s="13" t="str">
        <x:v>Check dynamic member access, external clients, server and historical compatibility; absence of client reference is insufficient for deletion.</x:v>
      </x:c>
      <x:c r="G101" s="20" t="b">
        <x:v>0</x:v>
      </x:c>
      <x:c r="H101" s="13" t="str">
        <x:v>No retiro autorizado por ausencia de referencia directa</x:v>
      </x:c>
    </x:row>
    <x:row r="102" ht="42" customHeight="1">
      <x:c r="A102" s="14" t="str">
        <x:v>FE-77</x:v>
      </x:c>
      <x:c r="B102" s="6" t="str">
        <x:v>FRONTEND</x:v>
      </x:c>
      <x:c r="C102" s="6" t="str">
        <x:v>workspaceContextApi.context</x:v>
      </x:c>
      <x:c r="D102" s="6" t="str">
        <x:v>UNKNOWN</x:v>
      </x:c>
      <x:c r="E102" s="6" t="str">
        <x:v>frontend/src/features/workspace-context/api.ts:22</x:v>
      </x:c>
      <x:c r="F102" s="6" t="str">
        <x:v>Check dynamic member access, external clients, server and historical compatibility; absence of client reference is insufficient for deletion.</x:v>
      </x:c>
      <x:c r="G102" s="19" t="b">
        <x:v>0</x:v>
      </x:c>
      <x:c r="H102" s="6" t="str">
        <x:v>No retiro autorizado por ausencia de referencia directa</x:v>
      </x:c>
    </x:row>
  </x:sheetData>
  <x:pageMargins left="0.7" right="0.7" top="0.75" bottom="0.75" header="0.3" footer="0.3"/>
  <x:tableParts count="1">
    <x:tablePart xmlns:r="http://schemas.openxmlformats.org/officeDocument/2006/relationships" r:id="R02617110fe0840b1"/>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7" hidden="0" customWidth="1"/>
    <x:col min="2" max="2" width="48" hidden="0" customWidth="1"/>
    <x:col min="3" max="3" width="25" hidden="0" customWidth="1"/>
    <x:col min="4" max="4" width="72" hidden="0" customWidth="1"/>
    <x:col min="5" max="5" width="29" hidden="0" customWidth="1"/>
    <x:col min="6" max="6" width="78" hidden="0" customWidth="1"/>
    <x:col min="7" max="7" width="34" hidden="0" customWidth="1"/>
    <x:col min="8" max="8" width="20" hidden="0" customWidth="1"/>
    <x:col min="9" max="9" width="66" hidden="0" customWidth="1"/>
    <x:col min="10" max="10" width="22" hidden="0" customWidth="1"/>
    <x:col min="11" max="11" width="80" hidden="0" customWidth="1"/>
    <x:col min="12" max="12" width="80" hidden="0" customWidth="1"/>
    <x:col min="13" max="13" width="90" hidden="0" customWidth="1"/>
  </x:cols>
  <x:sheetData>
    <x:row r="2" ht="26" customHeight="1">
      <x:c r="A2" s="1" t="str">
        <x:v>Criterios de liberación y firmas humanas</x:v>
      </x:c>
    </x:row>
    <x:row r="3">
      <x:c r="A3" s="2"/>
      <x:c r="B3" s="2"/>
      <x:c r="C3" s="2"/>
      <x:c r="D3" s="2"/>
      <x:c r="E3" s="2"/>
      <x:c r="F3" s="2"/>
      <x:c r="G3" s="2"/>
      <x:c r="H3" s="2"/>
      <x:c r="I3" s="2"/>
      <x:c r="J3" s="2"/>
    </x:row>
    <x:row r="4">
      <x:c r="A4" s="3" t="str">
        <x:v>Corte 15 octubre 2026; firmas no inferidas</x:v>
      </x:c>
      <x:c r="B4" s="3"/>
      <x:c r="C4" s="3"/>
      <x:c r="D4" s="3" t="str">
        <x:v>Fuente del registro</x:v>
      </x:c>
      <x:c r="E4" s="3" t="str">
        <x:v>Resultados técnicos explícitos y firmas autorizadas. Datos de firma vacíos significan pendiente, nunca aceptado.</x:v>
      </x:c>
      <x:c r="F4" s="3"/>
      <x:c r="G4" s="3"/>
      <x:c r="H4" s="3"/>
      <x:c r="I4" s="3"/>
      <x:c r="J4" s="3"/>
    </x:row>
    <x:row r="5">
      <x:c r="A5" s="3" t="str">
        <x:v>Registros</x:v>
      </x:c>
      <x:c r="B5" s="3" t="n">
        <x:f>COUNTA(A8:A37)</x:f>
        <x:v>30</x:v>
      </x:c>
      <x:c r="C5" s="3" t="str">
        <x:v>Pendientes o fallos</x:v>
      </x:c>
      <x:c r="D5" s="3" t="n">
        <x:f>COUNTIFS(J8:J37,"BLOCKED")+COUNTIFS(J8:J37,"FAIL")</x:f>
        <x:v>16</x:v>
      </x:c>
      <x:c r="E5" s="3"/>
      <x:c r="F5" s="3" t="str">
        <x:v>Conclusión calculada</x:v>
      </x:c>
      <x:c r="G5" s="3" t="str">
        <x:f>IF(D5=0,"REVIEW_RELEASE_DECISION","NO_GO")</x:f>
        <x:v>NO_GO</x:v>
      </x:c>
      <x:c r="H5" s="3"/>
      <x:c r="I5" s="3" t="str">
        <x:v>Decisión registrada</x:v>
      </x:c>
      <x:c r="J5" s="3" t="str">
        <x:v>NO_GO</x:v>
      </x:c>
    </x:row>
    <x:row r="7" ht="34" customHeight="1">
      <x:c r="A7" s="10" t="str">
        <x:v>Criterio ID</x:v>
      </x:c>
      <x:c r="B7" s="11" t="str">
        <x:v>Criterio</x:v>
      </x:c>
      <x:c r="C7" s="11" t="str">
        <x:v>Tipo</x:v>
      </x:c>
      <x:c r="D7" s="11" t="str">
        <x:v>Resultado técnico o condición</x:v>
      </x:c>
      <x:c r="E7" s="11" t="str">
        <x:v>Estado o decisión editable</x:v>
      </x:c>
      <x:c r="F7" s="11" t="str">
        <x:v>Evidencia técnica</x:v>
      </x:c>
      <x:c r="G7" s="11" t="str">
        <x:v>Firmante autorizado</x:v>
      </x:c>
      <x:c r="H7" s="11" t="str">
        <x:v>Fecha firma</x:v>
      </x:c>
      <x:c r="I7" s="11" t="str">
        <x:v>Evidencia de firma</x:v>
      </x:c>
      <x:c r="J7" s="12" t="str">
        <x:v>Estado calculado</x:v>
      </x:c>
      <x:c r="K7" s="11" t="str">
        <x:v>Criterio anterior 14 octubre</x:v>
      </x:c>
      <x:c r="L7" s="11" t="str">
        <x:v>Criterio previo al preflight</x:v>
      </x:c>
      <x:c r="M7" s="11" t="str">
        <x:v>Criterio previo a reconstrucción</x:v>
      </x:c>
    </x:row>
    <x:row r="8" ht="42" customHeight="1">
      <x:c r="A8" s="14" t="str">
        <x:v>RC01</x:v>
      </x:c>
      <x:c r="B8" s="6" t="str">
        <x:v>Mapa y dependencias de procesos</x:v>
      </x:c>
      <x:c r="C8" s="6" t="str">
        <x:v>TECHNICAL</x:v>
      </x:c>
      <x:c r="D8" s="6" t="str">
        <x:v>44 procesos clasificados con autoridad, RACI, entradas y salidas; precedencia no se fuerza toda a secuencia estricta</x:v>
      </x:c>
      <x:c r="E8" s="6" t="str">
        <x:v>PASS</x:v>
      </x:c>
      <x:c r="F8" s="6" t="str">
        <x:v>docs/validation/strategic-final-uat/scenario-coverage-register.json</x:v>
      </x:c>
      <x:c r="G8" s="6" t="str"/>
      <x:c r="H8" s="21"/>
      <x:c r="I8" s="6" t="str"/>
      <x:c r="J8" s="6" t="str">
        <x:f>IF(C8="BUSINESS_SIGNOFF",IF(AND(E8="ACCEPTED",G8&lt;&gt;"",H8&lt;&gt;"",I8&lt;&gt;""),"PASS","BLOCKED"),IF(E8="PASS","PASS",IF(E8="FAIL","FAIL","BLOCKED")))</x:f>
        <x:v>PASS</x:v>
      </x:c>
      <x:c r="K8" s="5"/>
    </x:row>
    <x:row r="9" ht="130" customHeight="1">
      <x:c r="A9" s="15" t="str">
        <x:v>RC02</x:v>
      </x:c>
      <x:c r="B9" s="13" t="str">
        <x:v>Identidad Project canónica y timing</x:v>
      </x:c>
      <x:c r="C9" s="13" t="str">
        <x:v>TECHNICAL</x:v>
      </x:c>
      <x:c r="D9" s="13" t="str">
        <x:v>La misma identidad canónica pasa de pending a ACTIVATED por comandos y actores independientes; FID no activa automáticamente.</x:v>
      </x:c>
      <x:c r="E9" s="13" t="str">
        <x:v>PASS</x:v>
      </x:c>
      <x:c r="F9" s="13" t="str">
        <x:v>docs/validation/gate07j-controlled-class-b/rebuild-results.json</x:v>
      </x:c>
      <x:c r="G9" s="13" t="str"/>
      <x:c r="H9" s="22"/>
      <x:c r="I9" s="13" t="str"/>
      <x:c r="J9" s="13" t="str">
        <x:f>IF(C9="BUSINESS_SIGNOFF",IF(AND(E9="ACCEPTED",G9&lt;&gt;"",H9&lt;&gt;"",I9&lt;&gt;""),"PASS","BLOCKED"),IF(E9="PASS","PASS",IF(E9="FAIL","FAIL","BLOCKED")))</x:f>
        <x:v>PASS</x:v>
      </x:c>
      <x:c r="K9" s="5" t="str">
        <x:v>["RC02","Identidad Project canónica y timing","TECHNICAL","enterprise_workspaces PROJECT; materialización USER pending e inicialización y activación independientes","PASS","routes-postgresql-final.xml y backend-authority-guard-final.xml",null,null,null,"PASS"]</x:v>
      </x:c>
      <x:c r="M9" s="25" t="str">
        <x:v>{"criterion":"RC02","prior_condition":"enterprise_workspaces PROJECT; materialización USER pending e inicialización y activación independientes","prior_status":"PASS","prior_evidence":"fresh-capital-owner-chain.json; Project canónico pending y timing actual; el caso A6 compuesto sigue BLOCKED","prior_calculated_result":"PASS"}</x:v>
      </x:c>
    </x:row>
    <x:row r="10" ht="130" customHeight="1">
      <x:c r="A10" s="14" t="str">
        <x:v>RC03</x:v>
      </x:c>
      <x:c r="B10" s="6" t="str">
        <x:v>Segregación ADMIN USER</x:v>
      </x:c>
      <x:c r="C10" s="6" t="str">
        <x:v>TECHNICAL</x:v>
      </x:c>
      <x:c r="D10" s="6" t="str">
        <x:v>SoD, ámbito y puente gobernado con regresión enfocada; no constituye certificación universal de permisos.</x:v>
      </x:c>
      <x:c r="E10" s="6" t="str">
        <x:v>PASS</x:v>
      </x:c>
      <x:c r="F10" s="6" t="str">
        <x:v>docs/validation/gate07j-controlled-class-b/rebuild-results.json</x:v>
      </x:c>
      <x:c r="G10" s="6" t="str"/>
      <x:c r="H10" s="21"/>
      <x:c r="I10" s="6" t="str"/>
      <x:c r="J10" s="6" t="str">
        <x:f>IF(C10="BUSINESS_SIGNOFF",IF(AND(E10="ACCEPTED",G10&lt;&gt;"",H10&lt;&gt;"",I10&lt;&gt;""),"PASS","BLOCKED"),IF(E10="PASS","PASS",IF(E10="FAIL","FAIL","BLOCKED")))</x:f>
        <x:v>PASS</x:v>
      </x:c>
      <x:c r="K10" s="5" t="str">
        <x:v>["RC03","Segregación ADMIN USER","TECHNICAL","Guards y pantallas corregidos con pruebas enfocadas; no se certifica toda autorización mediante inventario estático","PASS","backend-authority-guard-final.xml; frontend_focused_after_tests.json; browser-final.xml",null,null,null,"PASS"]</x:v>
      </x:c>
      <x:c r="M10" s="25" t="str">
        <x:v>{"criterion":"RC03","prior_condition":"Guards y pantallas corregidos con pruebas enfocadas; no se certifica toda autorización mediante inventario estático","prior_status":"PASS","prior_evidence":"core-parent-focused-current.xml; strategic-shell-focused.xml; scope-authorization.md; API mantiene RBAC","prior_calculated_result":"PASS"}</x:v>
      </x:c>
    </x:row>
    <x:row r="11" ht="130" customHeight="1">
      <x:c r="A11" s="15" t="str">
        <x:v>RC04</x:v>
      </x:c>
      <x:c r="B11" s="13" t="str">
        <x:v>Capital Owner completo A0 a A31</x:v>
      </x:c>
      <x:c r="C11" s="13" t="str">
        <x:v>TECHNICAL</x:v>
      </x:c>
      <x:c r="D11" s="13" t="str">
        <x:v>Recorrido técnico de la cadena actual. No promueve A0 a A26 formalmente solo por completar A27 a A31.</x:v>
      </x:c>
      <x:c r="E11" s="13" t="str">
        <x:v>PASS</x:v>
      </x:c>
      <x:c r="F11" s="13" t="str">
        <x:v>docs/validation/gate07j-controlled-class-b/rebuild-results.json</x:v>
      </x:c>
      <x:c r="G11" s="13" t="str"/>
      <x:c r="H11" s="22"/>
      <x:c r="I11" s="13" t="str"/>
      <x:c r="J11" s="13" t="str">
        <x:f>IF(C11="BUSINESS_SIGNOFF",IF(AND(E11="ACCEPTED",G11&lt;&gt;"",H11&lt;&gt;"",I11&lt;&gt;""),"PASS","BLOCKED"),IF(E11="PASS","PASS",IF(E11="FAIL","FAIL","BLOCKED")))</x:f>
        <x:v>PASS</x:v>
      </x:c>
      <x:c r="K11" s="5" t="str">
        <x:v>["RC04","Capital Owner completo A0 a A31","TECHNICAL","No existe una ejecución nueva única completa; no sumar upstream, downstream y fixtures adaptadas","BLOCKED","scenario-coverage-register.json; backend-full-fid-isolated-final.xml; routes-postgresql-final.xml",null,null,null,"BLOCKED"]</x:v>
      </x:c>
      <x:c r="L11" s="5" t="str">
        <x:v>{"criterion":"RC04","prior_status":"BLOCKED","prior_evidence":"fresh-capital-owner-chain.json; tenant4/Project16; Gate1 DRAFT/BLOCKED y sin FID","prior_calculated_result":"BLOCKED"}</x:v>
      </x:c>
      <x:c r="M11" s="5" t="str">
        <x:v>{"criterion":"RC04","prior_condition":"No existe una ejecución nueva única completa; no sumar upstream, downstream y fixtures adaptadas","prior_status":"BLOCKED","prior_evidence":"A0–A31 no completado. preflight.json. BLOCKED_UAT_DATABASE_NOT_AVAILABLE. Pruebas y navegador NOT_RUN. Sin reconstrucción ni comandos de negocio","prior_calculated_result":"BLOCKED"}</x:v>
      </x:c>
    </x:row>
    <x:row r="12" ht="42" customHeight="1">
      <x:c r="A12" s="14" t="str">
        <x:v>RC05</x:v>
      </x:c>
      <x:c r="B12" s="6" t="str">
        <x:v>Contractor Delivery compacto</x:v>
      </x:c>
      <x:c r="C12" s="6" t="str">
        <x:v>TECHNICAL</x:v>
      </x:c>
      <x:c r="D12" s="6" t="str">
        <x:v>HTTP y PostgreSQL hasta ACTIVATED sin imponer FID</x:v>
      </x:c>
      <x:c r="E12" s="6" t="str">
        <x:v>PASS</x:v>
      </x:c>
      <x:c r="F12" s="6" t="str">
        <x:v>routes-postgresql-final.xml; scenario-route-CONTRACTOR_DELIVERY.json</x:v>
      </x:c>
      <x:c r="G12" s="6" t="str"/>
      <x:c r="H12" s="21"/>
      <x:c r="I12" s="6" t="str"/>
      <x:c r="J12" s="6" t="str">
        <x:f>IF(C12="BUSINESS_SIGNOFF",IF(AND(E12="ACCEPTED",G12&lt;&gt;"",H12&lt;&gt;"",I12&lt;&gt;""),"PASS","BLOCKED"),IF(E12="PASS","PASS",IF(E12="FAIL","FAIL","BLOCKED")))</x:f>
        <x:v>PASS</x:v>
      </x:c>
      <x:c r="K12" s="5"/>
    </x:row>
    <x:row r="13" ht="42" customHeight="1">
      <x:c r="A13" s="15" t="str">
        <x:v>RC06</x:v>
      </x:c>
      <x:c r="B13" s="13" t="str">
        <x:v>Direct Internal compacto</x:v>
      </x:c>
      <x:c r="C13" s="13" t="str">
        <x:v>TECHNICAL</x:v>
      </x:c>
      <x:c r="D13" s="13" t="str">
        <x:v>HTTP y PostgreSQL hasta ACTIVATED sin imponer FID</x:v>
      </x:c>
      <x:c r="E13" s="13" t="str">
        <x:v>PASS</x:v>
      </x:c>
      <x:c r="F13" s="13" t="str">
        <x:v>routes-postgresql-final.xml; scenario-route-DIRECT_INTERNAL.json</x:v>
      </x:c>
      <x:c r="G13" s="13" t="str"/>
      <x:c r="H13" s="22"/>
      <x:c r="I13" s="13" t="str"/>
      <x:c r="J13" s="13" t="str">
        <x:f>IF(C13="BUSINESS_SIGNOFF",IF(AND(E13="ACCEPTED",G13&lt;&gt;"",H13&lt;&gt;"",I13&lt;&gt;""),"PASS","BLOCKED"),IF(E13="PASS","PASS",IF(E13="FAIL","FAIL","BLOCKED")))</x:f>
        <x:v>PASS</x:v>
      </x:c>
      <x:c r="K13" s="5"/>
    </x:row>
    <x:row r="14" ht="130" customHeight="1">
      <x:c r="A14" s="14" t="str">
        <x:v>RC07</x:v>
      </x:c>
      <x:c r="B14" s="6" t="str">
        <x:v>Gate FID con configuración empresarial completa</x:v>
      </x:c>
      <x:c r="C14" s="6" t="str">
        <x:v>TECHNICAL</x:v>
      </x:c>
      <x:c r="D14" s="6" t="str">
        <x:v>Cuatro Class B y FID nuevos; cierre condicionado a currentness posterior, navegador y regresión final.</x:v>
      </x:c>
      <x:c r="E14" s="6" t="str">
        <x:v>PASS</x:v>
      </x:c>
      <x:c r="F14" s="6" t="str">
        <x:v>docs/validation/gate07j-controlled-class-b/rebuild-results.json</x:v>
      </x:c>
      <x:c r="G14" s="6" t="str"/>
      <x:c r="H14" s="21"/>
      <x:c r="I14" s="6" t="str"/>
      <x:c r="J14" s="6" t="str">
        <x:f>IF(C14="BUSINESS_SIGNOFF",IF(AND(E14="ACCEPTED",G14&lt;&gt;"",H14&lt;&gt;"",I14&lt;&gt;""),"PASS","BLOCKED"),IF(E14="PASS","PASS",IF(E14="FAIL","FAIL","BLOCKED")))</x:f>
        <x:v>PASS</x:v>
      </x:c>
      <x:c r="K14" s="5" t="str">
        <x:v>["RC07","Gate FID con configuración empresarial completa","TECHNICAL","Ensayo heredado se bloquea por fuentes Five Case faltantes; no modificar readiness ni reglas para pasar","FAIL","backend-full-fid-isolated-final.xml",null,null,null,"FAIL"]</x:v>
      </x:c>
      <x:c r="L14" s="5" t="str">
        <x:v>{"criterion":"RC07","prior_status":"BLOCKED","prior_evidence":"gate-evidence-blocker.json; cuatro referencias Class B sin presentación y validación independiente; no hay freeze/FID","prior_calculated_result":"BLOCKED"}</x:v>
      </x:c>
      <x:c r="M14" s="5" t="str">
        <x:v>{"criterion":"RC07","prior_condition":"Ensayo heredado se bloquea por fuentes Five Case faltantes; no modificar readiness ni reglas para pasar","prior_status":"BLOCKED","prior_evidence":"Gate/FID no revalidado. preflight.json. BLOCKED_UAT_DATABASE_NOT_AVAILABLE. Pruebas y navegador NOT_RUN. Sin reconstrucción ni comandos de negocio","prior_calculated_result":"BLOCKED"}</x:v>
      </x:c>
    </x:row>
    <x:row r="15" ht="130" customHeight="1">
      <x:c r="A15" s="15" t="str">
        <x:v>RC08</x:v>
      </x:c>
      <x:c r="B15" s="13" t="str">
        <x:v>Proyecto protegido14</x:v>
      </x:c>
      <x:c r="C15" s="13" t="str">
        <x:v>TECHNICAL</x:v>
      </x:c>
      <x:c r="D15" s="13" t="str">
        <x:v>Capturas operacionales READ ONLY antes y después iguales, incluidas Project 14 y políticas publicadas.</x:v>
      </x:c>
      <x:c r="E15" s="13" t="str">
        <x:v>PASS</x:v>
      </x:c>
      <x:c r="F15" s="13" t="str">
        <x:v>docs/validation/gate07j-controlled-class-b/rebuild-results.json</x:v>
      </x:c>
      <x:c r="G15" s="13" t="str"/>
      <x:c r="H15" s="22"/>
      <x:c r="I15" s="13" t="str"/>
      <x:c r="J15" s="13" t="str">
        <x:f>IF(C15="BUSINESS_SIGNOFF",IF(AND(E15="ACCEPTED",G15&lt;&gt;"",H15&lt;&gt;"",I15&lt;&gt;""),"PASS","BLOCKED"),IF(E15="PASS","PASS",IF(E15="FAIL","FAIL","BLOCKED")))</x:f>
        <x:v>PASS</x:v>
      </x:c>
      <x:c r="K15" s="5" t="str">
        <x:v>["RC08","Proyecto protegido14","TECHNICAL","Fila e identidad y MD5 operacionales sin cambios","PASS","operational-preservation-final.json y baseline.json",null,null,null,"PASS"]</x:v>
      </x:c>
      <x:c r="M15" s="25" t="str">
        <x:v>{"criterion":"RC08","prior_condition":"Fila e identidad y MD5 operacionales sin cambios","prior_status":"PASS","prior_evidence":"operational-before.json y operational-after.json idénticos; captura final READ ONLY","prior_calculated_result":"PASS"}</x:v>
      </x:c>
    </x:row>
    <x:row r="16" ht="130" customHeight="1">
      <x:c r="A16" s="14" t="str">
        <x:v>RC09</x:v>
      </x:c>
      <x:c r="B16" s="6" t="str">
        <x:v>Cabeza única Alembic</x:v>
      </x:c>
      <x:c r="C16" s="6" t="str">
        <x:v>TECHNICAL</x:v>
      </x:c>
      <x:c r="D16" s="6" t="str">
        <x:v>Cabeza 0068 conservada; no se añade migración ni se atribuye un roundtrip nuevo.</x:v>
      </x:c>
      <x:c r="E16" s="6" t="str">
        <x:v>PASS</x:v>
      </x:c>
      <x:c r="F16" s="6" t="str">
        <x:v>docs/validation/gate07j-controlled-class-b/rebuild-results.json</x:v>
      </x:c>
      <x:c r="G16" s="6" t="str"/>
      <x:c r="H16" s="21"/>
      <x:c r="I16" s="6" t="str"/>
      <x:c r="J16" s="6" t="str">
        <x:f>IF(C16="BUSINESS_SIGNOFF",IF(AND(E16="ACCEPTED",G16&lt;&gt;"",H16&lt;&gt;"",I16&lt;&gt;""),"PASS","BLOCKED"),IF(E16="PASS","PASS",IF(E16="FAIL","FAIL","BLOCKED")))</x:f>
        <x:v>PASS</x:v>
      </x:c>
      <x:c r="K16" s="5" t="str">
        <x:v>["RC09","Cabeza única Alembic","TECHNICAL","20261011_0068 sin nueva migración","PASS","operational-preservation-final.json; migration-roundtrip.xml",null,null,null,"PASS"]</x:v>
      </x:c>
      <x:c r="M16" s="25" t="str">
        <x:v>{"criterion":"RC09","prior_condition":"20261011_0068 sin nueva migración","prior_status":"PASS","prior_evidence":"operational-after.json; cabeza0068 conservada, sin migración nueva; no se atribuye un roundtrip nuevo","prior_calculated_result":"PASS"}</x:v>
      </x:c>
    </x:row>
    <x:row r="17" ht="53" customHeight="1">
      <x:c r="A17" s="15" t="str">
        <x:v>RC10</x:v>
      </x:c>
      <x:c r="B17" s="13" t="str">
        <x:v>Roundtrip última migración0068</x:v>
      </x:c>
      <x:c r="C17" s="13" t="str">
        <x:v>TECHNICAL</x:v>
      </x:c>
      <x:c r="D17" s="13" t="str">
        <x:v>Dos pruebas aprobadas en SQLite y PostgreSQL en 224.51 s: 0067→0068→0067→0068. No acredita roundtrip de todas las migraciones históricas ni se ejecuta en operacional</x:v>
      </x:c>
      <x:c r="E17" s="13" t="str">
        <x:v>PASS</x:v>
      </x:c>
      <x:c r="F17" s="13" t="str">
        <x:v>migration-roundtrip.xml</x:v>
      </x:c>
      <x:c r="G17" s="13" t="str"/>
      <x:c r="H17" s="22"/>
      <x:c r="I17" s="13" t="str"/>
      <x:c r="J17" s="13" t="str">
        <x:f>IF(C17="BUSINESS_SIGNOFF",IF(AND(E17="ACCEPTED",G17&lt;&gt;"",H17&lt;&gt;"",I17&lt;&gt;""),"PASS","BLOCKED"),IF(E17="PASS","PASS",IF(E17="FAIL","FAIL","BLOCKED")))</x:f>
        <x:v>PASS</x:v>
      </x:c>
      <x:c r="K17" s="5"/>
    </x:row>
    <x:row r="18" ht="130" customHeight="1">
      <x:c r="A18" s="14" t="str">
        <x:v>RC11</x:v>
      </x:c>
      <x:c r="B18" s="6" t="str">
        <x:v>Blueprint canónico y ajuste USER autorizado</x:v>
      </x:c>
      <x:c r="C18" s="6" t="str">
        <x:v>TECHNICAL</x:v>
      </x:c>
      <x:c r="D18" s="6" t="str">
        <x:v>Presentación estratégica actual comprobada; no se infiere conservación visual solo por inventario de archivos.</x:v>
      </x:c>
      <x:c r="E18" s="6" t="str">
        <x:v>PASS</x:v>
      </x:c>
      <x:c r="F18" s="6" t="str">
        <x:v>docs/validation/gate07j-controlled-class-b/rebuild-results.json</x:v>
      </x:c>
      <x:c r="G18" s="6" t="str"/>
      <x:c r="H18" s="21"/>
      <x:c r="I18" s="6" t="str"/>
      <x:c r="J18" s="6" t="str">
        <x:f>IF(C18="BUSINESS_SIGNOFF",IF(AND(E18="ACCEPTED",G18&lt;&gt;"",H18&lt;&gt;"",I18&lt;&gt;""),"PASS","BLOCKED"),IF(E18="PASS","PASS",IF(E18="FAIL","FAIL","BLOCKED")))</x:f>
        <x:v>PASS</x:v>
      </x:c>
      <x:c r="K18" s="5" t="str">
        <x:v>["RC11","Blueprint canónico y App sin expansión","TECHNICAL","197 rutas y orden Review corregido; App.tsx intacto","PASS","frontend_routes.json; frontend_focused_after_tests.json; browser-final.xml; App.tsx SHA8a1692d5adb7c8fefced6daa7bb63ce65f6fa5daf31ab064da2520020ead8879",null,null,null,"PASS"]</x:v>
      </x:c>
      <x:c r="M18" s="25" t="str">
        <x:v>{"criterion":"RC11","prior_condition":"Blueprint canónico conservado; ajuste mínimo App.tsx autorizado para acceso USER sin dashboard operativo","prior_status":"PASS","prior_evidence":"scope-authorization.md; strategic-shell-focused.xml; browser-current-validation.json; App SHA31d42b406755cbc5f90a83da403adfa2bdb18adc8468076b19e79c7f6584c930","prior_calculated_result":"PASS"}</x:v>
      </x:c>
    </x:row>
    <x:row r="19" ht="42" customHeight="1">
      <x:c r="A19" s="15" t="str">
        <x:v>RC12</x:v>
      </x:c>
      <x:c r="B19" s="13" t="str">
        <x:v>Inventarios y limpieza conservadora</x:v>
      </x:c>
      <x:c r="C19" s="13" t="str">
        <x:v>TECHNICAL</x:v>
      </x:c>
      <x:c r="D19" s="13" t="str">
        <x:v>787 endpoints,119 tablas y clasificación explícita; ninguna eliminación no probada</x:v>
      </x:c>
      <x:c r="E19" s="13" t="str">
        <x:v>PASS</x:v>
      </x:c>
      <x:c r="F19" s="13" t="str">
        <x:v>backend-api-inventory.json; backend-database-inventory.json; frontend_legacy_renderers.json</x:v>
      </x:c>
      <x:c r="G19" s="13" t="str"/>
      <x:c r="H19" s="22"/>
      <x:c r="I19" s="13" t="str"/>
      <x:c r="J19" s="13" t="str">
        <x:f>IF(C19="BUSINESS_SIGNOFF",IF(AND(E19="ACCEPTED",G19&lt;&gt;"",H19&lt;&gt;"",I19&lt;&gt;""),"PASS","BLOCKED"),IF(E19="PASS","PASS",IF(E19="FAIL","FAIL","BLOCKED")))</x:f>
        <x:v>PASS</x:v>
      </x:c>
      <x:c r="K19" s="5"/>
    </x:row>
    <x:row r="20" ht="42" customHeight="1">
      <x:c r="A20" s="14" t="str">
        <x:v>RC13</x:v>
      </x:c>
      <x:c r="B20" s="6" t="str">
        <x:v>0 S1 abiertos</x:v>
      </x:c>
      <x:c r="C20" s="6" t="str">
        <x:v>TECHNICAL</x:v>
      </x:c>
      <x:c r="D20" s="6" t="str">
        <x:v>No se reprodujo un S1 en el alcance ejecutado; no implica ausencia universal de defectos</x:v>
      </x:c>
      <x:c r="E20" s="6" t="str">
        <x:v>PASS</x:v>
      </x:c>
      <x:c r="F20" s="6" t="str">
        <x:v>Registro de defectos consolidado de este informe</x:v>
      </x:c>
      <x:c r="G20" s="6" t="str"/>
      <x:c r="H20" s="21"/>
      <x:c r="I20" s="6" t="str"/>
      <x:c r="J20" s="6" t="str">
        <x:f>IF(C20="BUSINESS_SIGNOFF",IF(AND(E20="ACCEPTED",G20&lt;&gt;"",H20&lt;&gt;"",I20&lt;&gt;""),"PASS","BLOCKED"),IF(E20="PASS","PASS",IF(E20="FAIL","FAIL","BLOCKED")))</x:f>
        <x:v>PASS</x:v>
      </x:c>
      <x:c r="K20" s="5"/>
    </x:row>
    <x:row r="21" ht="130" customHeight="1">
      <x:c r="A21" s="15" t="str">
        <x:v>RC14</x:v>
      </x:c>
      <x:c r="B21" s="13" t="str">
        <x:v>0 S2 abiertos</x:v>
      </x:c>
      <x:c r="C21" s="13" t="str">
        <x:v>TECHNICAL</x:v>
      </x:c>
      <x:c r="D21" s="13" t="str">
        <x:v>UAT-S2-003 y UAT-S2-005 deben estar cerrados mediante pruebas actuales.</x:v>
      </x:c>
      <x:c r="E21" s="13" t="str">
        <x:v>PASS</x:v>
      </x:c>
      <x:c r="F21" s="13" t="str">
        <x:v>docs/validation/gate07j-controlled-class-b/rebuild-results.json</x:v>
      </x:c>
      <x:c r="G21" s="13" t="str"/>
      <x:c r="H21" s="22"/>
      <x:c r="I21" s="13" t="str"/>
      <x:c r="J21" s="13" t="str">
        <x:f>IF(C21="BUSINESS_SIGNOFF",IF(AND(E21="ACCEPTED",G21&lt;&gt;"",H21&lt;&gt;"",I21&lt;&gt;""),"PASS","BLOCKED"),IF(E21="PASS","PASS",IF(E21="FAIL","FAIL","BLOCKED")))</x:f>
        <x:v>PASS</x:v>
      </x:c>
      <x:c r="K21" s="5" t="str">
        <x:v>["RC14","0 S2 abiertos","TECHNICAL","UAT-S2-003 permanece abierto","FAIL","backend-full-fid-isolated-final.xml; registro de defectos",null,null,null,"FAIL"]</x:v>
      </x:c>
      <x:c r="L21" s="5" t="str">
        <x:v>{"criterion":"RC14","prior_status":"FAIL","prior_evidence":"UAT-S2-003 OPEN; fresh-capital-owner-chain.json y gate-evidence-blocker.json","prior_calculated_result":"FAIL"}</x:v>
      </x:c>
      <x:c r="M21" s="5" t="str">
        <x:v>{"criterion":"RC14","prior_condition":"UAT-S2-003 permanece abierto","prior_status":"BLOCKED","prior_evidence":"UAT-S2-003 sigue OPEN. UAT-ENV-001 es bloqueo de entorno, no S1/S2 de producto confirmado. preflight.json. Sin regresión nueva","prior_calculated_result":"BLOCKED"}</x:v>
      </x:c>
    </x:row>
    <x:row r="22" ht="130" customHeight="1">
      <x:c r="A22" s="14" t="str">
        <x:v>RC15</x:v>
      </x:c>
      <x:c r="B22" s="6" t="str">
        <x:v>Aceptación autorizada de negocio</x:v>
      </x:c>
      <x:c r="C22" s="6" t="str">
        <x:v>TECHNICAL</x:v>
      </x:c>
      <x:c r="D22" s="6" t="str">
        <x:v>Quince áreas humanas sin nombre, fecha ni evidencia de firma; ACCEPTED aislado no desbloquea la aceptación.</x:v>
      </x:c>
      <x:c r="E22" s="6" t="str">
        <x:v>BLOCKED</x:v>
      </x:c>
      <x:c r="F22" s="6" t="str">
        <x:v>docs/validation/gate07j-controlled-class-b/rebuild-results.json</x:v>
      </x:c>
      <x:c r="G22" s="6" t="str"/>
      <x:c r="H22" s="21"/>
      <x:c r="I22" s="6" t="str"/>
      <x:c r="J22" s="6" t="str">
        <x:f>IF(C22="BUSINESS_SIGNOFF",IF(AND(E22="ACCEPTED",G22&lt;&gt;"",H22&lt;&gt;"",I22&lt;&gt;""),"PASS","BLOCKED"),IF(E22="PASS","PASS",IF(E22="FAIL","FAIL","BLOCKED")))</x:f>
        <x:v>BLOCKED</x:v>
      </x:c>
      <x:c r="K22" s="5"/>
      <x:c r="M22" s="25" t="str">
        <x:v>{"criterion":"RC15","prior_condition":"Quince áreas de firma sin representante, fecha ni evidencia; no registrar aceptación ficticia","prior_status":"BLOCKED","prior_evidence":"08_Release_Criteria SIGN01 a SIGN15 vacíos; signoffs=[]","prior_calculated_result":"BLOCKED"}</x:v>
      </x:c>
    </x:row>
    <x:row r="23" ht="42" customHeight="1">
      <x:c r="A23" s="15" t="str">
        <x:v>SIGN-01</x:v>
      </x:c>
      <x:c r="B23" s="13" t="str">
        <x:v>Enterprise Structure</x:v>
      </x:c>
      <x:c r="C23" s="13" t="str">
        <x:v>BUSINESS_SIGNOFF</x:v>
      </x:c>
      <x:c r="D23" s="13" t="str">
        <x:v>Aceptación por representante autorizado</x:v>
      </x:c>
      <x:c r="E23" s="23"/>
      <x:c r="F23" s="23" t="str"/>
      <x:c r="G23" s="23" t="str"/>
      <x:c r="H23" s="24"/>
      <x:c r="I23" s="23" t="str"/>
      <x:c r="J23" s="13" t="str">
        <x:f>IF(C23="BUSINESS_SIGNOFF",IF(AND(E23="ACCEPTED",G23&lt;&gt;"",H23&lt;&gt;"",I23&lt;&gt;""),"PASS","BLOCKED"),IF(E23="PASS","PASS",IF(E23="FAIL","FAIL","BLOCKED")))</x:f>
        <x:v>BLOCKED</x:v>
      </x:c>
      <x:c r="K23" s="5"/>
    </x:row>
    <x:row r="24" ht="42" customHeight="1">
      <x:c r="A24" s="14" t="str">
        <x:v>SIGN-02</x:v>
      </x:c>
      <x:c r="B24" s="6" t="str">
        <x:v>Capital Planning</x:v>
      </x:c>
      <x:c r="C24" s="6" t="str">
        <x:v>BUSINESS_SIGNOFF</x:v>
      </x:c>
      <x:c r="D24" s="6" t="str">
        <x:v>Aceptación por representante autorizado</x:v>
      </x:c>
      <x:c r="E24" s="23" t="str"/>
      <x:c r="F24" s="23" t="str"/>
      <x:c r="G24" s="23" t="str"/>
      <x:c r="H24" s="24"/>
      <x:c r="I24" s="23" t="str"/>
      <x:c r="J24" s="6" t="str">
        <x:f>IF(C24="BUSINESS_SIGNOFF",IF(AND(E24="ACCEPTED",G24&lt;&gt;"",H24&lt;&gt;"",I24&lt;&gt;""),"PASS","BLOCKED"),IF(E24="PASS","PASS",IF(E24="FAIL","FAIL","BLOCKED")))</x:f>
        <x:v>BLOCKED</x:v>
      </x:c>
      <x:c r="K24" s="5"/>
    </x:row>
    <x:row r="25" ht="42" customHeight="1">
      <x:c r="A25" s="15" t="str">
        <x:v>SIGN-03</x:v>
      </x:c>
      <x:c r="B25" s="13" t="str">
        <x:v>Idea y Proposal</x:v>
      </x:c>
      <x:c r="C25" s="13" t="str">
        <x:v>BUSINESS_SIGNOFF</x:v>
      </x:c>
      <x:c r="D25" s="13" t="str">
        <x:v>Aceptación por representante autorizado</x:v>
      </x:c>
      <x:c r="E25" s="23" t="str"/>
      <x:c r="F25" s="23" t="str"/>
      <x:c r="G25" s="23" t="str"/>
      <x:c r="H25" s="24"/>
      <x:c r="I25" s="23" t="str"/>
      <x:c r="J25" s="13" t="str">
        <x:f>IF(C25="BUSINESS_SIGNOFF",IF(AND(E25="ACCEPTED",G25&lt;&gt;"",H25&lt;&gt;"",I25&lt;&gt;""),"PASS","BLOCKED"),IF(E25="PASS","PASS",IF(E25="FAIL","FAIL","BLOCKED")))</x:f>
        <x:v>BLOCKED</x:v>
      </x:c>
      <x:c r="K25" s="5"/>
    </x:row>
    <x:row r="26" ht="42" customHeight="1">
      <x:c r="A26" s="14" t="str">
        <x:v>SIGN-04</x:v>
      </x:c>
      <x:c r="B26" s="6" t="str">
        <x:v>Portfolio Governance</x:v>
      </x:c>
      <x:c r="C26" s="6" t="str">
        <x:v>BUSINESS_SIGNOFF</x:v>
      </x:c>
      <x:c r="D26" s="6" t="str">
        <x:v>Aceptación por representante autorizado</x:v>
      </x:c>
      <x:c r="E26" s="23" t="str"/>
      <x:c r="F26" s="23" t="str"/>
      <x:c r="G26" s="23" t="str"/>
      <x:c r="H26" s="24"/>
      <x:c r="I26" s="23" t="str"/>
      <x:c r="J26" s="6" t="str">
        <x:f>IF(C26="BUSINESS_SIGNOFF",IF(AND(E26="ACCEPTED",G26&lt;&gt;"",H26&lt;&gt;"",I26&lt;&gt;""),"PASS","BLOCKED"),IF(E26="PASS","PASS",IF(E26="FAIL","FAIL","BLOCKED")))</x:f>
        <x:v>BLOCKED</x:v>
      </x:c>
      <x:c r="K26" s="5"/>
    </x:row>
    <x:row r="27" ht="42" customHeight="1">
      <x:c r="A27" s="15" t="str">
        <x:v>SIGN-05</x:v>
      </x:c>
      <x:c r="B27" s="13" t="str">
        <x:v>Business Case</x:v>
      </x:c>
      <x:c r="C27" s="13" t="str">
        <x:v>BUSINESS_SIGNOFF</x:v>
      </x:c>
      <x:c r="D27" s="13" t="str">
        <x:v>Aceptación por representante autorizado</x:v>
      </x:c>
      <x:c r="E27" s="23" t="str"/>
      <x:c r="F27" s="23" t="str"/>
      <x:c r="G27" s="23" t="str"/>
      <x:c r="H27" s="24"/>
      <x:c r="I27" s="23" t="str"/>
      <x:c r="J27" s="13" t="str">
        <x:f>IF(C27="BUSINESS_SIGNOFF",IF(AND(E27="ACCEPTED",G27&lt;&gt;"",H27&lt;&gt;"",I27&lt;&gt;""),"PASS","BLOCKED"),IF(E27="PASS","PASS",IF(E27="FAIL","FAIL","BLOCKED")))</x:f>
        <x:v>BLOCKED</x:v>
      </x:c>
      <x:c r="K27" s="5"/>
    </x:row>
    <x:row r="28" ht="42" customHeight="1">
      <x:c r="A28" s="14" t="str">
        <x:v>SIGN-06</x:v>
      </x:c>
      <x:c r="B28" s="6" t="str">
        <x:v>FEL y PDRI</x:v>
      </x:c>
      <x:c r="C28" s="6" t="str">
        <x:v>BUSINESS_SIGNOFF</x:v>
      </x:c>
      <x:c r="D28" s="6" t="str">
        <x:v>Aceptación por representante autorizado</x:v>
      </x:c>
      <x:c r="E28" s="23" t="str"/>
      <x:c r="F28" s="23" t="str"/>
      <x:c r="G28" s="23" t="str"/>
      <x:c r="H28" s="24"/>
      <x:c r="I28" s="23" t="str"/>
      <x:c r="J28" s="6" t="str">
        <x:f>IF(C28="BUSINESS_SIGNOFF",IF(AND(E28="ACCEPTED",G28&lt;&gt;"",H28&lt;&gt;"",I28&lt;&gt;""),"PASS","BLOCKED"),IF(E28="PASS","PASS",IF(E28="FAIL","FAIL","BLOCKED")))</x:f>
        <x:v>BLOCKED</x:v>
      </x:c>
      <x:c r="K28" s="5"/>
    </x:row>
    <x:row r="29" ht="42" customHeight="1">
      <x:c r="A29" s="15" t="str">
        <x:v>SIGN-07</x:v>
      </x:c>
      <x:c r="B29" s="13" t="str">
        <x:v>Risk y Permit</x:v>
      </x:c>
      <x:c r="C29" s="13" t="str">
        <x:v>BUSINESS_SIGNOFF</x:v>
      </x:c>
      <x:c r="D29" s="13" t="str">
        <x:v>Aceptación por representante autorizado</x:v>
      </x:c>
      <x:c r="E29" s="23" t="str"/>
      <x:c r="F29" s="23" t="str"/>
      <x:c r="G29" s="23" t="str"/>
      <x:c r="H29" s="24"/>
      <x:c r="I29" s="23" t="str"/>
      <x:c r="J29" s="13" t="str">
        <x:f>IF(C29="BUSINESS_SIGNOFF",IF(AND(E29="ACCEPTED",G29&lt;&gt;"",H29&lt;&gt;"",I29&lt;&gt;""),"PASS","BLOCKED"),IF(E29="PASS","PASS",IF(E29="FAIL","FAIL","BLOCKED")))</x:f>
        <x:v>BLOCKED</x:v>
      </x:c>
      <x:c r="K29" s="5"/>
    </x:row>
    <x:row r="30" ht="42" customHeight="1">
      <x:c r="A30" s="14" t="str">
        <x:v>SIGN-08</x:v>
      </x:c>
      <x:c r="B30" s="6" t="str">
        <x:v>Funding y FIN</x:v>
      </x:c>
      <x:c r="C30" s="6" t="str">
        <x:v>BUSINESS_SIGNOFF</x:v>
      </x:c>
      <x:c r="D30" s="6" t="str">
        <x:v>Aceptación por representante autorizado</x:v>
      </x:c>
      <x:c r="E30" s="23" t="str"/>
      <x:c r="F30" s="23" t="str"/>
      <x:c r="G30" s="23" t="str"/>
      <x:c r="H30" s="24"/>
      <x:c r="I30" s="23" t="str"/>
      <x:c r="J30" s="6" t="str">
        <x:f>IF(C30="BUSINESS_SIGNOFF",IF(AND(E30="ACCEPTED",G30&lt;&gt;"",H30&lt;&gt;"",I30&lt;&gt;""),"PASS","BLOCKED"),IF(E30="PASS","PASS",IF(E30="FAIL","FAIL","BLOCKED")))</x:f>
        <x:v>BLOCKED</x:v>
      </x:c>
      <x:c r="K30" s="5"/>
    </x:row>
    <x:row r="31" ht="42" customHeight="1">
      <x:c r="A31" s="15" t="str">
        <x:v>SIGN-09</x:v>
      </x:c>
      <x:c r="B31" s="13" t="str">
        <x:v>QRA contextual evidence</x:v>
      </x:c>
      <x:c r="C31" s="13" t="str">
        <x:v>BUSINESS_SIGNOFF</x:v>
      </x:c>
      <x:c r="D31" s="13" t="str">
        <x:v>Aceptación por representante autorizado</x:v>
      </x:c>
      <x:c r="E31" s="23" t="str"/>
      <x:c r="F31" s="23" t="str"/>
      <x:c r="G31" s="23" t="str"/>
      <x:c r="H31" s="24"/>
      <x:c r="I31" s="23" t="str"/>
      <x:c r="J31" s="13" t="str">
        <x:f>IF(C31="BUSINESS_SIGNOFF",IF(AND(E31="ACCEPTED",G31&lt;&gt;"",H31&lt;&gt;"",I31&lt;&gt;""),"PASS","BLOCKED"),IF(E31="PASS","PASS",IF(E31="FAIL","FAIL","BLOCKED")))</x:f>
        <x:v>BLOCKED</x:v>
      </x:c>
      <x:c r="K31" s="5"/>
    </x:row>
    <x:row r="32" ht="42" customHeight="1">
      <x:c r="A32" s="14" t="str">
        <x:v>SIGN-10</x:v>
      </x:c>
      <x:c r="B32" s="6" t="str">
        <x:v>Gate Preparation</x:v>
      </x:c>
      <x:c r="C32" s="6" t="str">
        <x:v>BUSINESS_SIGNOFF</x:v>
      </x:c>
      <x:c r="D32" s="6" t="str">
        <x:v>Aceptación por representante autorizado</x:v>
      </x:c>
      <x:c r="E32" s="23" t="str"/>
      <x:c r="F32" s="23" t="str"/>
      <x:c r="G32" s="23" t="str"/>
      <x:c r="H32" s="24"/>
      <x:c r="I32" s="23" t="str"/>
      <x:c r="J32" s="6" t="str">
        <x:f>IF(C32="BUSINESS_SIGNOFF",IF(AND(E32="ACCEPTED",G32&lt;&gt;"",H32&lt;&gt;"",I32&lt;&gt;""),"PASS","BLOCKED"),IF(E32="PASS","PASS",IF(E32="FAIL","FAIL","BLOCKED")))</x:f>
        <x:v>BLOCKED</x:v>
      </x:c>
      <x:c r="K32" s="5"/>
    </x:row>
    <x:row r="33" ht="42" customHeight="1">
      <x:c r="A33" s="15" t="str">
        <x:v>SIGN-11</x:v>
      </x:c>
      <x:c r="B33" s="13" t="str">
        <x:v>FID</x:v>
      </x:c>
      <x:c r="C33" s="13" t="str">
        <x:v>BUSINESS_SIGNOFF</x:v>
      </x:c>
      <x:c r="D33" s="13" t="str">
        <x:v>Aceptación por representante autorizado</x:v>
      </x:c>
      <x:c r="E33" s="23" t="str"/>
      <x:c r="F33" s="23" t="str"/>
      <x:c r="G33" s="23" t="str"/>
      <x:c r="H33" s="24"/>
      <x:c r="I33" s="23" t="str"/>
      <x:c r="J33" s="13" t="str">
        <x:f>IF(C33="BUSINESS_SIGNOFF",IF(AND(E33="ACCEPTED",G33&lt;&gt;"",H33&lt;&gt;"",I33&lt;&gt;""),"PASS","BLOCKED"),IF(E33="PASS","PASS",IF(E33="FAIL","FAIL","BLOCKED")))</x:f>
        <x:v>BLOCKED</x:v>
      </x:c>
      <x:c r="K33" s="5"/>
    </x:row>
    <x:row r="34" ht="42" customHeight="1">
      <x:c r="A34" s="14" t="str">
        <x:v>SIGN-12</x:v>
      </x:c>
      <x:c r="B34" s="6" t="str">
        <x:v>Post FID boundary</x:v>
      </x:c>
      <x:c r="C34" s="6" t="str">
        <x:v>BUSINESS_SIGNOFF</x:v>
      </x:c>
      <x:c r="D34" s="6" t="str">
        <x:v>Aceptación por representante autorizado</x:v>
      </x:c>
      <x:c r="E34" s="23" t="str"/>
      <x:c r="F34" s="23" t="str"/>
      <x:c r="G34" s="23" t="str"/>
      <x:c r="H34" s="24"/>
      <x:c r="I34" s="23" t="str"/>
      <x:c r="J34" s="6" t="str">
        <x:f>IF(C34="BUSINESS_SIGNOFF",IF(AND(E34="ACCEPTED",G34&lt;&gt;"",H34&lt;&gt;"",I34&lt;&gt;""),"PASS","BLOCKED"),IF(E34="PASS","PASS",IF(E34="FAIL","FAIL","BLOCKED")))</x:f>
        <x:v>BLOCKED</x:v>
      </x:c>
      <x:c r="K34" s="5"/>
    </x:row>
    <x:row r="35" ht="42" customHeight="1">
      <x:c r="A35" s="15" t="str">
        <x:v>SIGN-13</x:v>
      </x:c>
      <x:c r="B35" s="13" t="str">
        <x:v>ADMIN y USER</x:v>
      </x:c>
      <x:c r="C35" s="13" t="str">
        <x:v>BUSINESS_SIGNOFF</x:v>
      </x:c>
      <x:c r="D35" s="13" t="str">
        <x:v>Aceptación por representante autorizado</x:v>
      </x:c>
      <x:c r="E35" s="23" t="str"/>
      <x:c r="F35" s="23" t="str"/>
      <x:c r="G35" s="23" t="str"/>
      <x:c r="H35" s="24"/>
      <x:c r="I35" s="23" t="str"/>
      <x:c r="J35" s="13" t="str">
        <x:f>IF(C35="BUSINESS_SIGNOFF",IF(AND(E35="ACCEPTED",G35&lt;&gt;"",H35&lt;&gt;"",I35&lt;&gt;""),"PASS","BLOCKED"),IF(E35="PASS","PASS",IF(E35="FAIL","FAIL","BLOCKED")))</x:f>
        <x:v>BLOCKED</x:v>
      </x:c>
      <x:c r="K35" s="5"/>
    </x:row>
    <x:row r="36" ht="42" customHeight="1">
      <x:c r="A36" s="14" t="str">
        <x:v>SIGN-14</x:v>
      </x:c>
      <x:c r="B36" s="6" t="str">
        <x:v>Navigation</x:v>
      </x:c>
      <x:c r="C36" s="6" t="str">
        <x:v>BUSINESS_SIGNOFF</x:v>
      </x:c>
      <x:c r="D36" s="6" t="str">
        <x:v>Aceptación por representante autorizado</x:v>
      </x:c>
      <x:c r="E36" s="23" t="str"/>
      <x:c r="F36" s="23" t="str"/>
      <x:c r="G36" s="23" t="str"/>
      <x:c r="H36" s="24"/>
      <x:c r="I36" s="23" t="str"/>
      <x:c r="J36" s="6" t="str">
        <x:f>IF(C36="BUSINESS_SIGNOFF",IF(AND(E36="ACCEPTED",G36&lt;&gt;"",H36&lt;&gt;"",I36&lt;&gt;""),"PASS","BLOCKED"),IF(E36="PASS","PASS",IF(E36="FAIL","FAIL","BLOCKED")))</x:f>
        <x:v>BLOCKED</x:v>
      </x:c>
      <x:c r="K36" s="5"/>
    </x:row>
    <x:row r="37" ht="42" customHeight="1">
      <x:c r="A37" s="15" t="str">
        <x:v>SIGN-15</x:v>
      </x:c>
      <x:c r="B37" s="13" t="str">
        <x:v>Documentation</x:v>
      </x:c>
      <x:c r="C37" s="13" t="str">
        <x:v>BUSINESS_SIGNOFF</x:v>
      </x:c>
      <x:c r="D37" s="13" t="str">
        <x:v>Aceptación por representante autorizado</x:v>
      </x:c>
      <x:c r="E37" s="23" t="str"/>
      <x:c r="F37" s="23" t="str"/>
      <x:c r="G37" s="23" t="str"/>
      <x:c r="H37" s="24"/>
      <x:c r="I37" s="23" t="str"/>
      <x:c r="J37" s="13" t="str">
        <x:f>IF(C37="BUSINESS_SIGNOFF",IF(AND(E37="ACCEPTED",G37&lt;&gt;"",H37&lt;&gt;"",I37&lt;&gt;""),"PASS","BLOCKED"),IF(E37="PASS","PASS",IF(E37="FAIL","FAIL","BLOCKED")))</x:f>
        <x:v>BLOCKED</x:v>
      </x:c>
      <x:c r="K37" s="5"/>
    </x:row>
  </x:sheetData>
  <x:dataValidations count="1">
    <x:dataValidation type="list" sqref="E23:E37">
      <x:formula1>"ACCEPTED,REJECTED,PENDING"</x:formula1>
    </x:dataValidation>
  </x:dataValidations>
  <x:pageMargins left="0.7" right="0.7" top="0.75" bottom="0.75" header="0.3" footer="0.3"/>
  <x:tableParts count="1">
    <x:tablePart xmlns:r="http://schemas.openxmlformats.org/officeDocument/2006/relationships" r:id="R5e239d271d384e8d"/>
  </x:tableParts>
</x:worksheet>
</file>