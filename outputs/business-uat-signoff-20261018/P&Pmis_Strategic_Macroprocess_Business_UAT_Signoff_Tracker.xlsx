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4ea33a510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ignoff_Matrix" sheetId="1" r:id="Ra7560067d1d647e7"/>
    <x:sheet xmlns:r="http://schemas.openxmlformats.org/officeDocument/2006/relationships" name="02_Acceptance_Conditions" sheetId="2" r:id="R6dcda2ff7a4e4af2"/>
    <x:sheet xmlns:r="http://schemas.openxmlformats.org/officeDocument/2006/relationships" name="03_Known_Findings" sheetId="3" r:id="Rad3352cd60114033"/>
    <x:sheet xmlns:r="http://schemas.openxmlformats.org/officeDocument/2006/relationships" name="04_Evidence_Register" sheetId="4" r:id="R1fed8ac7738d4ffe"/>
    <x:sheet xmlns:r="http://schemas.openxmlformats.org/officeDocument/2006/relationships" name="05_Document_Acceptance" sheetId="5" r:id="R5c602ed116ac4792"/>
    <x:sheet xmlns:r="http://schemas.openxmlformats.org/officeDocument/2006/relationships" name="06_Final_Release_Decision" sheetId="6" r:id="Racbd433e9782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/mm/yyyy"/>
  </x:numFmts>
  <x:fonts count="4">
    <x:font>
      <x:sz val="11"/>
      <x:name val="Carlito"/>
    </x:font>
    <x:font>
      <x:sz val="10"/>
      <x:color rgb="FF243547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3C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color rgb="FF7A5100"/>
      </x:font>
      <x:fill>
        <x:patternFill patternType="solid">
          <x:bgColor rgb="FFFFF3CD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color rgb="FF7A5100"/>
      </x:font>
      <x:fill>
        <x:patternFill patternType="solid">
          <x:bgColor rgb="FFFFF3CD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color rgb="FF7A5100"/>
      </x:font>
      <x:fill>
        <x:patternFill patternType="solid">
          <x:bgColor rgb="FFFFF3CD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color rgb="FF7A5100"/>
      </x:font>
      <x:fill>
        <x:patternFill patternType="solid">
          <x:bgColor rgb="FFFFF3CD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color rgb="FF7A5100"/>
      </x:font>
      <x:fill>
        <x:patternFill patternType="solid">
          <x:bgColor rgb="FFFFF3CD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ddbc335bf476a" /><Relationship Type="http://schemas.openxmlformats.org/officeDocument/2006/relationships/theme" Target="/xl/theme/theme1.xml" Id="R0bf09ed3bee0423a" /><Relationship Type="http://schemas.openxmlformats.org/officeDocument/2006/relationships/sharedStrings" Target="/xl/sharedStrings.xml" Id="Rd2c1fbbe1bc64abf" /><Relationship Type="http://schemas.openxmlformats.org/officeDocument/2006/relationships/worksheet" Target="/xl/worksheets/sheet1.xml" Id="Ra7560067d1d647e7" /><Relationship Type="http://schemas.openxmlformats.org/officeDocument/2006/relationships/worksheet" Target="/xl/worksheets/sheet2.xml" Id="R6dcda2ff7a4e4af2" /><Relationship Type="http://schemas.openxmlformats.org/officeDocument/2006/relationships/worksheet" Target="/xl/worksheets/sheet3.xml" Id="Rad3352cd60114033" /><Relationship Type="http://schemas.openxmlformats.org/officeDocument/2006/relationships/worksheet" Target="/xl/worksheets/sheet4.xml" Id="R1fed8ac7738d4ffe" /><Relationship Type="http://schemas.openxmlformats.org/officeDocument/2006/relationships/worksheet" Target="/xl/worksheets/sheet5.xml" Id="R5c602ed116ac4792" /><Relationship Type="http://schemas.openxmlformats.org/officeDocument/2006/relationships/worksheet" Target="/xl/worksheets/sheet6.xml" Id="Racbd433e978245bd" /></Relationships>
</file>

<file path=xl/tables/table1.xml><?xml version="1.0" encoding="utf-8"?>
<x:table xmlns:x="http://schemas.openxmlformats.org/spreadsheetml/2006/main" id="1" name="BusinessSignoffAreas" displayName="BusinessSignoffAreas" ref="A7:P22" headerRowCount="1" totalsRowCount="0" totalsRowShown="0">
  <x:tableColumns count="16">
    <x:tableColumn id="1" name="ID"/>
    <x:tableColumn id="2" name="Área de aceptación"/>
    <x:tableColumn id="3" name="Representante autorizado"/>
    <x:tableColumn id="4" name="Rol / cargo"/>
    <x:tableColumn id="5" name="Organización"/>
    <x:tableColumn id="6" name="Base de autoridad"/>
    <x:tableColumn id="7" name="Fecha de decisión"/>
    <x:tableColumn id="8" name="Decisión"/>
    <x:tableColumn id="9" name="Evidencia efectivamente revisada"/>
    <x:tableColumn id="10" name="Firma / aprobación"/>
    <x:tableColumn id="11" name="Condiciones IDs"/>
    <x:tableColumn id="12" name="Comentarios"/>
    <x:tableColumn id="13" name="Responsable de condición"/>
    <x:tableColumn id="14" name="Fecha objetivo"/>
    <x:tableColumn id="15" name="Evidencias propuestas (no revisadas)"/>
    <x:tableColumn id="16" name="Registro comple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AcceptanceConditions" displayName="BusinessAcceptanceConditions" ref="A7:Q15" headerRowCount="1" totalsRowCount="0" totalsRowShown="0">
  <x:tableColumns count="17">
    <x:tableColumn id="1" name="Condición ID"/>
    <x:tableColumn id="2" name="Áreas propuestas"/>
    <x:tableColumn id="3" name="Hallazgo / observación ID"/>
    <x:tableColumn id="4" name="Descripción"/>
    <x:tableColumn id="5" name="Severidad técnica"/>
    <x:tableColumn id="6" name="¿Bloquea liberación?"/>
    <x:tableColumn id="7" name="Workaround propuesto"/>
    <x:tableColumn id="8" name="Responsable acordado"/>
    <x:tableColumn id="9" name="Fecha objetivo acordada"/>
    <x:tableColumn id="10" name="Estado empresarial"/>
    <x:tableColumn id="11" name="Aprobación evidencia"/>
    <x:tableColumn id="12" name="Persona autorizada"/>
    <x:tableColumn id="13" name="Base de autoridad"/>
    <x:tableColumn id="14" name="Fecha decisión"/>
    <x:tableColumn id="15" name="Justificación clasificación"/>
    <x:tableColumn id="16" name="Condición documentada"/>
    <x:tableColumn id="17" name="S1 / S2 abier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KnownFindings" displayName="BusinessKnownFindings" ref="A7:Q15" headerRowCount="1" totalsRowCount="0" totalsRowShown="0">
  <x:tableColumns count="17">
    <x:tableColumn id="1" name="ID"/>
    <x:tableColumn id="2" name="Severidad técnica"/>
    <x:tableColumn id="3" name="Estado técnico"/>
    <x:tableColumn id="4" name="Impacto empresarial divulgado"/>
    <x:tableColumn id="5" name="Workaround propuesto"/>
    <x:tableColumn id="6" name="Evidencias propuestas"/>
    <x:tableColumn id="7" name="Disposición empresarial"/>
    <x:tableColumn id="8" name="Justificación / clasificación"/>
    <x:tableColumn id="9" name="Responsable acordado"/>
    <x:tableColumn id="10" name="Fecha objetivo"/>
    <x:tableColumn id="11" name="Representante autorizado"/>
    <x:tableColumn id="12" name="Base autoridad"/>
    <x:tableColumn id="13" name="Fecha decisión"/>
    <x:tableColumn id="14" name="Evidencia aprobación"/>
    <x:tableColumn id="15" name="Reconocimiento explícito"/>
    <x:tableColumn id="16" name="Revisión completa"/>
    <x:tableColumn id="17" name="S1 / S2 abier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sinessEvidenceRegister" displayName="BusinessEvidenceRegister" ref="A7:F30" headerRowCount="1" totalsRowCount="0" totalsRowShown="0">
  <x:tableColumns count="6">
    <x:tableColumn id="1" name="ID"/>
    <x:tableColumn id="2" name="Evidencia"/>
    <x:tableColumn id="3" name="Tipo"/>
    <x:tableColumn id="4" name="Corte"/>
    <x:tableColumn id="5" name="Referencia controlada"/>
    <x:tableColumn id="6" name="Alcance y lími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sinessDocumentAcceptance" displayName="BusinessDocumentAcceptance" ref="A7:L97" headerRowCount="1" totalsRowCount="0" totalsRowShown="0">
  <x:tableColumns count="12">
    <x:tableColumn id="1" name="Área ID"/>
    <x:tableColumn id="2" name="Área"/>
    <x:tableColumn id="3" name="Documento ID"/>
    <x:tableColumn id="4" name="Documento / revisión"/>
    <x:tableColumn id="5" name="Evidencia propuesta"/>
    <x:tableColumn id="6" name="Decisión documental"/>
    <x:tableColumn id="7" name="Correcciones / impacto"/>
    <x:tableColumn id="8" name="Representante autorizado"/>
    <x:tableColumn id="9" name="Base autoridad"/>
    <x:tableColumn id="10" name="Fecha revisión"/>
    <x:tableColumn id="11" name="Firma / aprobación"/>
    <x:tableColumn id="12" name="Registro comple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ddcd06550743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c2f98e92da4c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857e5c0bea4d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1b916ee43b45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be1fc16e354212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39" hidden="0" customWidth="1"/>
    <x:col min="3" max="3" width="26" hidden="0" customWidth="1"/>
    <x:col min="4" max="4" width="23" hidden="0" customWidth="1"/>
    <x:col min="5" max="5" width="24" hidden="0" customWidth="1"/>
    <x:col min="6" max="6" width="32" hidden="0" customWidth="1"/>
    <x:col min="7" max="7" width="18" hidden="0" customWidth="1"/>
    <x:col min="8" max="8" width="29" hidden="0" customWidth="1"/>
    <x:col min="9" max="9" width="38" hidden="0" customWidth="1"/>
    <x:col min="10" max="10" width="36" hidden="0" customWidth="1"/>
    <x:col min="11" max="11" width="25" hidden="0" customWidth="1"/>
    <x:col min="12" max="12" width="38" hidden="0" customWidth="1"/>
    <x:col min="13" max="13" width="28" hidden="0" customWidth="1"/>
    <x:col min="14" max="14" width="18" hidden="0" customWidth="1"/>
    <x:col min="15" max="15" width="32" hidden="0" customWidth="1"/>
    <x:col min="16" max="16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2" customHeight="1">
      <x:c r="A2" s="3" t="str">
        <x:v>Business UAT sign-off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2" customHeight="1">
      <x:c r="A5" s="6" t="str">
        <x:v>Áreas completas</x:v>
      </x:c>
      <x:c r="B5" s="6" t="n">
        <x:f>SUM(P8:P22)</x:f>
        <x:v>0</x:v>
      </x:c>
      <x:c r="C5" s="6" t="str">
        <x:v>Áreas requeridas</x:v>
      </x:c>
      <x:c r="D5" s="6" t="n">
        <x:v>15</x:v>
      </x:c>
      <x:c r="E5" s="6" t="str">
        <x:v>Avance</x:v>
      </x:c>
      <x:c r="F5" s="7" t="n">
        <x:f>B5/D5</x:f>
        <x:v>0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2" customHeight="1">
      <x:c r="A7" s="11" t="str">
        <x:v>ID</x:v>
      </x:c>
      <x:c r="B7" s="11" t="str">
        <x:v>Área de aceptación</x:v>
      </x:c>
      <x:c r="C7" s="11" t="str">
        <x:v>Representante autorizado</x:v>
      </x:c>
      <x:c r="D7" s="11" t="str">
        <x:v>Rol / cargo</x:v>
      </x:c>
      <x:c r="E7" s="11" t="str">
        <x:v>Organización</x:v>
      </x:c>
      <x:c r="F7" s="11" t="str">
        <x:v>Base de autoridad</x:v>
      </x:c>
      <x:c r="G7" s="11" t="str">
        <x:v>Fecha de decisión</x:v>
      </x:c>
      <x:c r="H7" s="11" t="str">
        <x:v>Decisión</x:v>
      </x:c>
      <x:c r="I7" s="11" t="str">
        <x:v>Evidencia efectivamente revisada</x:v>
      </x:c>
      <x:c r="J7" s="11" t="str">
        <x:v>Firma / aprobación</x:v>
      </x:c>
      <x:c r="K7" s="11" t="str">
        <x:v>Condiciones IDs</x:v>
      </x:c>
      <x:c r="L7" s="11" t="str">
        <x:v>Comentarios</x:v>
      </x:c>
      <x:c r="M7" s="11" t="str">
        <x:v>Responsable de condición</x:v>
      </x:c>
      <x:c r="N7" s="11" t="str">
        <x:v>Fecha objetivo</x:v>
      </x:c>
      <x:c r="O7" s="11" t="str">
        <x:v>Evidencias propuestas (no revisadas)</x:v>
      </x:c>
      <x:c r="P7" s="11" t="str">
        <x:v>Registro completo</x:v>
      </x:c>
    </x:row>
    <x:row r="8" ht="62" customHeight="1">
      <x:c r="A8" s="6" t="str">
        <x:v>BA01</x:v>
      </x:c>
      <x:c r="B8" s="6" t="str">
        <x:v>Enterprise / Strategic Governance</x:v>
      </x:c>
      <x:c r="C8" s="13" t="str"/>
      <x:c r="D8" s="13" t="str"/>
      <x:c r="E8" s="13" t="str"/>
      <x:c r="F8" s="13" t="str"/>
      <x:c r="G8" s="14" t="str"/>
      <x:c r="H8" s="13" t="str"/>
      <x:c r="I8" s="13" t="str"/>
      <x:c r="J8" s="13" t="str"/>
      <x:c r="K8" s="13" t="str"/>
      <x:c r="L8" s="13" t="str"/>
      <x:c r="M8" s="13" t="str"/>
      <x:c r="N8" s="14" t="str"/>
      <x:c r="O8" s="6" t="str">
        <x:v>E01, E03, E06, E09, E10</x:v>
      </x:c>
      <x:c r="P8" s="6" t="n">
        <x:f>IF(AND(C8&lt;&gt;"",D8&lt;&gt;"",E8&lt;&gt;"",F8&lt;&gt;"",ISNUMBER(G8),OR(H8="ACCEPT",H8="ACCEPT_WITH_CONDITIONS",H8="REJECT"),I8&lt;&gt;"",J8&lt;&gt;"",IF(H8="ACCEPT_WITH_CONDITIONS",IF(COUNTIFS('02_Acceptance_Conditions'!$A$8:$A$15,K8)=1,AND(COUNTIFS('02_Acceptance_Conditions'!$A$8:$A$15,K8,'02_Acceptance_Conditions'!$P$8:$P$15,1,'02_Acceptance_Conditions'!$J$8:$J$15,"ACCEPTED_OPEN")&gt;0,ISNUMBER(SEARCH(","&amp;A8&amp;",",","&amp;SUBSTITUTE(INDEX('02_Acceptance_Conditions'!$B$8:$B$15,MATCH(K8,'02_Acceptance_Conditions'!$A$8:$A$15,0))," ","")&amp;",")),M8&lt;&gt;"",ISNUMBER(N8)),FALSE),TRUE),IF(H8="REJECT",COUNTIFS('06_Final_Release_Decision'!$B$41:$B$55,A8,'06_Final_Release_Decision'!$K$41:$K$55,1)&gt;0,TRUE)),1,0)</x:f>
        <x:v>0</x:v>
      </x:c>
    </x:row>
    <x:row r="9" ht="62" customHeight="1">
      <x:c r="A9" s="6" t="str">
        <x:v>BA02</x:v>
      </x:c>
      <x:c r="B9" s="6" t="str">
        <x:v>Enterprise Structure &amp; Workspace Governance</x:v>
      </x:c>
      <x:c r="C9" s="13" t="str"/>
      <x:c r="D9" s="13" t="str"/>
      <x:c r="E9" s="13" t="str"/>
      <x:c r="F9" s="13" t="str"/>
      <x:c r="G9" s="14" t="str"/>
      <x:c r="H9" s="13" t="str"/>
      <x:c r="I9" s="13" t="str"/>
      <x:c r="J9" s="13" t="str"/>
      <x:c r="K9" s="13" t="str"/>
      <x:c r="L9" s="13" t="str"/>
      <x:c r="M9" s="13" t="str"/>
      <x:c r="N9" s="14" t="str"/>
      <x:c r="O9" s="6" t="str">
        <x:v>E01, E02, E03, E12, E13, E17, E20</x:v>
      </x:c>
      <x:c r="P9" s="6" t="n">
        <x:f>IF(AND(C9&lt;&gt;"",D9&lt;&gt;"",E9&lt;&gt;"",F9&lt;&gt;"",ISNUMBER(G9),OR(H9="ACCEPT",H9="ACCEPT_WITH_CONDITIONS",H9="REJECT"),I9&lt;&gt;"",J9&lt;&gt;"",IF(H9="ACCEPT_WITH_CONDITIONS",IF(COUNTIFS('02_Acceptance_Conditions'!$A$8:$A$15,K9)=1,AND(COUNTIFS('02_Acceptance_Conditions'!$A$8:$A$15,K9,'02_Acceptance_Conditions'!$P$8:$P$15,1,'02_Acceptance_Conditions'!$J$8:$J$15,"ACCEPTED_OPEN")&gt;0,ISNUMBER(SEARCH(","&amp;A9&amp;",",","&amp;SUBSTITUTE(INDEX('02_Acceptance_Conditions'!$B$8:$B$15,MATCH(K9,'02_Acceptance_Conditions'!$A$8:$A$15,0))," ","")&amp;",")),M9&lt;&gt;"",ISNUMBER(N9)),FALSE),TRUE),IF(H9="REJECT",COUNTIFS('06_Final_Release_Decision'!$B$41:$B$55,A9,'06_Final_Release_Decision'!$K$41:$K$55,1)&gt;0,TRUE)),1,0)</x:f>
        <x:v>0</x:v>
      </x:c>
    </x:row>
    <x:row r="10" ht="62" customHeight="1">
      <x:c r="A10" s="6" t="str">
        <x:v>BA03</x:v>
      </x:c>
      <x:c r="B10" s="6" t="str">
        <x:v>Capital Planning</x:v>
      </x:c>
      <x:c r="C10" s="13" t="str"/>
      <x:c r="D10" s="13" t="str"/>
      <x:c r="E10" s="13" t="str"/>
      <x:c r="F10" s="13" t="str"/>
      <x:c r="G10" s="14" t="str"/>
      <x:c r="H10" s="13" t="str"/>
      <x:c r="I10" s="13" t="str"/>
      <x:c r="J10" s="13" t="str"/>
      <x:c r="K10" s="13" t="str"/>
      <x:c r="L10" s="13" t="str"/>
      <x:c r="M10" s="13" t="str"/>
      <x:c r="N10" s="14" t="str"/>
      <x:c r="O10" s="6" t="str">
        <x:v>E01, E02, E03, E04, E09</x:v>
      </x:c>
      <x:c r="P10" s="6" t="n">
        <x:f>IF(AND(C10&lt;&gt;"",D10&lt;&gt;"",E10&lt;&gt;"",F10&lt;&gt;"",ISNUMBER(G10),OR(H10="ACCEPT",H10="ACCEPT_WITH_CONDITIONS",H10="REJECT"),I10&lt;&gt;"",J10&lt;&gt;"",IF(H10="ACCEPT_WITH_CONDITIONS",IF(COUNTIFS('02_Acceptance_Conditions'!$A$8:$A$15,K10)=1,AND(COUNTIFS('02_Acceptance_Conditions'!$A$8:$A$15,K10,'02_Acceptance_Conditions'!$P$8:$P$15,1,'02_Acceptance_Conditions'!$J$8:$J$15,"ACCEPTED_OPEN")&gt;0,ISNUMBER(SEARCH(","&amp;A10&amp;",",","&amp;SUBSTITUTE(INDEX('02_Acceptance_Conditions'!$B$8:$B$15,MATCH(K10,'02_Acceptance_Conditions'!$A$8:$A$15,0))," ","")&amp;",")),M10&lt;&gt;"",ISNUMBER(N10)),FALSE),TRUE),IF(H10="REJECT",COUNTIFS('06_Final_Release_Decision'!$B$41:$B$55,A10,'06_Final_Release_Decision'!$K$41:$K$55,1)&gt;0,TRUE)),1,0)</x:f>
        <x:v>0</x:v>
      </x:c>
    </x:row>
    <x:row r="11" ht="62" customHeight="1">
      <x:c r="A11" s="6" t="str">
        <x:v>BA04</x:v>
      </x:c>
      <x:c r="B11" s="6" t="str">
        <x:v>Investment Origination</x:v>
      </x:c>
      <x:c r="C11" s="13" t="str"/>
      <x:c r="D11" s="13" t="str"/>
      <x:c r="E11" s="13" t="str"/>
      <x:c r="F11" s="13" t="str"/>
      <x:c r="G11" s="14" t="str"/>
      <x:c r="H11" s="13" t="str"/>
      <x:c r="I11" s="13" t="str"/>
      <x:c r="J11" s="13" t="str"/>
      <x:c r="K11" s="13" t="str"/>
      <x:c r="L11" s="13" t="str"/>
      <x:c r="M11" s="13" t="str"/>
      <x:c r="N11" s="14" t="str"/>
      <x:c r="O11" s="6" t="str">
        <x:v>E01, E02, E04, E10, E11</x:v>
      </x:c>
      <x:c r="P11" s="6" t="n">
        <x:f>IF(AND(C11&lt;&gt;"",D11&lt;&gt;"",E11&lt;&gt;"",F11&lt;&gt;"",ISNUMBER(G11),OR(H11="ACCEPT",H11="ACCEPT_WITH_CONDITIONS",H11="REJECT"),I11&lt;&gt;"",J11&lt;&gt;"",IF(H11="ACCEPT_WITH_CONDITIONS",IF(COUNTIFS('02_Acceptance_Conditions'!$A$8:$A$15,K11)=1,AND(COUNTIFS('02_Acceptance_Conditions'!$A$8:$A$15,K11,'02_Acceptance_Conditions'!$P$8:$P$15,1,'02_Acceptance_Conditions'!$J$8:$J$15,"ACCEPTED_OPEN")&gt;0,ISNUMBER(SEARCH(","&amp;A11&amp;",",","&amp;SUBSTITUTE(INDEX('02_Acceptance_Conditions'!$B$8:$B$15,MATCH(K11,'02_Acceptance_Conditions'!$A$8:$A$15,0))," ","")&amp;",")),M11&lt;&gt;"",ISNUMBER(N11)),FALSE),TRUE),IF(H11="REJECT",COUNTIFS('06_Final_Release_Decision'!$B$41:$B$55,A11,'06_Final_Release_Decision'!$K$41:$K$55,1)&gt;0,TRUE)),1,0)</x:f>
        <x:v>0</x:v>
      </x:c>
    </x:row>
    <x:row r="12" ht="62" customHeight="1">
      <x:c r="A12" s="6" t="str">
        <x:v>BA05</x:v>
      </x:c>
      <x:c r="B12" s="6" t="str">
        <x:v>Portfolio Management</x:v>
      </x:c>
      <x:c r="C12" s="13" t="str"/>
      <x:c r="D12" s="13" t="str"/>
      <x:c r="E12" s="13" t="str"/>
      <x:c r="F12" s="13" t="str"/>
      <x:c r="G12" s="14" t="str"/>
      <x:c r="H12" s="13" t="str"/>
      <x:c r="I12" s="13" t="str"/>
      <x:c r="J12" s="13" t="str"/>
      <x:c r="K12" s="13" t="str"/>
      <x:c r="L12" s="13" t="str"/>
      <x:c r="M12" s="13" t="str"/>
      <x:c r="N12" s="14" t="str"/>
      <x:c r="O12" s="6" t="str">
        <x:v>E01, E02, E04, E09, E10</x:v>
      </x:c>
      <x:c r="P12" s="6" t="n">
        <x:f>IF(AND(C12&lt;&gt;"",D12&lt;&gt;"",E12&lt;&gt;"",F12&lt;&gt;"",ISNUMBER(G12),OR(H12="ACCEPT",H12="ACCEPT_WITH_CONDITIONS",H12="REJECT"),I12&lt;&gt;"",J12&lt;&gt;"",IF(H12="ACCEPT_WITH_CONDITIONS",IF(COUNTIFS('02_Acceptance_Conditions'!$A$8:$A$15,K12)=1,AND(COUNTIFS('02_Acceptance_Conditions'!$A$8:$A$15,K12,'02_Acceptance_Conditions'!$P$8:$P$15,1,'02_Acceptance_Conditions'!$J$8:$J$15,"ACCEPTED_OPEN")&gt;0,ISNUMBER(SEARCH(","&amp;A12&amp;",",","&amp;SUBSTITUTE(INDEX('02_Acceptance_Conditions'!$B$8:$B$15,MATCH(K12,'02_Acceptance_Conditions'!$A$8:$A$15,0))," ","")&amp;",")),M12&lt;&gt;"",ISNUMBER(N12)),FALSE),TRUE),IF(H12="REJECT",COUNTIFS('06_Final_Release_Decision'!$B$41:$B$55,A12,'06_Final_Release_Decision'!$K$41:$K$55,1)&gt;0,TRUE)),1,0)</x:f>
        <x:v>0</x:v>
      </x:c>
    </x:row>
    <x:row r="13" ht="62" customHeight="1">
      <x:c r="A13" s="6" t="str">
        <x:v>BA06</x:v>
      </x:c>
      <x:c r="B13" s="6" t="str">
        <x:v>Project Controls / Planning</x:v>
      </x:c>
      <x:c r="C13" s="13" t="str"/>
      <x:c r="D13" s="13" t="str"/>
      <x:c r="E13" s="13" t="str"/>
      <x:c r="F13" s="13" t="str"/>
      <x:c r="G13" s="14" t="str"/>
      <x:c r="H13" s="13" t="str"/>
      <x:c r="I13" s="13" t="str"/>
      <x:c r="J13" s="13" t="str"/>
      <x:c r="K13" s="13" t="str"/>
      <x:c r="L13" s="13" t="str"/>
      <x:c r="M13" s="13" t="str"/>
      <x:c r="N13" s="14" t="str"/>
      <x:c r="O13" s="6" t="str">
        <x:v>E01, E02, E04, E09</x:v>
      </x:c>
      <x:c r="P13" s="6" t="n">
        <x:f>IF(AND(C13&lt;&gt;"",D13&lt;&gt;"",E13&lt;&gt;"",F13&lt;&gt;"",ISNUMBER(G13),OR(H13="ACCEPT",H13="ACCEPT_WITH_CONDITIONS",H13="REJECT"),I13&lt;&gt;"",J13&lt;&gt;"",IF(H13="ACCEPT_WITH_CONDITIONS",IF(COUNTIFS('02_Acceptance_Conditions'!$A$8:$A$15,K13)=1,AND(COUNTIFS('02_Acceptance_Conditions'!$A$8:$A$15,K13,'02_Acceptance_Conditions'!$P$8:$P$15,1,'02_Acceptance_Conditions'!$J$8:$J$15,"ACCEPTED_OPEN")&gt;0,ISNUMBER(SEARCH(","&amp;A13&amp;",",","&amp;SUBSTITUTE(INDEX('02_Acceptance_Conditions'!$B$8:$B$15,MATCH(K13,'02_Acceptance_Conditions'!$A$8:$A$15,0))," ","")&amp;",")),M13&lt;&gt;"",ISNUMBER(N13)),FALSE),TRUE),IF(H13="REJECT",COUNTIFS('06_Final_Release_Decision'!$B$41:$B$55,A13,'06_Final_Release_Decision'!$K$41:$K$55,1)&gt;0,TRUE)),1,0)</x:f>
        <x:v>0</x:v>
      </x:c>
    </x:row>
    <x:row r="14" ht="62" customHeight="1">
      <x:c r="A14" s="6" t="str">
        <x:v>BA07</x:v>
      </x:c>
      <x:c r="B14" s="6" t="str">
        <x:v>Cost / Budget / Resource Governance</x:v>
      </x:c>
      <x:c r="C14" s="13" t="str"/>
      <x:c r="D14" s="13" t="str"/>
      <x:c r="E14" s="13" t="str"/>
      <x:c r="F14" s="13" t="str"/>
      <x:c r="G14" s="14" t="str"/>
      <x:c r="H14" s="13" t="str"/>
      <x:c r="I14" s="13" t="str"/>
      <x:c r="J14" s="13" t="str"/>
      <x:c r="K14" s="13" t="str"/>
      <x:c r="L14" s="13" t="str"/>
      <x:c r="M14" s="13" t="str"/>
      <x:c r="N14" s="14" t="str"/>
      <x:c r="O14" s="6" t="str">
        <x:v>E01, E02, E03, E04, E09</x:v>
      </x:c>
      <x:c r="P14" s="6" t="n">
        <x:f>IF(AND(C14&lt;&gt;"",D14&lt;&gt;"",E14&lt;&gt;"",F14&lt;&gt;"",ISNUMBER(G14),OR(H14="ACCEPT",H14="ACCEPT_WITH_CONDITIONS",H14="REJECT"),I14&lt;&gt;"",J14&lt;&gt;"",IF(H14="ACCEPT_WITH_CONDITIONS",IF(COUNTIFS('02_Acceptance_Conditions'!$A$8:$A$15,K14)=1,AND(COUNTIFS('02_Acceptance_Conditions'!$A$8:$A$15,K14,'02_Acceptance_Conditions'!$P$8:$P$15,1,'02_Acceptance_Conditions'!$J$8:$J$15,"ACCEPTED_OPEN")&gt;0,ISNUMBER(SEARCH(","&amp;A14&amp;",",","&amp;SUBSTITUTE(INDEX('02_Acceptance_Conditions'!$B$8:$B$15,MATCH(K14,'02_Acceptance_Conditions'!$A$8:$A$15,0))," ","")&amp;",")),M14&lt;&gt;"",ISNUMBER(N14)),FALSE),TRUE),IF(H14="REJECT",COUNTIFS('06_Final_Release_Decision'!$B$41:$B$55,A14,'06_Final_Release_Decision'!$K$41:$K$55,1)&gt;0,TRUE)),1,0)</x:f>
        <x:v>0</x:v>
      </x:c>
    </x:row>
    <x:row r="15" ht="62" customHeight="1">
      <x:c r="A15" s="6" t="str">
        <x:v>BA08</x:v>
      </x:c>
      <x:c r="B15" s="6" t="str">
        <x:v>Business Case / Investment Development</x:v>
      </x:c>
      <x:c r="C15" s="13" t="str"/>
      <x:c r="D15" s="13" t="str"/>
      <x:c r="E15" s="13" t="str"/>
      <x:c r="F15" s="13" t="str"/>
      <x:c r="G15" s="14" t="str"/>
      <x:c r="H15" s="13" t="str"/>
      <x:c r="I15" s="13" t="str"/>
      <x:c r="J15" s="13" t="str"/>
      <x:c r="K15" s="13" t="str"/>
      <x:c r="L15" s="13" t="str"/>
      <x:c r="M15" s="13" t="str"/>
      <x:c r="N15" s="14" t="str"/>
      <x:c r="O15" s="6" t="str">
        <x:v>E01, E02, E04, E10, E16</x:v>
      </x:c>
      <x:c r="P15" s="6" t="n">
        <x:f>IF(AND(C15&lt;&gt;"",D15&lt;&gt;"",E15&lt;&gt;"",F15&lt;&gt;"",ISNUMBER(G15),OR(H15="ACCEPT",H15="ACCEPT_WITH_CONDITIONS",H15="REJECT"),I15&lt;&gt;"",J15&lt;&gt;"",IF(H15="ACCEPT_WITH_CONDITIONS",IF(COUNTIFS('02_Acceptance_Conditions'!$A$8:$A$15,K15)=1,AND(COUNTIFS('02_Acceptance_Conditions'!$A$8:$A$15,K15,'02_Acceptance_Conditions'!$P$8:$P$15,1,'02_Acceptance_Conditions'!$J$8:$J$15,"ACCEPTED_OPEN")&gt;0,ISNUMBER(SEARCH(","&amp;A15&amp;",",","&amp;SUBSTITUTE(INDEX('02_Acceptance_Conditions'!$B$8:$B$15,MATCH(K15,'02_Acceptance_Conditions'!$A$8:$A$15,0))," ","")&amp;",")),M15&lt;&gt;"",ISNUMBER(N15)),FALSE),TRUE),IF(H15="REJECT",COUNTIFS('06_Final_Release_Decision'!$B$41:$B$55,A15,'06_Final_Release_Decision'!$K$41:$K$55,1)&gt;0,TRUE)),1,0)</x:f>
        <x:v>0</x:v>
      </x:c>
    </x:row>
    <x:row r="16" ht="62" customHeight="1">
      <x:c r="A16" s="6" t="str">
        <x:v>BA09</x:v>
      </x:c>
      <x:c r="B16" s="6" t="str">
        <x:v>Technical Assurance / FEL / Definition Maturity</x:v>
      </x:c>
      <x:c r="C16" s="13" t="str"/>
      <x:c r="D16" s="13" t="str"/>
      <x:c r="E16" s="13" t="str"/>
      <x:c r="F16" s="13" t="str"/>
      <x:c r="G16" s="14" t="str"/>
      <x:c r="H16" s="13" t="str"/>
      <x:c r="I16" s="13" t="str"/>
      <x:c r="J16" s="13" t="str"/>
      <x:c r="K16" s="13" t="str"/>
      <x:c r="L16" s="13" t="str"/>
      <x:c r="M16" s="13" t="str"/>
      <x:c r="N16" s="14" t="str"/>
      <x:c r="O16" s="6" t="str">
        <x:v>E01, E02, E03, E04, E09</x:v>
      </x:c>
      <x:c r="P16" s="6" t="n">
        <x:f>IF(AND(C16&lt;&gt;"",D16&lt;&gt;"",E16&lt;&gt;"",F16&lt;&gt;"",ISNUMBER(G16),OR(H16="ACCEPT",H16="ACCEPT_WITH_CONDITIONS",H16="REJECT"),I16&lt;&gt;"",J16&lt;&gt;"",IF(H16="ACCEPT_WITH_CONDITIONS",IF(COUNTIFS('02_Acceptance_Conditions'!$A$8:$A$15,K16)=1,AND(COUNTIFS('02_Acceptance_Conditions'!$A$8:$A$15,K16,'02_Acceptance_Conditions'!$P$8:$P$15,1,'02_Acceptance_Conditions'!$J$8:$J$15,"ACCEPTED_OPEN")&gt;0,ISNUMBER(SEARCH(","&amp;A16&amp;",",","&amp;SUBSTITUTE(INDEX('02_Acceptance_Conditions'!$B$8:$B$15,MATCH(K16,'02_Acceptance_Conditions'!$A$8:$A$15,0))," ","")&amp;",")),M16&lt;&gt;"",ISNUMBER(N16)),FALSE),TRUE),IF(H16="REJECT",COUNTIFS('06_Final_Release_Decision'!$B$41:$B$55,A16,'06_Final_Release_Decision'!$K$41:$K$55,1)&gt;0,TRUE)),1,0)</x:f>
        <x:v>0</x:v>
      </x:c>
    </x:row>
    <x:row r="17" ht="62" customHeight="1">
      <x:c r="A17" s="6" t="str">
        <x:v>BA10</x:v>
      </x:c>
      <x:c r="B17" s="6" t="str">
        <x:v>Risk / Permits</x:v>
      </x:c>
      <x:c r="C17" s="13" t="str"/>
      <x:c r="D17" s="13" t="str"/>
      <x:c r="E17" s="13" t="str"/>
      <x:c r="F17" s="13" t="str"/>
      <x:c r="G17" s="14" t="str"/>
      <x:c r="H17" s="13" t="str"/>
      <x:c r="I17" s="13" t="str"/>
      <x:c r="J17" s="13" t="str"/>
      <x:c r="K17" s="13" t="str"/>
      <x:c r="L17" s="13" t="str"/>
      <x:c r="M17" s="13" t="str"/>
      <x:c r="N17" s="14" t="str"/>
      <x:c r="O17" s="6" t="str">
        <x:v>E01, E02, E03, E07, E14, E16</x:v>
      </x:c>
      <x:c r="P17" s="6" t="n">
        <x:f>IF(AND(C17&lt;&gt;"",D17&lt;&gt;"",E17&lt;&gt;"",F17&lt;&gt;"",ISNUMBER(G17),OR(H17="ACCEPT",H17="ACCEPT_WITH_CONDITIONS",H17="REJECT"),I17&lt;&gt;"",J17&lt;&gt;"",IF(H17="ACCEPT_WITH_CONDITIONS",IF(COUNTIFS('02_Acceptance_Conditions'!$A$8:$A$15,K17)=1,AND(COUNTIFS('02_Acceptance_Conditions'!$A$8:$A$15,K17,'02_Acceptance_Conditions'!$P$8:$P$15,1,'02_Acceptance_Conditions'!$J$8:$J$15,"ACCEPTED_OPEN")&gt;0,ISNUMBER(SEARCH(","&amp;A17&amp;",",","&amp;SUBSTITUTE(INDEX('02_Acceptance_Conditions'!$B$8:$B$15,MATCH(K17,'02_Acceptance_Conditions'!$A$8:$A$15,0))," ","")&amp;",")),M17&lt;&gt;"",ISNUMBER(N17)),FALSE),TRUE),IF(H17="REJECT",COUNTIFS('06_Final_Release_Decision'!$B$41:$B$55,A17,'06_Final_Release_Decision'!$K$41:$K$55,1)&gt;0,TRUE)),1,0)</x:f>
        <x:v>0</x:v>
      </x:c>
    </x:row>
    <x:row r="18" ht="62" customHeight="1">
      <x:c r="A18" s="6" t="str">
        <x:v>BA11</x:v>
      </x:c>
      <x:c r="B18" s="6" t="str">
        <x:v>Commercial &amp; Contracting</x:v>
      </x:c>
      <x:c r="C18" s="13" t="str"/>
      <x:c r="D18" s="13" t="str"/>
      <x:c r="E18" s="13" t="str"/>
      <x:c r="F18" s="13" t="str"/>
      <x:c r="G18" s="14" t="str"/>
      <x:c r="H18" s="13" t="str"/>
      <x:c r="I18" s="13" t="str"/>
      <x:c r="J18" s="13" t="str"/>
      <x:c r="K18" s="13" t="str"/>
      <x:c r="L18" s="13" t="str"/>
      <x:c r="M18" s="13" t="str"/>
      <x:c r="N18" s="14" t="str"/>
      <x:c r="O18" s="6" t="str">
        <x:v>E01, E02, E03, E12, E14, E16</x:v>
      </x:c>
      <x:c r="P18" s="6" t="n">
        <x:f>IF(AND(C18&lt;&gt;"",D18&lt;&gt;"",E18&lt;&gt;"",F18&lt;&gt;"",ISNUMBER(G18),OR(H18="ACCEPT",H18="ACCEPT_WITH_CONDITIONS",H18="REJECT"),I18&lt;&gt;"",J18&lt;&gt;"",IF(H18="ACCEPT_WITH_CONDITIONS",IF(COUNTIFS('02_Acceptance_Conditions'!$A$8:$A$15,K18)=1,AND(COUNTIFS('02_Acceptance_Conditions'!$A$8:$A$15,K18,'02_Acceptance_Conditions'!$P$8:$P$15,1,'02_Acceptance_Conditions'!$J$8:$J$15,"ACCEPTED_OPEN")&gt;0,ISNUMBER(SEARCH(","&amp;A18&amp;",",","&amp;SUBSTITUTE(INDEX('02_Acceptance_Conditions'!$B$8:$B$15,MATCH(K18,'02_Acceptance_Conditions'!$A$8:$A$15,0))," ","")&amp;",")),M18&lt;&gt;"",ISNUMBER(N18)),FALSE),TRUE),IF(H18="REJECT",COUNTIFS('06_Final_Release_Decision'!$B$41:$B$55,A18,'06_Final_Release_Decision'!$K$41:$K$55,1)&gt;0,TRUE)),1,0)</x:f>
        <x:v>0</x:v>
      </x:c>
    </x:row>
    <x:row r="19" ht="62" customHeight="1">
      <x:c r="A19" s="6" t="str">
        <x:v>BA12</x:v>
      </x:c>
      <x:c r="B19" s="6" t="str">
        <x:v>Finance / Funding / Economic Model</x:v>
      </x:c>
      <x:c r="C19" s="13" t="str"/>
      <x:c r="D19" s="13" t="str"/>
      <x:c r="E19" s="13" t="str"/>
      <x:c r="F19" s="13" t="str"/>
      <x:c r="G19" s="14" t="str"/>
      <x:c r="H19" s="13" t="str"/>
      <x:c r="I19" s="13" t="str"/>
      <x:c r="J19" s="13" t="str"/>
      <x:c r="K19" s="13" t="str"/>
      <x:c r="L19" s="13" t="str"/>
      <x:c r="M19" s="13" t="str"/>
      <x:c r="N19" s="14" t="str"/>
      <x:c r="O19" s="6" t="str">
        <x:v>E01, E02, E03, E04, E09, E16</x:v>
      </x:c>
      <x:c r="P19" s="6" t="n">
        <x:f>IF(AND(C19&lt;&gt;"",D19&lt;&gt;"",E19&lt;&gt;"",F19&lt;&gt;"",ISNUMBER(G19),OR(H19="ACCEPT",H19="ACCEPT_WITH_CONDITIONS",H19="REJECT"),I19&lt;&gt;"",J19&lt;&gt;"",IF(H19="ACCEPT_WITH_CONDITIONS",IF(COUNTIFS('02_Acceptance_Conditions'!$A$8:$A$15,K19)=1,AND(COUNTIFS('02_Acceptance_Conditions'!$A$8:$A$15,K19,'02_Acceptance_Conditions'!$P$8:$P$15,1,'02_Acceptance_Conditions'!$J$8:$J$15,"ACCEPTED_OPEN")&gt;0,ISNUMBER(SEARCH(","&amp;A19&amp;",",","&amp;SUBSTITUTE(INDEX('02_Acceptance_Conditions'!$B$8:$B$15,MATCH(K19,'02_Acceptance_Conditions'!$A$8:$A$15,0))," ","")&amp;",")),M19&lt;&gt;"",ISNUMBER(N19)),FALSE),TRUE),IF(H19="REJECT",COUNTIFS('06_Final_Release_Decision'!$B$41:$B$55,A19,'06_Final_Release_Decision'!$K$41:$K$55,1)&gt;0,TRUE)),1,0)</x:f>
        <x:v>0</x:v>
      </x:c>
    </x:row>
    <x:row r="20" ht="62" customHeight="1">
      <x:c r="A20" s="6" t="str">
        <x:v>BA13</x:v>
      </x:c>
      <x:c r="B20" s="6" t="str">
        <x:v>QRA / Quantitative Risk Analysis</x:v>
      </x:c>
      <x:c r="C20" s="13" t="str"/>
      <x:c r="D20" s="13" t="str"/>
      <x:c r="E20" s="13" t="str"/>
      <x:c r="F20" s="13" t="str"/>
      <x:c r="G20" s="14" t="str"/>
      <x:c r="H20" s="13" t="str"/>
      <x:c r="I20" s="13" t="str"/>
      <x:c r="J20" s="13" t="str"/>
      <x:c r="K20" s="13" t="str"/>
      <x:c r="L20" s="13" t="str"/>
      <x:c r="M20" s="13" t="str"/>
      <x:c r="N20" s="14" t="str"/>
      <x:c r="O20" s="6" t="str">
        <x:v>E01, E02, E03, E04, E09</x:v>
      </x:c>
      <x:c r="P20" s="6" t="n">
        <x:f>IF(AND(C20&lt;&gt;"",D20&lt;&gt;"",E20&lt;&gt;"",F20&lt;&gt;"",ISNUMBER(G20),OR(H20="ACCEPT",H20="ACCEPT_WITH_CONDITIONS",H20="REJECT"),I20&lt;&gt;"",J20&lt;&gt;"",IF(H20="ACCEPT_WITH_CONDITIONS",IF(COUNTIFS('02_Acceptance_Conditions'!$A$8:$A$15,K20)=1,AND(COUNTIFS('02_Acceptance_Conditions'!$A$8:$A$15,K20,'02_Acceptance_Conditions'!$P$8:$P$15,1,'02_Acceptance_Conditions'!$J$8:$J$15,"ACCEPTED_OPEN")&gt;0,ISNUMBER(SEARCH(","&amp;A20&amp;",",","&amp;SUBSTITUTE(INDEX('02_Acceptance_Conditions'!$B$8:$B$15,MATCH(K20,'02_Acceptance_Conditions'!$A$8:$A$15,0))," ","")&amp;",")),M20&lt;&gt;"",ISNUMBER(N20)),FALSE),TRUE),IF(H20="REJECT",COUNTIFS('06_Final_Release_Decision'!$B$41:$B$55,A20,'06_Final_Release_Decision'!$K$41:$K$55,1)&gt;0,TRUE)),1,0)</x:f>
        <x:v>0</x:v>
      </x:c>
    </x:row>
    <x:row r="21" ht="62" customHeight="1">
      <x:c r="A21" s="6" t="str">
        <x:v>BA14</x:v>
      </x:c>
      <x:c r="B21" s="6" t="str">
        <x:v>Investment Gate / FID Authority</x:v>
      </x:c>
      <x:c r="C21" s="13" t="str"/>
      <x:c r="D21" s="13" t="str"/>
      <x:c r="E21" s="13" t="str"/>
      <x:c r="F21" s="13" t="str"/>
      <x:c r="G21" s="14" t="str"/>
      <x:c r="H21" s="13" t="str"/>
      <x:c r="I21" s="13" t="str"/>
      <x:c r="J21" s="13" t="str"/>
      <x:c r="K21" s="13" t="str"/>
      <x:c r="L21" s="13" t="str"/>
      <x:c r="M21" s="13" t="str"/>
      <x:c r="N21" s="14" t="str"/>
      <x:c r="O21" s="6" t="str">
        <x:v>E04, E06, E07, E14, E15, E16</x:v>
      </x:c>
      <x:c r="P21" s="6" t="n">
        <x:f>IF(AND(C21&lt;&gt;"",D21&lt;&gt;"",E21&lt;&gt;"",F21&lt;&gt;"",ISNUMBER(G21),OR(H21="ACCEPT",H21="ACCEPT_WITH_CONDITIONS",H21="REJECT"),I21&lt;&gt;"",J21&lt;&gt;"",IF(H21="ACCEPT_WITH_CONDITIONS",IF(COUNTIFS('02_Acceptance_Conditions'!$A$8:$A$15,K21)=1,AND(COUNTIFS('02_Acceptance_Conditions'!$A$8:$A$15,K21,'02_Acceptance_Conditions'!$P$8:$P$15,1,'02_Acceptance_Conditions'!$J$8:$J$15,"ACCEPTED_OPEN")&gt;0,ISNUMBER(SEARCH(","&amp;A21&amp;",",","&amp;SUBSTITUTE(INDEX('02_Acceptance_Conditions'!$B$8:$B$15,MATCH(K21,'02_Acceptance_Conditions'!$A$8:$A$15,0))," ","")&amp;",")),M21&lt;&gt;"",ISNUMBER(N21)),FALSE),TRUE),IF(H21="REJECT",COUNTIFS('06_Final_Release_Decision'!$B$41:$B$55,A21,'06_Final_Release_Decision'!$K$41:$K$55,1)&gt;0,TRUE)),1,0)</x:f>
        <x:v>0</x:v>
      </x:c>
    </x:row>
    <x:row r="22" ht="62" customHeight="1">
      <x:c r="A22" s="6" t="str">
        <x:v>BA15</x:v>
      </x:c>
      <x:c r="B22" s="6" t="str">
        <x:v>Post FID / Project Governance</x:v>
      </x:c>
      <x:c r="C22" s="13" t="str"/>
      <x:c r="D22" s="13" t="str"/>
      <x:c r="E22" s="13" t="str"/>
      <x:c r="F22" s="13" t="str"/>
      <x:c r="G22" s="14" t="str"/>
      <x:c r="H22" s="13" t="str"/>
      <x:c r="I22" s="13" t="str"/>
      <x:c r="J22" s="13" t="str"/>
      <x:c r="K22" s="13" t="str"/>
      <x:c r="L22" s="13" t="str"/>
      <x:c r="M22" s="13" t="str"/>
      <x:c r="N22" s="14" t="str"/>
      <x:c r="O22" s="6" t="str">
        <x:v>E02, E04, E06, E15, E17, E18, E20</x:v>
      </x:c>
      <x:c r="P22" s="6" t="n">
        <x:f>IF(AND(C22&lt;&gt;"",D22&lt;&gt;"",E22&lt;&gt;"",F22&lt;&gt;"",ISNUMBER(G22),OR(H22="ACCEPT",H22="ACCEPT_WITH_CONDITIONS",H22="REJECT"),I22&lt;&gt;"",J22&lt;&gt;"",IF(H22="ACCEPT_WITH_CONDITIONS",IF(COUNTIFS('02_Acceptance_Conditions'!$A$8:$A$15,K22)=1,AND(COUNTIFS('02_Acceptance_Conditions'!$A$8:$A$15,K22,'02_Acceptance_Conditions'!$P$8:$P$15,1,'02_Acceptance_Conditions'!$J$8:$J$15,"ACCEPTED_OPEN")&gt;0,ISNUMBER(SEARCH(","&amp;A22&amp;",",","&amp;SUBSTITUTE(INDEX('02_Acceptance_Conditions'!$B$8:$B$15,MATCH(K22,'02_Acceptance_Conditions'!$A$8:$A$15,0))," ","")&amp;",")),M22&lt;&gt;"",ISNUMBER(N22)),FALSE),TRUE),IF(H22="REJECT",COUNTIFS('06_Final_Release_Decision'!$B$41:$B$55,A22,'06_Final_Release_Decision'!$K$41:$K$55,1)&gt;0,TRUE)),1,0)</x:f>
        <x:v>0</x:v>
      </x:c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42" customHeight="1">
      <x:c r="A26" s="11" t="str">
        <x:v>ID</x:v>
      </x:c>
      <x:c r="B26" s="11" t="str">
        <x:v>Reconocimiento obligatorio</x:v>
      </x:c>
      <x:c r="C26" s="11" t="str">
        <x:v>Áreas responsables</x:v>
      </x:c>
      <x:c r="D26" s="11" t="str">
        <x:v>Respuesta autorizada</x:v>
      </x:c>
      <x:c r="E26" s="11" t="str">
        <x:v>Representante</x:v>
      </x:c>
      <x:c r="F26" s="11" t="str">
        <x:v>Base de autoridad</x:v>
      </x:c>
      <x:c r="G26" s="11" t="str">
        <x:v>Fecha</x:v>
      </x:c>
      <x:c r="H26" s="11" t="str">
        <x:v>Evidencia aprobación</x:v>
      </x:c>
      <x:c r="I26" s="2"/>
      <x:c r="J26" s="2"/>
      <x:c r="K26" s="2"/>
      <x:c r="L26" s="2"/>
      <x:c r="M26" s="2"/>
      <x:c r="N26" s="2"/>
      <x:c r="O26" s="2"/>
      <x:c r="P26" s="2"/>
    </x:row>
    <x:row r="27" ht="110" customHeight="1">
      <x:c r="A27" s="6" t="str">
        <x:v>ACK01</x:v>
      </x:c>
      <x:c r="B27" s="6" t="str">
        <x:v>S3-006: el filtro por responsable puede omitir Project.</x:v>
      </x:c>
      <x:c r="C27" s="6" t="str">
        <x:v>BA02 / BA15</x:v>
      </x:c>
      <x:c r="D27" s="13" t="str"/>
      <x:c r="E27" s="13" t="str"/>
      <x:c r="F27" s="13" t="str"/>
      <x:c r="G27" s="14" t="str"/>
      <x:c r="H27" s="13" t="str"/>
      <x:c r="I27" s="2"/>
      <x:c r="J27" s="2"/>
      <x:c r="K27" s="2"/>
      <x:c r="L27" s="2"/>
      <x:c r="M27" s="2"/>
      <x:c r="N27" s="2"/>
      <x:c r="O27" s="2"/>
      <x:c r="P27" s="2"/>
    </x:row>
    <x:row r="28" ht="110" customHeight="1">
      <x:c r="A28" s="6" t="str">
        <x:v>ACK02</x:v>
      </x:c>
      <x:c r="B28" s="6" t="str">
        <x:v>4 MISSING no bloqueantes: environmental-social-readiness, land-access-readiness, stakeholder-readiness, technical-assurance. No se consideran satisfechos.</x:v>
      </x:c>
      <x:c r="C28" s="6" t="str">
        <x:v>BA14</x:v>
      </x:c>
      <x:c r="D28" s="13" t="str"/>
      <x:c r="E28" s="13" t="str"/>
      <x:c r="F28" s="13" t="str"/>
      <x:c r="G28" s="14" t="str"/>
      <x:c r="H28" s="13" t="str"/>
      <x:c r="I28" s="2"/>
      <x:c r="J28" s="2"/>
      <x:c r="K28" s="2"/>
      <x:c r="L28" s="2"/>
      <x:c r="M28" s="2"/>
      <x:c r="N28" s="2"/>
      <x:c r="O28" s="2"/>
      <x:c r="P28" s="2"/>
    </x:row>
    <x:row r="29" ht="110" customHeight="1">
      <x:c r="A29" s="6" t="str">
        <x:v>ACK03</x:v>
      </x:c>
      <x:c r="B29" s="6" t="str">
        <x:v>Controles: aislamiento tenant, RBAC, SoD e independencia de publicación, QRA, Gate, FID, validación Class B e inicialización / activación.</x:v>
      </x:c>
      <x:c r="C29" s="6" t="str">
        <x:v>BA01 / BA02 / BA14 / BA15</x:v>
      </x:c>
      <x:c r="D29" s="13" t="str"/>
      <x:c r="E29" s="13" t="str"/>
      <x:c r="F29" s="13" t="str"/>
      <x:c r="G29" s="14" t="str"/>
      <x:c r="H29" s="13" t="str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</x:sheetData>
  <x:conditionalFormatting sqref="H8:H22">
    <x:cfRule type="containsText" dxfId="0" priority="1" operator="containsText" text="PENDING"/>
    <x:cfRule type="containsText" dxfId="1" priority="2" operator="containsText" text="REJECT"/>
  </x:conditionalFormatting>
  <x:dataValidations count="3">
    <x:dataValidation type="list" sqref="H8:H22">
      <x:formula1>"ACCEPT,ACCEPT_WITH_CONDITIONS,REJECT"</x:formula1>
    </x:dataValidation>
    <x:dataValidation type="list" sqref="K8:K22">
      <x:formula1>'02_Acceptance_Conditions'!$A$8:$A$15</x:formula1>
    </x:dataValidation>
    <x:dataValidation type="list" sqref="D27:D2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dcd065507437b"/>
  </x:tableParts>
</x:worksheet>
</file>

<file path=xl/worksheets/sheet2.xml><?xml version="1.0" encoding="utf-8"?>
<x:worksheet xmlns:x="http://schemas.openxmlformats.org/spreadsheetml/2006/main">
  <x:sheetPr>
    <x:tabColor rgb="FF244C70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2" hidden="0" customWidth="1"/>
    <x:col min="4" max="4" width="56" hidden="0" customWidth="1"/>
    <x:col min="5" max="5" width="20" hidden="0" customWidth="1"/>
    <x:col min="6" max="6" width="20" hidden="0" customWidth="1"/>
    <x:col min="7" max="7" width="68" hidden="0" customWidth="1"/>
    <x:col min="8" max="8" width="28" hidden="0" customWidth="1"/>
    <x:col min="9" max="9" width="20" hidden="0" customWidth="1"/>
    <x:col min="10" max="10" width="29" hidden="0" customWidth="1"/>
    <x:col min="11" max="11" width="35" hidden="0" customWidth="1"/>
    <x:col min="12" max="12" width="28" hidden="0" customWidth="1"/>
    <x:col min="13" max="13" width="34" hidden="0" customWidth="1"/>
    <x:col min="14" max="14" width="18" hidden="0" customWidth="1"/>
    <x:col min="15" max="15" width="45" hidden="0" customWidth="1"/>
    <x:col min="16" max="16" width="20" hidden="0" customWidth="1"/>
    <x:col min="17" max="17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3" t="str">
        <x:v>Condiciones propuestas de aceptación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 t="str">
        <x:v>Propuestas sin aceptación. ¿Bloquea liberación? describe el impacto vigente. Una resolución aprobada requiere documentar NO para dejar de bloquear.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42" customHeight="1">
      <x:c r="A7" s="11" t="str">
        <x:v>Condición ID</x:v>
      </x:c>
      <x:c r="B7" s="11" t="str">
        <x:v>Áreas propuestas</x:v>
      </x:c>
      <x:c r="C7" s="11" t="str">
        <x:v>Hallazgo / observación ID</x:v>
      </x:c>
      <x:c r="D7" s="11" t="str">
        <x:v>Descripción</x:v>
      </x:c>
      <x:c r="E7" s="11" t="str">
        <x:v>Severidad técnica</x:v>
      </x:c>
      <x:c r="F7" s="11" t="str">
        <x:v>¿Bloquea liberación?</x:v>
      </x:c>
      <x:c r="G7" s="11" t="str">
        <x:v>Workaround propuesto</x:v>
      </x:c>
      <x:c r="H7" s="11" t="str">
        <x:v>Responsable acordado</x:v>
      </x:c>
      <x:c r="I7" s="11" t="str">
        <x:v>Fecha objetivo acordada</x:v>
      </x:c>
      <x:c r="J7" s="11" t="str">
        <x:v>Estado empresarial</x:v>
      </x:c>
      <x:c r="K7" s="11" t="str">
        <x:v>Aprobación evidencia</x:v>
      </x:c>
      <x:c r="L7" s="11" t="str">
        <x:v>Persona autorizada</x:v>
      </x:c>
      <x:c r="M7" s="11" t="str">
        <x:v>Base de autoridad</x:v>
      </x:c>
      <x:c r="N7" s="11" t="str">
        <x:v>Fecha decisión</x:v>
      </x:c>
      <x:c r="O7" s="11" t="str">
        <x:v>Justificación clasificación</x:v>
      </x:c>
      <x:c r="P7" s="11" t="str">
        <x:v>Condición documentada</x:v>
      </x:c>
      <x:c r="Q7" s="11" t="str">
        <x:v>S1 / S2 abierto</x:v>
      </x:c>
    </x:row>
    <x:row r="8" ht="110" customHeight="1">
      <x:c r="A8" s="6" t="str">
        <x:v>COND01</x:v>
      </x:c>
      <x:c r="B8" s="6" t="str">
        <x:v>BA02, BA15</x:v>
      </x:c>
      <x:c r="C8" s="6" t="str">
        <x:v>UAT-S3-006</x:v>
      </x:c>
      <x:c r="D8" s="6" t="str">
        <x:v>Home omite responsable y plantilla y el filtro por responsable puede omitir Project</x:v>
      </x:c>
      <x:c r="E8" s="6" t="str">
        <x:v>S3 MAJOR</x:v>
      </x:c>
      <x:c r="F8" s="13" t="str"/>
      <x:c r="G8" s="6" t="str">
        <x:v>Overview canónico, Enterprise Explorer o ruta directa sin filtro por responsable.</x:v>
      </x:c>
      <x:c r="H8" s="13" t="str"/>
      <x:c r="I8" s="14" t="str"/>
      <x:c r="J8" s="13" t="str">
        <x:v>PROPOSED_NOT_ACCEPTED</x:v>
      </x:c>
      <x:c r="K8" s="13" t="str"/>
      <x:c r="L8" s="13" t="str"/>
      <x:c r="M8" s="13" t="str"/>
      <x:c r="N8" s="14" t="str"/>
      <x:c r="O8" s="13" t="str"/>
      <x:c r="P8" s="6" t="n">
        <x:f>IF(AND(OR(J8="ACCEPTED_OPEN",J8="RESOLVED"),F8="NO",G8&lt;&gt;"",H8&lt;&gt;"",ISNUMBER(I8),K8&lt;&gt;"",L8&lt;&gt;"",M8&lt;&gt;"",ISNUMBER(N8)),1,0)</x:f>
        <x:v>0</x:v>
      </x:c>
      <x:c r="Q8" s="6" t="n">
        <x:f>IF(AND(OR(LEFT(E8,2)="S1",LEFT(E8,2)="S2"),J8="ACCEPTED_OPEN"),1,0)</x:f>
        <x:v>0</x:v>
      </x:c>
    </x:row>
    <x:row r="9" ht="110" customHeight="1">
      <x:c r="A9" s="6" t="str">
        <x:v>COND02</x:v>
      </x:c>
      <x:c r="B9" s="6" t="str">
        <x:v>BA01, BA02</x:v>
      </x:c>
      <x:c r="C9" s="6" t="str">
        <x:v>UAT-S4-001</x:v>
      </x:c>
      <x:c r="D9" s="6" t="str">
        <x:v>Navegación puede mostrar rutas no aplicables</x:v>
      </x:c>
      <x:c r="E9" s="6" t="str">
        <x:v>S4 MINOR</x:v>
      </x:c>
      <x:c r="F9" s="13" t="str"/>
      <x:c r="G9" s="6" t="str">
        <x:v>Usar elegibilidad y allowed_actions del backend.</x:v>
      </x:c>
      <x:c r="H9" s="13" t="str"/>
      <x:c r="I9" s="14" t="str"/>
      <x:c r="J9" s="13" t="str">
        <x:v>PROPOSED_NOT_ACCEPTED</x:v>
      </x:c>
      <x:c r="K9" s="13" t="str"/>
      <x:c r="L9" s="13" t="str"/>
      <x:c r="M9" s="13" t="str"/>
      <x:c r="N9" s="14" t="str"/>
      <x:c r="O9" s="13" t="str"/>
      <x:c r="P9" s="6" t="n">
        <x:f>IF(AND(OR(J9="ACCEPTED_OPEN",J9="RESOLVED"),F9="NO",G9&lt;&gt;"",H9&lt;&gt;"",ISNUMBER(I9),K9&lt;&gt;"",L9&lt;&gt;"",M9&lt;&gt;"",ISNUMBER(N9)),1,0)</x:f>
        <x:v>0</x:v>
      </x:c>
      <x:c r="Q9" s="6" t="n">
        <x:f>IF(AND(OR(LEFT(E9,2)="S1",LEFT(E9,2)="S2"),J9="ACCEPTED_OPEN"),1,0)</x:f>
        <x:v>0</x:v>
      </x:c>
    </x:row>
    <x:row r="10" ht="110" customHeight="1">
      <x:c r="A10" s="6" t="str">
        <x:v>COND03</x:v>
      </x:c>
      <x:c r="B10" s="6" t="str">
        <x:v>BA08</x:v>
      </x:c>
      <x:c r="C10" s="6" t="str">
        <x:v>UAT-S4-002</x:v>
      </x:c>
      <x:c r="D10" s="6" t="str">
        <x:v>Renderers legacy de Business Case pendientes de deprecación</x:v>
      </x:c>
      <x:c r="E10" s="6" t="str">
        <x:v>S4 MINOR</x:v>
      </x:c>
      <x:c r="F10" s="13" t="str"/>
      <x:c r="G10" s="6" t="str">
        <x:v>Usar rutas canónicas Five Case; no retirar enlaces históricos sin revisar consumidores.</x:v>
      </x:c>
      <x:c r="H10" s="13" t="str"/>
      <x:c r="I10" s="14" t="str"/>
      <x:c r="J10" s="13" t="str">
        <x:v>PROPOSED_NOT_ACCEPTED</x:v>
      </x:c>
      <x:c r="K10" s="13" t="str"/>
      <x:c r="L10" s="13" t="str"/>
      <x:c r="M10" s="13" t="str"/>
      <x:c r="N10" s="14" t="str"/>
      <x:c r="O10" s="13" t="str"/>
      <x:c r="P10" s="6" t="n">
        <x:f>IF(AND(OR(J10="ACCEPTED_OPEN",J10="RESOLVED"),F10="NO",G10&lt;&gt;"",H10&lt;&gt;"",ISNUMBER(I10),K10&lt;&gt;"",L10&lt;&gt;"",M10&lt;&gt;"",ISNUMBER(N10)),1,0)</x:f>
        <x:v>0</x:v>
      </x:c>
      <x:c r="Q10" s="6" t="n">
        <x:f>IF(AND(OR(LEFT(E10,2)="S1",LEFT(E10,2)="S2"),J10="ACCEPTED_OPEN"),1,0)</x:f>
        <x:v>0</x:v>
      </x:c>
    </x:row>
    <x:row r="11" ht="110" customHeight="1">
      <x:c r="A11" s="6" t="str">
        <x:v>COND04</x:v>
      </x:c>
      <x:c r="B11" s="6" t="str">
        <x:v>BA02</x:v>
      </x:c>
      <x:c r="C11" s="6" t="str">
        <x:v>UAT-S4-003</x:v>
      </x:c>
      <x:c r="D11" s="6" t="str">
        <x:v>Clasificación metadata de Explorer incompleta</x:v>
      </x:c>
      <x:c r="E11" s="6" t="str">
        <x:v>S4 MINOR</x:v>
      </x:c>
      <x:c r="F11" s="13" t="str"/>
      <x:c r="G11" s="6" t="str">
        <x:v>Distinguir lectura compartida de creación y lifecycle USER según guías.</x:v>
      </x:c>
      <x:c r="H11" s="13" t="str"/>
      <x:c r="I11" s="14" t="str"/>
      <x:c r="J11" s="13" t="str">
        <x:v>PROPOSED_NOT_ACCEPTED</x:v>
      </x:c>
      <x:c r="K11" s="13" t="str"/>
      <x:c r="L11" s="13" t="str"/>
      <x:c r="M11" s="13" t="str"/>
      <x:c r="N11" s="14" t="str"/>
      <x:c r="O11" s="13" t="str"/>
      <x:c r="P11" s="6" t="n">
        <x:f>IF(AND(OR(J11="ACCEPTED_OPEN",J11="RESOLVED"),F11="NO",G11&lt;&gt;"",H11&lt;&gt;"",ISNUMBER(I11),K11&lt;&gt;"",L11&lt;&gt;"",M11&lt;&gt;"",ISNUMBER(N11)),1,0)</x:f>
        <x:v>0</x:v>
      </x:c>
      <x:c r="Q11" s="6" t="n">
        <x:f>IF(AND(OR(LEFT(E11,2)="S1",LEFT(E11,2)="S2"),J11="ACCEPTED_OPEN"),1,0)</x:f>
        <x:v>0</x:v>
      </x:c>
    </x:row>
    <x:row r="12" ht="110" customHeight="1">
      <x:c r="A12" s="6" t="str">
        <x:v>COND05</x:v>
      </x:c>
      <x:c r="B12" s="6" t="str">
        <x:v>BA14</x:v>
      </x:c>
      <x:c r="C12" s="6" t="str">
        <x:v>UAT-S4-004</x:v>
      </x:c>
      <x:c r="D12" s="6" t="str">
        <x:v>Desbordamiento de hashes texto y badges en Gate</x:v>
      </x:c>
      <x:c r="E12" s="6" t="str">
        <x:v>S4 MINOR</x:v>
      </x:c>
      <x:c r="F12" s="13" t="str"/>
      <x:c r="G12" s="6" t="str">
        <x:v>Viewport amplio y consulta de evidencia API histórica; pendiente ajuste focalizado de wrapping.</x:v>
      </x:c>
      <x:c r="H12" s="13" t="str"/>
      <x:c r="I12" s="14" t="str"/>
      <x:c r="J12" s="13" t="str">
        <x:v>PROPOSED_NOT_ACCEPTED</x:v>
      </x:c>
      <x:c r="K12" s="13" t="str"/>
      <x:c r="L12" s="13" t="str"/>
      <x:c r="M12" s="13" t="str"/>
      <x:c r="N12" s="14" t="str"/>
      <x:c r="O12" s="13" t="str"/>
      <x:c r="P12" s="6" t="n">
        <x:f>IF(AND(OR(J12="ACCEPTED_OPEN",J12="RESOLVED"),F12="NO",G12&lt;&gt;"",H12&lt;&gt;"",ISNUMBER(I12),K12&lt;&gt;"",L12&lt;&gt;"",M12&lt;&gt;"",ISNUMBER(N12)),1,0)</x:f>
        <x:v>0</x:v>
      </x:c>
      <x:c r="Q12" s="6" t="n">
        <x:f>IF(AND(OR(LEFT(E12,2)="S1",LEFT(E12,2)="S2"),J12="ACCEPTED_OPEN"),1,0)</x:f>
        <x:v>0</x:v>
      </x:c>
    </x:row>
    <x:row r="13" ht="110" customHeight="1">
      <x:c r="A13" s="6" t="str">
        <x:v>COND06</x:v>
      </x:c>
      <x:c r="B13" s="6" t="str">
        <x:v>BA01, BA02</x:v>
      </x:c>
      <x:c r="C13" s="6" t="str">
        <x:v>UAT-S4-005</x:v>
      </x:c>
      <x:c r="D13" s="6" t="str">
        <x:v>Navegación móvil extensa y orden visual confuso</x:v>
      </x:c>
      <x:c r="E13" s="6" t="str">
        <x:v>S4 MINOR</x:v>
      </x:c>
      <x:c r="F13" s="13" t="str"/>
      <x:c r="G13" s="6" t="str">
        <x:v>Colapsar navegación o usar escritorio.</x:v>
      </x:c>
      <x:c r="H13" s="13" t="str"/>
      <x:c r="I13" s="14" t="str"/>
      <x:c r="J13" s="13" t="str">
        <x:v>PROPOSED_NOT_ACCEPTED</x:v>
      </x:c>
      <x:c r="K13" s="13" t="str"/>
      <x:c r="L13" s="13" t="str"/>
      <x:c r="M13" s="13" t="str"/>
      <x:c r="N13" s="14" t="str"/>
      <x:c r="O13" s="13" t="str"/>
      <x:c r="P13" s="6" t="n">
        <x:f>IF(AND(OR(J13="ACCEPTED_OPEN",J13="RESOLVED"),F13="NO",G13&lt;&gt;"",H13&lt;&gt;"",ISNUMBER(I13),K13&lt;&gt;"",L13&lt;&gt;"",M13&lt;&gt;"",ISNUMBER(N13)),1,0)</x:f>
        <x:v>0</x:v>
      </x:c>
      <x:c r="Q13" s="6" t="n">
        <x:f>IF(AND(OR(LEFT(E13,2)="S1",LEFT(E13,2)="S2"),J13="ACCEPTED_OPEN"),1,0)</x:f>
        <x:v>0</x:v>
      </x:c>
    </x:row>
    <x:row r="14" ht="110" customHeight="1">
      <x:c r="A14" s="6" t="str">
        <x:v>COND07</x:v>
      </x:c>
      <x:c r="B14" s="6" t="str">
        <x:v>BA14</x:v>
      </x:c>
      <x:c r="C14" s="6" t="str">
        <x:v>OBS-UI-01</x:v>
      </x:c>
      <x:c r="D14" s="6" t="str">
        <x:v>Gate header BLOCKED Governance con cuerpo READY_FOR_INVESTMENT_DECISION</x:v>
      </x:c>
      <x:c r="E14" s="6" t="str">
        <x:v>OBSERVATION</x:v>
      </x:c>
      <x:c r="F14" s="13" t="str"/>
      <x:c r="G14" s="6" t="str">
        <x:v>Revisar readiness, handoff y paquete autoritativo junto con la captura; no reescribir backend.</x:v>
      </x:c>
      <x:c r="H14" s="13" t="str"/>
      <x:c r="I14" s="14" t="str"/>
      <x:c r="J14" s="13" t="str">
        <x:v>PROPOSED_NOT_ACCEPTED</x:v>
      </x:c>
      <x:c r="K14" s="13" t="str"/>
      <x:c r="L14" s="13" t="str"/>
      <x:c r="M14" s="13" t="str"/>
      <x:c r="N14" s="14" t="str"/>
      <x:c r="O14" s="13" t="str"/>
      <x:c r="P14" s="6" t="n">
        <x:f>IF(AND(OR(J14="ACCEPTED_OPEN",J14="RESOLVED"),F14="NO",G14&lt;&gt;"",H14&lt;&gt;"",ISNUMBER(I14),K14&lt;&gt;"",L14&lt;&gt;"",M14&lt;&gt;"",ISNUMBER(N14)),1,0)</x:f>
        <x:v>0</x:v>
      </x:c>
      <x:c r="Q14" s="6" t="n">
        <x:f>IF(AND(OR(LEFT(E14,2)="S1",LEFT(E14,2)="S2"),J14="ACCEPTED_OPEN"),1,0)</x:f>
        <x:v>0</x:v>
      </x:c>
    </x:row>
    <x:row r="15" ht="110" customHeight="1">
      <x:c r="A15" s="6" t="str">
        <x:v>COND08</x:v>
      </x:c>
      <x:c r="B15" s="6" t="str">
        <x:v>BA15</x:v>
      </x:c>
      <x:c r="C15" s="6" t="str">
        <x:v>OBS-UI-02</x:v>
      </x:c>
      <x:c r="D15" s="6" t="str">
        <x:v>Post FID presenta guiones en columnas con API ACTIVATED</x:v>
      </x:c>
      <x:c r="E15" s="6" t="str">
        <x:v>OBSERVATION</x:v>
      </x:c>
      <x:c r="F15" s="13" t="str"/>
      <x:c r="G15" s="6" t="str">
        <x:v>Consultar initialization_state autoritativo y Overview; no inferir un estado nuevo desde guiones.</x:v>
      </x:c>
      <x:c r="H15" s="13" t="str"/>
      <x:c r="I15" s="14" t="str"/>
      <x:c r="J15" s="13" t="str">
        <x:v>PROPOSED_NOT_ACCEPTED</x:v>
      </x:c>
      <x:c r="K15" s="13" t="str"/>
      <x:c r="L15" s="13" t="str"/>
      <x:c r="M15" s="13" t="str"/>
      <x:c r="N15" s="14" t="str"/>
      <x:c r="O15" s="13" t="str"/>
      <x:c r="P15" s="6" t="n">
        <x:f>IF(AND(OR(J15="ACCEPTED_OPEN",J15="RESOLVED"),F15="NO",G15&lt;&gt;"",H15&lt;&gt;"",ISNUMBER(I15),K15&lt;&gt;"",L15&lt;&gt;"",M15&lt;&gt;"",ISNUMBER(N15)),1,0)</x:f>
        <x:v>0</x:v>
      </x:c>
      <x:c r="Q15" s="6" t="n">
        <x:f>IF(AND(OR(LEFT(E15,2)="S1",LEFT(E15,2)="S2"),J15="ACCEPTED_OPEN"),1,0)</x:f>
        <x:v>0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</x:sheetData>
  <x:conditionalFormatting sqref="J8:J15">
    <x:cfRule type="containsText" dxfId="2" priority="1" operator="containsText" text="PENDING"/>
    <x:cfRule type="containsText" dxfId="3" priority="2" operator="containsText" text="REJECT"/>
  </x:conditionalFormatting>
  <x:dataValidations count="2">
    <x:dataValidation type="list" sqref="F8:F15">
      <x:formula1>"YES,NO"</x:formula1>
    </x:dataValidation>
    <x:dataValidation type="list" sqref="J8:J15">
      <x:formula1>"PROPOSED_NOT_ACCEPTED,ACCEPTED_OPEN,RESOLVED,REJECTED"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c2f98e92da4c55"/>
  </x:tableParts>
</x:worksheet>
</file>

<file path=xl/worksheets/sheet3.xml><?xml version="1.0" encoding="utf-8"?>
<x:worksheet xmlns:x="http://schemas.openxmlformats.org/spreadsheetml/2006/main">
  <x:sheetPr>
    <x:tabColor rgb="FF244C70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3" hidden="0" customWidth="1"/>
    <x:col min="4" max="4" width="69" hidden="0" customWidth="1"/>
    <x:col min="5" max="5" width="66" hidden="0" customWidth="1"/>
    <x:col min="6" max="6" width="24" hidden="0" customWidth="1"/>
    <x:col min="7" max="7" width="38" hidden="0" customWidth="1"/>
    <x:col min="8" max="8" width="46" hidden="0" customWidth="1"/>
    <x:col min="9" max="9" width="28" hidden="0" customWidth="1"/>
    <x:col min="10" max="10" width="18" hidden="0" customWidth="1"/>
    <x:col min="11" max="11" width="28" hidden="0" customWidth="1"/>
    <x:col min="12" max="12" width="34" hidden="0" customWidth="1"/>
    <x:col min="13" max="13" width="18" hidden="0" customWidth="1"/>
    <x:col min="14" max="14" width="36" hidden="0" customWidth="1"/>
    <x:col min="15" max="15" width="22" hidden="0" customWidth="1"/>
    <x:col min="16" max="16" width="18" hidden="0" customWidth="1"/>
    <x:col min="17" max="17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3" t="str">
        <x:v>Hallazgos y observaciones por revisar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 t="str">
        <x:v>6 hallazgos abiertos y 2 observaciones UI. Sin cierre ni aceptación por silencio.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42" customHeight="1">
      <x:c r="A7" s="11" t="str">
        <x:v>ID</x:v>
      </x:c>
      <x:c r="B7" s="11" t="str">
        <x:v>Severidad técnica</x:v>
      </x:c>
      <x:c r="C7" s="11" t="str">
        <x:v>Estado técnico</x:v>
      </x:c>
      <x:c r="D7" s="11" t="str">
        <x:v>Impacto empresarial divulgado</x:v>
      </x:c>
      <x:c r="E7" s="11" t="str">
        <x:v>Workaround propuesto</x:v>
      </x:c>
      <x:c r="F7" s="11" t="str">
        <x:v>Evidencias propuestas</x:v>
      </x:c>
      <x:c r="G7" s="11" t="str">
        <x:v>Disposición empresarial</x:v>
      </x:c>
      <x:c r="H7" s="11" t="str">
        <x:v>Justificación / clasificación</x:v>
      </x:c>
      <x:c r="I7" s="11" t="str">
        <x:v>Responsable acordado</x:v>
      </x:c>
      <x:c r="J7" s="11" t="str">
        <x:v>Fecha objetivo</x:v>
      </x:c>
      <x:c r="K7" s="11" t="str">
        <x:v>Representante autorizado</x:v>
      </x:c>
      <x:c r="L7" s="11" t="str">
        <x:v>Base autoridad</x:v>
      </x:c>
      <x:c r="M7" s="11" t="str">
        <x:v>Fecha decisión</x:v>
      </x:c>
      <x:c r="N7" s="11" t="str">
        <x:v>Evidencia aprobación</x:v>
      </x:c>
      <x:c r="O7" s="11" t="str">
        <x:v>Reconocimiento explícito</x:v>
      </x:c>
      <x:c r="P7" s="11" t="str">
        <x:v>Revisión completa</x:v>
      </x:c>
      <x:c r="Q7" s="11" t="str">
        <x:v>S1 / S2 abierto</x:v>
      </x:c>
    </x:row>
    <x:row r="8" ht="130" customHeight="1">
      <x:c r="A8" s="6" t="str">
        <x:v>UAT-S3-006</x:v>
      </x:c>
      <x:c r="B8" s="6" t="str">
        <x:v>S3 MAJOR</x:v>
      </x:c>
      <x:c r="C8" s="6" t="str">
        <x:v>OPEN</x:v>
      </x:c>
      <x:c r="D8" s="6" t="str">
        <x:v>Presentación, lista, filtro y ETag; no hay evidencia actual de consumo en autorización, lifecycle, elegibilidad o selección. No certifica clientes externos.</x:v>
      </x:c>
      <x:c r="E8" s="6" t="str">
        <x:v>Overview canónico, Enterprise Explorer o ruta directa sin filtro por responsable.</x:v>
      </x:c>
      <x:c r="F8" s="6" t="str">
        <x:v>E17, E18</x:v>
      </x:c>
      <x:c r="G8" s="13" t="str"/>
      <x:c r="H8" s="13" t="str"/>
      <x:c r="I8" s="13" t="str"/>
      <x:c r="J8" s="14" t="str"/>
      <x:c r="K8" s="13" t="str"/>
      <x:c r="L8" s="13" t="str"/>
      <x:c r="M8" s="14" t="str"/>
      <x:c r="N8" s="13" t="str"/>
      <x:c r="O8" s="13" t="str"/>
      <x:c r="P8" s="6" t="n">
        <x:f>IF(AND(OR(G8="ACCEPT_CONDITION",G8="RECLASSIFY_WITH_JUSTIFICATION"),H8&lt;&gt;"",I8&lt;&gt;"",ISNUMBER(J8),K8&lt;&gt;"",L8&lt;&gt;"",ISNUMBER(M8),N8&lt;&gt;"",O8="YES"),1,0)</x:f>
        <x:v>0</x:v>
      </x:c>
      <x:c r="Q8" s="6" t="n">
        <x:f>IF(AND(OR(LEFT(B8,2)="S1",LEFT(B8,2)="S2"),C8="OPEN"),1,0)</x:f>
        <x:v>0</x:v>
      </x:c>
    </x:row>
    <x:row r="9" ht="130" customHeight="1">
      <x:c r="A9" s="6" t="str">
        <x:v>UAT-S4-001</x:v>
      </x:c>
      <x:c r="B9" s="6" t="str">
        <x:v>S4 MINOR</x:v>
      </x:c>
      <x:c r="C9" s="6" t="str">
        <x:v>OPEN</x:v>
      </x:c>
      <x:c r="D9" s="6" t="str">
        <x:v>La presencia en el menú no significa requisito ni otorga autoridad.</x:v>
      </x:c>
      <x:c r="E9" s="6" t="str">
        <x:v>Usar elegibilidad y allowed_actions del backend.</x:v>
      </x:c>
      <x:c r="F9" s="6" t="str">
        <x:v>E19</x:v>
      </x:c>
      <x:c r="G9" s="13" t="str"/>
      <x:c r="H9" s="13" t="str"/>
      <x:c r="I9" s="13" t="str"/>
      <x:c r="J9" s="14" t="str"/>
      <x:c r="K9" s="13" t="str"/>
      <x:c r="L9" s="13" t="str"/>
      <x:c r="M9" s="14" t="str"/>
      <x:c r="N9" s="13" t="str"/>
      <x:c r="O9" s="13" t="str"/>
      <x:c r="P9" s="6" t="n">
        <x:f>IF(AND(OR(G9="ACCEPT_CONDITION",G9="RECLASSIFY_WITH_JUSTIFICATION"),H9&lt;&gt;"",I9&lt;&gt;"",ISNUMBER(J9),K9&lt;&gt;"",L9&lt;&gt;"",ISNUMBER(M9),N9&lt;&gt;"",O9="YES"),1,0)</x:f>
        <x:v>0</x:v>
      </x:c>
      <x:c r="Q9" s="6" t="n">
        <x:f>IF(AND(OR(LEFT(B9,2)="S1",LEFT(B9,2)="S2"),C9="OPEN"),1,0)</x:f>
        <x:v>0</x:v>
      </x:c>
    </x:row>
    <x:row r="10" ht="130" customHeight="1">
      <x:c r="A10" s="6" t="str">
        <x:v>UAT-S4-002</x:v>
      </x:c>
      <x:c r="B10" s="6" t="str">
        <x:v>S4 MINOR</x:v>
      </x:c>
      <x:c r="C10" s="6" t="str">
        <x:v>OPEN</x:v>
      </x:c>
      <x:c r="D10" s="6" t="str">
        <x:v>Once renderers fuera del registro canónico pueden tener consumidores externos aún no confirmados.</x:v>
      </x:c>
      <x:c r="E10" s="6" t="str">
        <x:v>Usar rutas canónicas Five Case; no retirar enlaces históricos sin revisar consumidores.</x:v>
      </x:c>
      <x:c r="F10" s="6" t="str">
        <x:v>E19</x:v>
      </x:c>
      <x:c r="G10" s="13" t="str"/>
      <x:c r="H10" s="13" t="str"/>
      <x:c r="I10" s="13" t="str"/>
      <x:c r="J10" s="14" t="str"/>
      <x:c r="K10" s="13" t="str"/>
      <x:c r="L10" s="13" t="str"/>
      <x:c r="M10" s="14" t="str"/>
      <x:c r="N10" s="13" t="str"/>
      <x:c r="O10" s="13" t="str"/>
      <x:c r="P10" s="6" t="n">
        <x:f>IF(AND(OR(G10="ACCEPT_CONDITION",G10="RECLASSIFY_WITH_JUSTIFICATION"),H10&lt;&gt;"",I10&lt;&gt;"",ISNUMBER(J10),K10&lt;&gt;"",L10&lt;&gt;"",ISNUMBER(M10),N10&lt;&gt;"",O10="YES"),1,0)</x:f>
        <x:v>0</x:v>
      </x:c>
      <x:c r="Q10" s="6" t="n">
        <x:f>IF(AND(OR(LEFT(B10,2)="S1",LEFT(B10,2)="S2"),C10="OPEN"),1,0)</x:f>
        <x:v>0</x:v>
      </x:c>
    </x:row>
    <x:row r="11" ht="130" customHeight="1">
      <x:c r="A11" s="6" t="str">
        <x:v>UAT-S4-003</x:v>
      </x:c>
      <x:c r="B11" s="6" t="str">
        <x:v>S4 MINOR</x:v>
      </x:c>
      <x:c r="C11" s="6" t="str">
        <x:v>OPEN</x:v>
      </x:c>
      <x:c r="D11" s="6" t="str">
        <x:v>READ_ONLY_SHARED no describe sus transacciones USER protegidas; no es un control de seguridad.</x:v>
      </x:c>
      <x:c r="E11" s="6" t="str">
        <x:v>Distinguir lectura compartida de creación y lifecycle USER según guías.</x:v>
      </x:c>
      <x:c r="F11" s="6" t="str">
        <x:v>E03, E19</x:v>
      </x:c>
      <x:c r="G11" s="13" t="str"/>
      <x:c r="H11" s="13" t="str"/>
      <x:c r="I11" s="13" t="str"/>
      <x:c r="J11" s="14" t="str"/>
      <x:c r="K11" s="13" t="str"/>
      <x:c r="L11" s="13" t="str"/>
      <x:c r="M11" s="14" t="str"/>
      <x:c r="N11" s="13" t="str"/>
      <x:c r="O11" s="13" t="str"/>
      <x:c r="P11" s="6" t="n">
        <x:f>IF(AND(OR(G11="ACCEPT_CONDITION",G11="RECLASSIFY_WITH_JUSTIFICATION"),H11&lt;&gt;"",I11&lt;&gt;"",ISNUMBER(J11),K11&lt;&gt;"",L11&lt;&gt;"",ISNUMBER(M11),N11&lt;&gt;"",O11="YES"),1,0)</x:f>
        <x:v>0</x:v>
      </x:c>
      <x:c r="Q11" s="6" t="n">
        <x:f>IF(AND(OR(LEFT(B11,2)="S1",LEFT(B11,2)="S2"),C11="OPEN"),1,0)</x:f>
        <x:v>0</x:v>
      </x:c>
    </x:row>
    <x:row r="12" ht="130" customHeight="1">
      <x:c r="A12" s="6" t="str">
        <x:v>UAT-S4-004</x:v>
      </x:c>
      <x:c r="B12" s="6" t="str">
        <x:v>S4 MINOR</x:v>
      </x:c>
      <x:c r="C12" s="6" t="str">
        <x:v>OPEN</x:v>
      </x:c>
      <x:c r="D12" s="6" t="str">
        <x:v>Legibilidad de tarjetas; reobservado en la captura técnica final.</x:v>
      </x:c>
      <x:c r="E12" s="6" t="str">
        <x:v>Viewport amplio y consulta de evidencia API histórica; pendiente ajuste focalizado de wrapping.</x:v>
      </x:c>
      <x:c r="F12" s="6" t="str">
        <x:v>E16, E19</x:v>
      </x:c>
      <x:c r="G12" s="13" t="str"/>
      <x:c r="H12" s="13" t="str"/>
      <x:c r="I12" s="13" t="str"/>
      <x:c r="J12" s="14" t="str"/>
      <x:c r="K12" s="13" t="str"/>
      <x:c r="L12" s="13" t="str"/>
      <x:c r="M12" s="14" t="str"/>
      <x:c r="N12" s="13" t="str"/>
      <x:c r="O12" s="13" t="str"/>
      <x:c r="P12" s="6" t="n">
        <x:f>IF(AND(OR(G12="ACCEPT_CONDITION",G12="RECLASSIFY_WITH_JUSTIFICATION"),H12&lt;&gt;"",I12&lt;&gt;"",ISNUMBER(J12),K12&lt;&gt;"",L12&lt;&gt;"",ISNUMBER(M12),N12&lt;&gt;"",O12="YES"),1,0)</x:f>
        <x:v>0</x:v>
      </x:c>
      <x:c r="Q12" s="6" t="n">
        <x:f>IF(AND(OR(LEFT(B12,2)="S1",LEFT(B12,2)="S2"),C12="OPEN"),1,0)</x:f>
        <x:v>0</x:v>
      </x:c>
    </x:row>
    <x:row r="13" ht="130" customHeight="1">
      <x:c r="A13" s="6" t="str">
        <x:v>UAT-S4-005</x:v>
      </x:c>
      <x:c r="B13" s="6" t="str">
        <x:v>S4 MINOR</x:v>
      </x:c>
      <x:c r="C13" s="6" t="str">
        <x:v>OPEN</x:v>
      </x:c>
      <x:c r="D13" s="6" t="str">
        <x:v>En 390 px la navegación ocupa aproximadamente 3700 px antes del contenido.</x:v>
      </x:c>
      <x:c r="E13" s="6" t="str">
        <x:v>Colapsar navegación o usar escritorio.</x:v>
      </x:c>
      <x:c r="F13" s="6" t="str">
        <x:v>E19</x:v>
      </x:c>
      <x:c r="G13" s="13" t="str"/>
      <x:c r="H13" s="13" t="str"/>
      <x:c r="I13" s="13" t="str"/>
      <x:c r="J13" s="14" t="str"/>
      <x:c r="K13" s="13" t="str"/>
      <x:c r="L13" s="13" t="str"/>
      <x:c r="M13" s="14" t="str"/>
      <x:c r="N13" s="13" t="str"/>
      <x:c r="O13" s="13" t="str"/>
      <x:c r="P13" s="6" t="n">
        <x:f>IF(AND(OR(G13="ACCEPT_CONDITION",G13="RECLASSIFY_WITH_JUSTIFICATION"),H13&lt;&gt;"",I13&lt;&gt;"",ISNUMBER(J13),K13&lt;&gt;"",L13&lt;&gt;"",ISNUMBER(M13),N13&lt;&gt;"",O13="YES"),1,0)</x:f>
        <x:v>0</x:v>
      </x:c>
      <x:c r="Q13" s="6" t="n">
        <x:f>IF(AND(OR(LEFT(B13,2)="S1",LEFT(B13,2)="S2"),C13="OPEN"),1,0)</x:f>
        <x:v>0</x:v>
      </x:c>
    </x:row>
    <x:row r="14" ht="130" customHeight="1">
      <x:c r="A14" s="6" t="str">
        <x:v>OBS-UI-01</x:v>
      </x:c>
      <x:c r="B14" s="6" t="str">
        <x:v>OBSERVATION</x:v>
      </x:c>
      <x:c r="C14" s="6" t="str">
        <x:v>REVIEW_REQUIRED</x:v>
      </x:c>
      <x:c r="D14" s="6" t="str">
        <x:v>Lectura inconsistente de estados; se conserva la observación literal sin explicación causal no verificada.</x:v>
      </x:c>
      <x:c r="E14" s="6" t="str">
        <x:v>Revisar readiness, handoff y paquete autoritativo junto con la captura; no reescribir backend.</x:v>
      </x:c>
      <x:c r="F14" s="6" t="str">
        <x:v>E16</x:v>
      </x:c>
      <x:c r="G14" s="13" t="str"/>
      <x:c r="H14" s="13" t="str"/>
      <x:c r="I14" s="13" t="str"/>
      <x:c r="J14" s="14" t="str"/>
      <x:c r="K14" s="13" t="str"/>
      <x:c r="L14" s="13" t="str"/>
      <x:c r="M14" s="14" t="str"/>
      <x:c r="N14" s="13" t="str"/>
      <x:c r="O14" s="13" t="str"/>
      <x:c r="P14" s="6" t="n">
        <x:f>IF(AND(OR(G14="ACCEPT_CONDITION",G14="RECLASSIFY_WITH_JUSTIFICATION"),H14&lt;&gt;"",I14&lt;&gt;"",ISNUMBER(J14),K14&lt;&gt;"",L14&lt;&gt;"",ISNUMBER(M14),N14&lt;&gt;"",O14="YES"),1,0)</x:f>
        <x:v>0</x:v>
      </x:c>
      <x:c r="Q14" s="6" t="n">
        <x:f>IF(AND(OR(LEFT(B14,2)="S1",LEFT(B14,2)="S2"),C14="OPEN"),1,0)</x:f>
        <x:v>0</x:v>
      </x:c>
    </x:row>
    <x:row r="15" ht="130" customHeight="1">
      <x:c r="A15" s="6" t="str">
        <x:v>OBS-UI-02</x:v>
      </x:c>
      <x:c r="B15" s="6" t="str">
        <x:v>OBSERVATION</x:v>
      </x:c>
      <x:c r="C15" s="6" t="str">
        <x:v>REVIEW_REQUIRED</x:v>
      </x:c>
      <x:c r="D15" s="6" t="str">
        <x:v>Columnas de inicialización y activación no muestran el lifecycle autoritativo cuando flags de elegibilidad son falsos.</x:v>
      </x:c>
      <x:c r="E15" s="6" t="str">
        <x:v>Consultar initialization_state autoritativo y Overview; no inferir un estado nuevo desde guiones.</x:v>
      </x:c>
      <x:c r="F15" s="6" t="str">
        <x:v>E16, E17</x:v>
      </x:c>
      <x:c r="G15" s="13" t="str"/>
      <x:c r="H15" s="13" t="str"/>
      <x:c r="I15" s="13" t="str"/>
      <x:c r="J15" s="14" t="str"/>
      <x:c r="K15" s="13" t="str"/>
      <x:c r="L15" s="13" t="str"/>
      <x:c r="M15" s="14" t="str"/>
      <x:c r="N15" s="13" t="str"/>
      <x:c r="O15" s="13" t="str"/>
      <x:c r="P15" s="6" t="n">
        <x:f>IF(AND(OR(G15="ACCEPT_CONDITION",G15="RECLASSIFY_WITH_JUSTIFICATION"),H15&lt;&gt;"",I15&lt;&gt;"",ISNUMBER(J15),K15&lt;&gt;"",L15&lt;&gt;"",ISNUMBER(M15),N15&lt;&gt;"",O15="YES"),1,0)</x:f>
        <x:v>0</x:v>
      </x:c>
      <x:c r="Q15" s="6" t="n">
        <x:f>IF(AND(OR(LEFT(B15,2)="S1",LEFT(B15,2)="S2"),C15="OPEN"),1,0)</x:f>
        <x:v>0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</x:sheetData>
  <x:conditionalFormatting sqref="G8:G15">
    <x:cfRule type="containsText" dxfId="4" priority="1" operator="containsText" text="PENDING"/>
    <x:cfRule type="containsText" dxfId="5" priority="2" operator="containsText" text="REJECT"/>
  </x:conditionalFormatting>
  <x:dataValidations count="2">
    <x:dataValidation type="list" sqref="G8:G15">
      <x:formula1>"ACCEPT_CONDITION,REJECT_RELEASE,RECLASSIFY_WITH_JUSTIFICATION"</x:formula1>
    </x:dataValidation>
    <x:dataValidation type="list" sqref="O8:O1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857e5c0bea4d4e"/>
  </x:tableParts>
</x:worksheet>
</file>

<file path=xl/worksheets/sheet4.xml><?xml version="1.0" encoding="utf-8"?>
<x:worksheet xmlns:x="http://schemas.openxmlformats.org/spreadsheetml/2006/main">
  <x:sheetPr>
    <x:tabColor rgb="FF244C70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0" hidden="0" customWidth="1"/>
    <x:col min="2" max="2" width="40" hidden="0" customWidth="1"/>
    <x:col min="3" max="3" width="29" hidden="0" customWidth="1"/>
    <x:col min="4" max="4" width="17" hidden="0" customWidth="1"/>
    <x:col min="5" max="5" width="76" hidden="0" customWidth="1"/>
    <x:col min="6" max="6" width="82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Evidencias propuestas para revisión</x:v>
      </x:c>
      <x:c r="B2" s="2"/>
      <x:c r="C2" s="2"/>
      <x:c r="D2" s="2"/>
      <x:c r="E2" s="2"/>
      <x:c r="F2" s="2"/>
    </x:row>
    <x:row r="3" ht="22" customHeight="1">
      <x:c r="A3" s="4"/>
      <x:c r="B3" s="4"/>
      <x:c r="C3" s="4"/>
      <x:c r="D3" s="4"/>
      <x:c r="E3" s="4"/>
      <x:c r="F3" s="4"/>
    </x:row>
    <x:row r="4" ht="22" customHeight="1">
      <x:c r="A4" s="2"/>
      <x:c r="B4" s="2"/>
      <x:c r="C4" s="2"/>
      <x:c r="D4" s="2"/>
      <x:c r="E4" s="2"/>
      <x:c r="F4" s="2"/>
    </x:row>
    <x:row r="5" ht="22" customHeight="1">
      <x:c r="A5" s="2" t="str">
        <x:v>Referencias propuestas. Este registro no declara evidencia revisada por personas.</x:v>
      </x:c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42" customHeight="1">
      <x:c r="A7" s="11" t="str">
        <x:v>ID</x:v>
      </x:c>
      <x:c r="B7" s="11" t="str">
        <x:v>Evidencia</x:v>
      </x:c>
      <x:c r="C7" s="11" t="str">
        <x:v>Tipo</x:v>
      </x:c>
      <x:c r="D7" s="11" t="str">
        <x:v>Corte</x:v>
      </x:c>
      <x:c r="E7" s="11" t="str">
        <x:v>Referencia controlada</x:v>
      </x:c>
      <x:c r="F7" s="11" t="str">
        <x:v>Alcance y límite</x:v>
      </x:c>
    </x:row>
    <x:row r="8" ht="82" customHeight="1">
      <x:c r="A8" s="6" t="str">
        <x:v>E01</x:v>
      </x:c>
      <x:c r="B8" s="6" t="str">
        <x:v>Business Process</x:v>
      </x:c>
      <x:c r="C8" s="6" t="str">
        <x:v>DOCUMENT</x:v>
      </x:c>
      <x:c r="D8" s="16" t="d">
        <x:v>2026-10-14T12:00:00.000Z</x:v>
      </x:c>
      <x:c r="E8" s="6" t="str">
        <x:v>outputs/strategic-final-uat-20261014/P&amp;Pmis_Strategic_Macroprocess_Business_Process.docx</x:v>
      </x:c>
      <x:c r="F8" s="6" t="str">
        <x:v>Descripción de uso y RACI propuesta; no firma empresarial.</x:v>
      </x:c>
    </x:row>
    <x:row r="9" ht="82" customHeight="1">
      <x:c r="A9" s="6" t="str">
        <x:v>E02</x:v>
      </x:c>
      <x:c r="B9" s="6" t="str">
        <x:v>User Guide</x:v>
      </x:c>
      <x:c r="C9" s="6" t="str">
        <x:v>DOCUMENT</x:v>
      </x:c>
      <x:c r="D9" s="16" t="d">
        <x:v>2026-10-14T12:00:00.000Z</x:v>
      </x:c>
      <x:c r="E9" s="6" t="str">
        <x:v>outputs/strategic-final-uat-20261014/P&amp;Pmis_Strategic_Macroprocess_User_Guide.docx</x:v>
      </x:c>
      <x:c r="F9" s="6" t="str">
        <x:v>Guía de uso; vigencia complementada por addendum del paquete.</x:v>
      </x:c>
    </x:row>
    <x:row r="10" ht="82" customHeight="1">
      <x:c r="A10" s="6" t="str">
        <x:v>E03</x:v>
      </x:c>
      <x:c r="B10" s="6" t="str">
        <x:v>Admin Guide</x:v>
      </x:c>
      <x:c r="C10" s="6" t="str">
        <x:v>DOCUMENT</x:v>
      </x:c>
      <x:c r="D10" s="16" t="d">
        <x:v>2026-10-15T12:00:00.000Z</x:v>
      </x:c>
      <x:c r="E10" s="6" t="str">
        <x:v>outputs/strategic-uat-remediation-20261015/P&amp;Pmis_Strategic_Macroprocess_Admin_Guide.docx</x:v>
      </x:c>
      <x:c r="F10" s="6" t="str">
        <x:v>La frase NO GO pertenece al corte histórico15; no es el estado técnico16/18.</x:v>
      </x:c>
    </x:row>
    <x:row r="11" ht="82" customHeight="1">
      <x:c r="A11" s="6" t="str">
        <x:v>E04</x:v>
      </x:c>
      <x:c r="B11" s="6" t="str">
        <x:v>UAT Plan and Results</x:v>
      </x:c>
      <x:c r="C11" s="6" t="str">
        <x:v>DOCUMENT</x:v>
      </x:c>
      <x:c r="D11" s="16" t="d">
        <x:v>2026-10-16T12:00:00.000Z</x:v>
      </x:c>
      <x:c r="E11" s="6" t="str">
        <x:v>outputs/gate07j-controlled-class-b-20261016/P&amp;Pmis_Strategic_Macroprocess_UAT_Plan_and_Results.docx</x:v>
      </x:c>
      <x:c r="F11" s="6" t="str">
        <x:v>Resultados técnicos e historia conservada; aceptación humana pendiente.</x:v>
      </x:c>
    </x:row>
    <x:row r="12" ht="82" customHeight="1">
      <x:c r="A12" s="6" t="str">
        <x:v>E05</x:v>
      </x:c>
      <x:c r="B12" s="6" t="str">
        <x:v>UAT Traceability</x:v>
      </x:c>
      <x:c r="C12" s="6" t="str">
        <x:v>WORKBOOK</x:v>
      </x:c>
      <x:c r="D12" s="16" t="d">
        <x:v>2026-10-16T12:00:00.000Z</x:v>
      </x:c>
      <x:c r="E12" s="6" t="str">
        <x:v>outputs/gate07j-controlled-class-b-20261016/P&amp;Pmis_Strategic_Macroprocess_UAT_Traceability.xlsx</x:v>
      </x:c>
      <x:c r="F12" s="6" t="str">
        <x:v>Historia técnica; no cambiar PASS o FAIL por aceptar una limitación.</x:v>
      </x:c>
    </x:row>
    <x:row r="13" ht="82" customHeight="1">
      <x:c r="A13" s="6" t="str">
        <x:v>E06</x:v>
      </x:c>
      <x:c r="B13" s="6" t="str">
        <x:v>Final Release Closeout</x:v>
      </x:c>
      <x:c r="C13" s="6" t="str">
        <x:v>DOCUMENT</x:v>
      </x:c>
      <x:c r="D13" s="16" t="d">
        <x:v>2026-10-16T12:00:00.000Z</x:v>
      </x:c>
      <x:c r="E13" s="6" t="str">
        <x:v>outputs/gate07j-controlled-class-b-20261016/P&amp;Pmis_Strategic_Macroprocess_Final_Release_Closeout.docx</x:v>
      </x:c>
      <x:c r="F13" s="6" t="str">
        <x:v>TECHNICALLY_READY_UAT_SIGNOFF_PENDING; sin decisiones nuevas no se modifica.</x:v>
      </x:c>
    </x:row>
    <x:row r="14" ht="82" customHeight="1">
      <x:c r="A14" s="6" t="str">
        <x:v>E07</x:v>
      </x:c>
      <x:c r="B14" s="6" t="str">
        <x:v>Resultados técnicos consolidados</x:v>
      </x:c>
      <x:c r="C14" s="6" t="str">
        <x:v>TECHNICAL_BASELINE</x:v>
      </x:c>
      <x:c r="D14" s="16" t="d">
        <x:v>2026-10-16T12:00:00.000Z</x:v>
      </x:c>
      <x:c r="E14" s="6" t="str">
        <x:v>docs/validation/gate07j-controlled-class-b/rebuild-results.json</x:v>
      </x:c>
      <x:c r="F14" s="6" t="str">
        <x:v>29/20/54+2/38/15/1 enfocados y broad898+16 se informan por separado.</x:v>
      </x:c>
    </x:row>
    <x:row r="15" ht="82" customHeight="1">
      <x:c r="A15" s="6" t="str">
        <x:v>E08</x:v>
      </x:c>
      <x:c r="B15" s="6" t="str">
        <x:v>Auditoría actual de baseline y Project14</x:v>
      </x:c>
      <x:c r="C15" s="6" t="str">
        <x:v>READ_ONLY_AUDIT</x:v>
      </x:c>
      <x:c r="D15" s="16" t="d">
        <x:v>2026-10-18T12:00:00.000Z</x:v>
      </x:c>
      <x:c r="E15" s="6" t="str">
        <x:v>docs/validation/business-uat-signoff-20261018/baseline.json</x:v>
      </x:c>
      <x:c r="F15" s="6" t="str">
        <x:v>HEAD6672fd5 y hashes de código/XML coincidentes; no reejecución de pruebas.</x:v>
      </x:c>
    </x:row>
    <x:row r="16" ht="82" customHeight="1">
      <x:c r="A16" s="6" t="str">
        <x:v>E09</x:v>
      </x:c>
      <x:c r="B16" s="6" t="str">
        <x:v>Regresión broad final</x:v>
      </x:c>
      <x:c r="C16" s="6" t="str">
        <x:v>HISTORICAL_TEST</x:v>
      </x:c>
      <x:c r="D16" s="16" t="d">
        <x:v>2026-10-16T12:00:00.000Z</x:v>
      </x:c>
      <x:c r="E16" s="6" t="str">
        <x:v>outputs/.qa/gate07j-controlled-class-b-rebuild/broad-clean/backend-strategic-regression-clean.xml</x:v>
      </x:c>
      <x:c r="F16" s="6" t="str">
        <x:v>898 PASS /0 FAIL/0 ERROR/16 SKIP; no sumas con focused.</x:v>
      </x:c>
    </x:row>
    <x:row r="17" ht="82" customHeight="1">
      <x:c r="A17" s="6" t="str">
        <x:v>E10</x:v>
      </x:c>
      <x:c r="B17" s="6" t="str">
        <x:v>Recorrido Chromium Capital Owner</x:v>
      </x:c>
      <x:c r="C17" s="6" t="str">
        <x:v>HISTORICAL_BROWSER_TEST</x:v>
      </x:c>
      <x:c r="D17" s="16" t="d">
        <x:v>2026-10-16T12:00:00.000Z</x:v>
      </x:c>
      <x:c r="E17" s="6" t="str">
        <x:v>outputs/.qa/gate07j-controlled-class-b-rebuild/browser-actual-3/strategic-capital-current.xml</x:v>
      </x:c>
      <x:c r="F17" s="6" t="str">
        <x:v>1 PASS; navegación real de registros existentes, no creación de todos mediante formularios.</x:v>
      </x:c>
    </x:row>
    <x:row r="18" ht="82" customHeight="1">
      <x:c r="A18" s="6" t="str">
        <x:v>E11</x:v>
      </x:c>
      <x:c r="B18" s="6" t="str">
        <x:v>RACI y responsabilidades reales propuestas</x:v>
      </x:c>
      <x:c r="C18" s="6" t="str">
        <x:v>SOURCE_REVIEW</x:v>
      </x:c>
      <x:c r="D18" s="16" t="d">
        <x:v>2026-10-14T12:00:00.000Z</x:v>
      </x:c>
      <x:c r="E18" s="6" t="str">
        <x:v>docs/validation/strategic-final-uat/backend-process-raci.csv</x:v>
      </x:c>
      <x:c r="F18" s="6" t="str">
        <x:v>PROC01-PROC35 derivados de permisos; no delegación ni autorización organizacional.</x:v>
      </x:c>
    </x:row>
    <x:row r="19" ht="82" customHeight="1">
      <x:c r="A19" s="6" t="str">
        <x:v>E12</x:v>
      </x:c>
      <x:c r="B19" s="6" t="str">
        <x:v>Contractor Delivery hasta activación</x:v>
      </x:c>
      <x:c r="C19" s="6" t="str">
        <x:v>HISTORICAL_SQLITE_HTTP</x:v>
      </x:c>
      <x:c r="D19" s="16" t="d">
        <x:v>2026-10-14T12:00:00.000Z</x:v>
      </x:c>
      <x:c r="E19" s="6" t="str">
        <x:v>docs/validation/strategic-final-uat/routes-sqlite/scenario-route-CONTRACTOR_DELIVERY.json</x:v>
      </x:c>
      <x:c r="F19" s="6" t="str">
        <x:v>ACTIVATED sin FID nuevo; no browser actual ni aceptación humana.</x:v>
      </x:c>
    </x:row>
    <x:row r="20" ht="82" customHeight="1">
      <x:c r="A20" s="6" t="str">
        <x:v>E13</x:v>
      </x:c>
      <x:c r="B20" s="6" t="str">
        <x:v>Direct Internal hasta activación</x:v>
      </x:c>
      <x:c r="C20" s="6" t="str">
        <x:v>HISTORICAL_SQLITE_HTTP</x:v>
      </x:c>
      <x:c r="D20" s="16" t="d">
        <x:v>2026-10-14T12:00:00.000Z</x:v>
      </x:c>
      <x:c r="E20" s="6" t="str">
        <x:v>docs/validation/strategic-final-uat/routes-sqlite/scenario-route-DIRECT_INTERNAL.json</x:v>
      </x:c>
      <x:c r="F20" s="6" t="str">
        <x:v>ACTIVATED sin FID nuevo; no browser actual ni aceptación humana.</x:v>
      </x:c>
    </x:row>
    <x:row r="21" ht="82" customHeight="1">
      <x:c r="A21" s="6" t="str">
        <x:v>E14</x:v>
      </x:c>
      <x:c r="B21" s="6" t="str">
        <x:v>Validación Class B controlada</x:v>
      </x:c>
      <x:c r="C21" s="6" t="str">
        <x:v>HISTORICAL_TEST</x:v>
      </x:c>
      <x:c r="D21" s="16" t="d">
        <x:v>2026-10-16T12:00:00.000Z</x:v>
      </x:c>
      <x:c r="E21" s="6" t="str">
        <x:v>outputs/.qa/gate07j-controlled-class-b-rebuild/class-b-focused-final/class-b-all-current.xml</x:v>
      </x:c>
      <x:c r="F21" s="6" t="str">
        <x:v>29 PASS; documentos representativos UAT no prueban permisos o contratos reales.</x:v>
      </x:c>
    </x:row>
    <x:row r="22" ht="82" customHeight="1">
      <x:c r="A22" s="6" t="str">
        <x:v>E15</x:v>
      </x:c>
      <x:c r="B22" s="6" t="str">
        <x:v>Cadena Capital Owner persistente</x:v>
      </x:c>
      <x:c r="C22" s="6" t="str">
        <x:v>HISTORICAL_LIFECYCLE</x:v>
      </x:c>
      <x:c r="D22" s="16" t="d">
        <x:v>2026-10-16T12:00:00.000Z</x:v>
      </x:c>
      <x:c r="E22" s="6" t="str">
        <x:v>outputs/.qa/gate07j-controlled-class-b-rebuild/fresh-capital-owner-chain.json</x:v>
      </x:c>
      <x:c r="F22" s="6" t="str">
        <x:v>Tenant1/Portfolio3/Project4; reconstrucción gobernada autorizada distinta de cadena tmpfs perdida.</x:v>
      </x:c>
    </x:row>
    <x:row r="23" ht="82" customHeight="1">
      <x:c r="A23" s="6" t="str">
        <x:v>E16</x:v>
      </x:c>
      <x:c r="B23" s="6" t="str">
        <x:v>Revisión visual y limitaciones Chromium</x:v>
      </x:c>
      <x:c r="C23" s="6" t="str">
        <x:v>HISTORICAL_VISUAL_REVIEW</x:v>
      </x:c>
      <x:c r="D23" s="16" t="d">
        <x:v>2026-10-16T12:00:00.000Z</x:v>
      </x:c>
      <x:c r="E23" s="6" t="str">
        <x:v>outputs/.qa/gate07j-controlled-class-b-rebuild/browser-actual-3/visual-qa-summary.json</x:v>
      </x:c>
      <x:c r="F23" s="6" t="str">
        <x:v>11 capturas, dos observaciones UI y S4-004 abierto; no UI100% limpia.</x:v>
      </x:c>
    </x:row>
    <x:row r="24" ht="82" customHeight="1">
      <x:c r="A24" s="6" t="str">
        <x:v>E17</x:v>
      </x:c>
      <x:c r="B24" s="6" t="str">
        <x:v>Overview canónico Project4</x:v>
      </x:c>
      <x:c r="C24" s="6" t="str">
        <x:v>HISTORICAL_SCREENSHOT</x:v>
      </x:c>
      <x:c r="D24" s="16" t="d">
        <x:v>2026-10-16T12:00:00.000Z</x:v>
      </x:c>
      <x:c r="E24" s="6" t="str">
        <x:v>outputs/.qa/gate07j-controlled-class-b-rebuild/browser-actual-3/chromium/strategic-capital-current--14910--browser-business-mutations-chromium/05a-fresh-canonical-project-overview.png</x:v>
      </x:c>
      <x:c r="F24" s="6" t="str">
        <x:v>Responsable y template canónicos; comparar Home y S3-006.</x:v>
      </x:c>
    </x:row>
    <x:row r="25" ht="82" customHeight="1">
      <x:c r="A25" s="6" t="str">
        <x:v>E18</x:v>
      </x:c>
      <x:c r="B25" s="6" t="str">
        <x:v>Auditoría consumidores de Home</x:v>
      </x:c>
      <x:c r="C25" s="6" t="str">
        <x:v>SOURCE_IMPACT_AUDIT</x:v>
      </x:c>
      <x:c r="D25" s="16" t="d">
        <x:v>2026-10-16T12:00:00.000Z</x:v>
      </x:c>
      <x:c r="E25" s="6" t="str">
        <x:v>outputs/.qa/gate07j-controlled-class-b-rebuild/browser-actual-3/home-context-consumer-audit.md</x:v>
      </x:c>
      <x:c r="F25" s="6" t="str">
        <x:v>Presentación/lista/filtro/ETag; sin evidencia actual de impacto en autoridad o lifecycle.</x:v>
      </x:c>
    </x:row>
    <x:row r="26" ht="82" customHeight="1">
      <x:c r="A26" s="6" t="str">
        <x:v>E19</x:v>
      </x:c>
      <x:c r="B26" s="6" t="str">
        <x:v>Registro previo de hallazgos S4</x:v>
      </x:c>
      <x:c r="C26" s="6" t="str">
        <x:v>HISTORICAL_FINDINGS</x:v>
      </x:c>
      <x:c r="D26" s="16" t="d">
        <x:v>2026-10-15T12:00:00.000Z</x:v>
      </x:c>
      <x:c r="E26" s="6" t="str">
        <x:v>docs/validation/strategic-uat-remediation/release-results.json</x:v>
      </x:c>
      <x:c r="F26" s="6" t="str">
        <x:v>UAT-S4-001 a005 permanecen OPEN; sin aceptación por silencio.</x:v>
      </x:c>
    </x:row>
    <x:row r="27" ht="82" customHeight="1">
      <x:c r="A27" s="6" t="str">
        <x:v>E20</x:v>
      </x:c>
      <x:c r="B27" s="6" t="str">
        <x:v>Home Project4 con omisión metadata</x:v>
      </x:c>
      <x:c r="C27" s="6" t="str">
        <x:v>HISTORICAL_SCREENSHOT</x:v>
      </x:c>
      <x:c r="D27" s="16" t="d">
        <x:v>2026-10-16T12:00:00.000Z</x:v>
      </x:c>
      <x:c r="E27" s="6" t="str">
        <x:v>outputs/.qa/gate07j-controlled-class-b-rebuild/browser-actual-3/chromium/strategic-capital-current--14910--browser-business-mutations-chromium/10-fresh-governed-active-workspace-home.png</x:v>
      </x:c>
      <x:c r="F27" s="6" t="str">
        <x:v>ACTIVE no demuestra consistencia de metadata; Not assigned y No template snapshot visibles.</x:v>
      </x:c>
    </x:row>
    <x:row r="28" ht="82" customHeight="1">
      <x:c r="A28" s="6" t="str">
        <x:v>E21</x:v>
      </x:c>
      <x:c r="B28" s="6" t="str">
        <x:v>Rutas compactas JUnit</x:v>
      </x:c>
      <x:c r="C28" s="6" t="str">
        <x:v>HISTORICAL_TEST</x:v>
      </x:c>
      <x:c r="D28" s="16" t="d">
        <x:v>2026-10-14T12:00:00.000Z</x:v>
      </x:c>
      <x:c r="E28" s="6" t="str">
        <x:v>docs/validation/strategic-final-uat/scenario-routes-sqlite-junit.xml</x:v>
      </x:c>
      <x:c r="F28" s="6" t="str">
        <x:v>3 PASS incluyendo dos rutas alternativas y upstream Capital Owner; no una sola cadenaA0-A31.</x:v>
      </x:c>
    </x:row>
    <x:row r="29" ht="82" customHeight="1">
      <x:c r="A29" s="6" t="str">
        <x:v>E22</x:v>
      </x:c>
      <x:c r="B29" s="6" t="str">
        <x:v>Rutas de guías ADMIN y USER</x:v>
      </x:c>
      <x:c r="C29" s="6" t="str">
        <x:v>SOURCE_ROUTE_INVENTORY</x:v>
      </x:c>
      <x:c r="D29" s="16" t="d">
        <x:v>2026-10-14T12:00:00.000Z</x:v>
      </x:c>
      <x:c r="E29" s="6" t="str">
        <x:v>docs/validation/strategic-final-uat/frontend_guide_routes.md</x:v>
      </x:c>
      <x:c r="F29" s="6" t="str">
        <x:v>Presencia de ruta no equivale a ejecución ni aceptación empresarial.</x:v>
      </x:c>
    </x:row>
    <x:row r="30" ht="82" customHeight="1">
      <x:c r="A30" s="6" t="str">
        <x:v>E23</x:v>
      </x:c>
      <x:c r="B30" s="6" t="str">
        <x:v>Continuidad persistida actual en SQL READ ONLY</x:v>
      </x:c>
      <x:c r="C30" s="6" t="str">
        <x:v>CURRENT_READ_ONLY_CONTINUITY</x:v>
      </x:c>
      <x:c r="D30" s="16" t="d">
        <x:v>2026-10-18T12:00:00.000Z</x:v>
      </x:c>
      <x:c r="E30" s="6" t="str">
        <x:v>docs/validation/business-uat-signoff-20261018/runtime-readonly-20261018.json</x:v>
      </x:c>
      <x:c r="F30" s="6" t="str">
        <x:v>Solo DB privada existente iniciada; filas completas de8tablas y selección iguales16; API/Redis detenidos. No nueva evaluación de servicio, E2E, browser ni aprobación.</x:v>
      </x:c>
    </x:row>
    <x:row r="31" ht="22" customHeight="1">
      <x:c r="A31" s="2"/>
      <x:c r="B31" s="2"/>
      <x:c r="C31" s="2"/>
      <x:c r="D31" s="2"/>
      <x:c r="E31" s="2"/>
      <x:c r="F31" s="2"/>
    </x:row>
    <x:row r="32" ht="22" customHeight="1">
      <x:c r="A32" s="2"/>
      <x:c r="B32" s="2"/>
      <x:c r="C32" s="2"/>
      <x:c r="D32" s="2"/>
      <x:c r="E32" s="2"/>
      <x:c r="F32" s="2"/>
    </x:row>
    <x:row r="33" ht="22" customHeight="1">
      <x:c r="A33" s="2"/>
      <x:c r="B33" s="2"/>
      <x:c r="C33" s="2"/>
      <x:c r="D33" s="2"/>
      <x:c r="E33" s="2"/>
      <x:c r="F33" s="2"/>
    </x:row>
    <x:row r="34" ht="22" customHeight="1">
      <x:c r="A34" s="2"/>
      <x:c r="B34" s="2"/>
      <x:c r="C34" s="2"/>
      <x:c r="D34" s="2"/>
      <x:c r="E34" s="2"/>
      <x:c r="F34" s="2"/>
    </x:row>
    <x:row r="35" ht="22" customHeight="1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  <x:tableParts count="1">
    <x:tablePart xmlns:r="http://schemas.openxmlformats.org/officeDocument/2006/relationships" r:id="R531b916ee43b45b0"/>
  </x:tableParts>
</x:worksheet>
</file>

<file path=xl/worksheets/sheet5.xml><?xml version="1.0" encoding="utf-8"?>
<x:worksheet xmlns:x="http://schemas.openxmlformats.org/spreadsheetml/2006/main">
  <x:sheetPr>
    <x:tabColor rgb="FF244C70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16" hidden="0" customWidth="1"/>
    <x:col min="4" max="4" width="58" hidden="0" customWidth="1"/>
    <x:col min="5" max="5" width="18" hidden="0" customWidth="1"/>
    <x:col min="6" max="6" width="37" hidden="0" customWidth="1"/>
    <x:col min="7" max="7" width="48" hidden="0" customWidth="1"/>
    <x:col min="8" max="8" width="29" hidden="0" customWidth="1"/>
    <x:col min="9" max="9" width="36" hidden="0" customWidth="1"/>
    <x:col min="10" max="10" width="18" hidden="0" customWidth="1"/>
    <x:col min="11" max="11" width="36" hidden="0" customWidth="1"/>
    <x:col min="12" max="12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Aceptación de documentación por área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 t="str">
        <x:v>90 decisiones documentales pendientes: 6 documentos por cada una de las 15 áreas.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2" customHeight="1">
      <x:c r="A7" s="11" t="str">
        <x:v>Área ID</x:v>
      </x:c>
      <x:c r="B7" s="11" t="str">
        <x:v>Área</x:v>
      </x:c>
      <x:c r="C7" s="11" t="str">
        <x:v>Documento ID</x:v>
      </x:c>
      <x:c r="D7" s="11" t="str">
        <x:v>Documento / revisión</x:v>
      </x:c>
      <x:c r="E7" s="11" t="str">
        <x:v>Evidencia propuesta</x:v>
      </x:c>
      <x:c r="F7" s="11" t="str">
        <x:v>Decisión documental</x:v>
      </x:c>
      <x:c r="G7" s="11" t="str">
        <x:v>Correcciones / impacto</x:v>
      </x:c>
      <x:c r="H7" s="11" t="str">
        <x:v>Representante autorizado</x:v>
      </x:c>
      <x:c r="I7" s="11" t="str">
        <x:v>Base autoridad</x:v>
      </x:c>
      <x:c r="J7" s="11" t="str">
        <x:v>Fecha revisión</x:v>
      </x:c>
      <x:c r="K7" s="11" t="str">
        <x:v>Firma / aprobación</x:v>
      </x:c>
      <x:c r="L7" s="11" t="str">
        <x:v>Registro completo</x:v>
      </x:c>
    </x:row>
    <x:row r="8" ht="72" customHeight="1">
      <x:c r="A8" s="6" t="str">
        <x:v>BA01</x:v>
      </x:c>
      <x:c r="B8" s="6" t="str">
        <x:v>Enterprise / Strategic Governance</x:v>
      </x:c>
      <x:c r="C8" s="6" t="str">
        <x:v>DOC01</x:v>
      </x:c>
      <x:c r="D8" s="6" t="str">
        <x:v>Strategic Macroprocess Business Process
Corte14Oct2026</x:v>
      </x:c>
      <x:c r="E8" s="6" t="str">
        <x:v>E01</x:v>
      </x:c>
      <x:c r="F8" s="13" t="str"/>
      <x:c r="G8" s="13" t="str"/>
      <x:c r="H8" s="13" t="str"/>
      <x:c r="I8" s="13" t="str"/>
      <x:c r="J8" s="14" t="str"/>
      <x:c r="K8" s="13" t="str"/>
      <x:c r="L8" s="6" t="n">
        <x:f>IF(AND(OR(F8="ACCEPTABLE",F8="ACCEPTABLE_WITH_CORRECTIONS"),H8&lt;&gt;"",I8&lt;&gt;"",ISNUMBER(J8),K8&lt;&gt;"",IF(F8="ACCEPTABLE_WITH_CORRECTIONS",G8&lt;&gt;"",TRUE)),1,0)</x:f>
        <x:v>0</x:v>
      </x:c>
    </x:row>
    <x:row r="9" ht="72" customHeight="1">
      <x:c r="A9" s="6" t="str">
        <x:v>BA01</x:v>
      </x:c>
      <x:c r="B9" s="6" t="str">
        <x:v>Enterprise / Strategic Governance</x:v>
      </x:c>
      <x:c r="C9" s="6" t="str">
        <x:v>DOC02</x:v>
      </x:c>
      <x:c r="D9" s="6" t="str">
        <x:v>User Guide
Corte14Oct2026 más addendum de vigencia18Oct</x:v>
      </x:c>
      <x:c r="E9" s="6" t="str">
        <x:v>E02</x:v>
      </x:c>
      <x:c r="F9" s="13" t="str"/>
      <x:c r="G9" s="13" t="str"/>
      <x:c r="H9" s="13" t="str"/>
      <x:c r="I9" s="13" t="str"/>
      <x:c r="J9" s="14" t="str"/>
      <x:c r="K9" s="13" t="str"/>
      <x:c r="L9" s="6" t="n">
        <x:f>IF(AND(OR(F9="ACCEPTABLE",F9="ACCEPTABLE_WITH_CORRECTIONS"),H9&lt;&gt;"",I9&lt;&gt;"",ISNUMBER(J9),K9&lt;&gt;"",IF(F9="ACCEPTABLE_WITH_CORRECTIONS",G9&lt;&gt;"",TRUE)),1,0)</x:f>
        <x:v>0</x:v>
      </x:c>
    </x:row>
    <x:row r="10" ht="72" customHeight="1">
      <x:c r="A10" s="6" t="str">
        <x:v>BA01</x:v>
      </x:c>
      <x:c r="B10" s="6" t="str">
        <x:v>Enterprise / Strategic Governance</x:v>
      </x:c>
      <x:c r="C10" s="6" t="str">
        <x:v>DOC03</x:v>
      </x:c>
      <x:c r="D10" s="6" t="str">
        <x:v>Administration Guide
Remediación15Oct2026 más addendum de vigencia18Oct</x:v>
      </x:c>
      <x:c r="E10" s="6" t="str">
        <x:v>E03</x:v>
      </x:c>
      <x:c r="F10" s="13" t="str"/>
      <x:c r="G10" s="13" t="str"/>
      <x:c r="H10" s="13" t="str"/>
      <x:c r="I10" s="13" t="str"/>
      <x:c r="J10" s="14" t="str"/>
      <x:c r="K10" s="13" t="str"/>
      <x:c r="L10" s="6" t="n">
        <x:f>IF(AND(OR(F10="ACCEPTABLE",F10="ACCEPTABLE_WITH_CORRECTIONS"),H10&lt;&gt;"",I10&lt;&gt;"",ISNUMBER(J10),K10&lt;&gt;"",IF(F10="ACCEPTABLE_WITH_CORRECTIONS",G10&lt;&gt;"",TRUE)),1,0)</x:f>
        <x:v>0</x:v>
      </x:c>
    </x:row>
    <x:row r="11" ht="72" customHeight="1">
      <x:c r="A11" s="6" t="str">
        <x:v>BA01</x:v>
      </x:c>
      <x:c r="B11" s="6" t="str">
        <x:v>Enterprise / Strategic Governance</x:v>
      </x:c>
      <x:c r="C11" s="6" t="str">
        <x:v>DOC04</x:v>
      </x:c>
      <x:c r="D11" s="6" t="str">
        <x:v>UAT Plan and Results
Cierre16Oct2026</x:v>
      </x:c>
      <x:c r="E11" s="6" t="str">
        <x:v>E04</x:v>
      </x:c>
      <x:c r="F11" s="13" t="str"/>
      <x:c r="G11" s="13" t="str"/>
      <x:c r="H11" s="13" t="str"/>
      <x:c r="I11" s="13" t="str"/>
      <x:c r="J11" s="14" t="str"/>
      <x:c r="K11" s="13" t="str"/>
      <x:c r="L11" s="6" t="n">
        <x:f>IF(AND(OR(F11="ACCEPTABLE",F11="ACCEPTABLE_WITH_CORRECTIONS"),H11&lt;&gt;"",I11&lt;&gt;"",ISNUMBER(J11),K11&lt;&gt;"",IF(F11="ACCEPTABLE_WITH_CORRECTIONS",G11&lt;&gt;"",TRUE)),1,0)</x:f>
        <x:v>0</x:v>
      </x:c>
    </x:row>
    <x:row r="12" ht="72" customHeight="1">
      <x:c r="A12" s="6" t="str">
        <x:v>BA01</x:v>
      </x:c>
      <x:c r="B12" s="6" t="str">
        <x:v>Enterprise / Strategic Governance</x:v>
      </x:c>
      <x:c r="C12" s="6" t="str">
        <x:v>DOC05</x:v>
      </x:c>
      <x:c r="D12" s="6" t="str">
        <x:v>UAT Traceability
Cierre16Oct2026</x:v>
      </x:c>
      <x:c r="E12" s="6" t="str">
        <x:v>E05</x:v>
      </x:c>
      <x:c r="F12" s="13" t="str"/>
      <x:c r="G12" s="13" t="str"/>
      <x:c r="H12" s="13" t="str"/>
      <x:c r="I12" s="13" t="str"/>
      <x:c r="J12" s="14" t="str"/>
      <x:c r="K12" s="13" t="str"/>
      <x:c r="L12" s="6" t="n">
        <x:f>IF(AND(OR(F12="ACCEPTABLE",F12="ACCEPTABLE_WITH_CORRECTIONS"),H12&lt;&gt;"",I12&lt;&gt;"",ISNUMBER(J12),K12&lt;&gt;"",IF(F12="ACCEPTABLE_WITH_CORRECTIONS",G12&lt;&gt;"",TRUE)),1,0)</x:f>
        <x:v>0</x:v>
      </x:c>
    </x:row>
    <x:row r="13" ht="72" customHeight="1">
      <x:c r="A13" s="6" t="str">
        <x:v>BA01</x:v>
      </x:c>
      <x:c r="B13" s="6" t="str">
        <x:v>Enterprise / Strategic Governance</x:v>
      </x:c>
      <x:c r="C13" s="6" t="str">
        <x:v>DOC06</x:v>
      </x:c>
      <x:c r="D13" s="6" t="str">
        <x:v>Final Release Closeout
Cierre16Oct2026</x:v>
      </x:c>
      <x:c r="E13" s="6" t="str">
        <x:v>E06</x:v>
      </x:c>
      <x:c r="F13" s="13" t="str"/>
      <x:c r="G13" s="13" t="str"/>
      <x:c r="H13" s="13" t="str"/>
      <x:c r="I13" s="13" t="str"/>
      <x:c r="J13" s="14" t="str"/>
      <x:c r="K13" s="13" t="str"/>
      <x:c r="L13" s="6" t="n">
        <x:f>IF(AND(OR(F13="ACCEPTABLE",F13="ACCEPTABLE_WITH_CORRECTIONS"),H13&lt;&gt;"",I13&lt;&gt;"",ISNUMBER(J13),K13&lt;&gt;"",IF(F13="ACCEPTABLE_WITH_CORRECTIONS",G13&lt;&gt;"",TRUE)),1,0)</x:f>
        <x:v>0</x:v>
      </x:c>
    </x:row>
    <x:row r="14" ht="72" customHeight="1">
      <x:c r="A14" s="6" t="str">
        <x:v>BA02</x:v>
      </x:c>
      <x:c r="B14" s="6" t="str">
        <x:v>Enterprise Structure &amp; Workspace Governance</x:v>
      </x:c>
      <x:c r="C14" s="6" t="str">
        <x:v>DOC01</x:v>
      </x:c>
      <x:c r="D14" s="6" t="str">
        <x:v>Strategic Macroprocess Business Process
Corte14Oct2026</x:v>
      </x:c>
      <x:c r="E14" s="6" t="str">
        <x:v>E01</x:v>
      </x:c>
      <x:c r="F14" s="13" t="str"/>
      <x:c r="G14" s="13" t="str"/>
      <x:c r="H14" s="13" t="str"/>
      <x:c r="I14" s="13" t="str"/>
      <x:c r="J14" s="14" t="str"/>
      <x:c r="K14" s="13" t="str"/>
      <x:c r="L14" s="6" t="n">
        <x:f>IF(AND(OR(F14="ACCEPTABLE",F14="ACCEPTABLE_WITH_CORRECTIONS"),H14&lt;&gt;"",I14&lt;&gt;"",ISNUMBER(J14),K14&lt;&gt;"",IF(F14="ACCEPTABLE_WITH_CORRECTIONS",G14&lt;&gt;"",TRUE)),1,0)</x:f>
        <x:v>0</x:v>
      </x:c>
    </x:row>
    <x:row r="15" ht="72" customHeight="1">
      <x:c r="A15" s="6" t="str">
        <x:v>BA02</x:v>
      </x:c>
      <x:c r="B15" s="6" t="str">
        <x:v>Enterprise Structure &amp; Workspace Governance</x:v>
      </x:c>
      <x:c r="C15" s="6" t="str">
        <x:v>DOC02</x:v>
      </x:c>
      <x:c r="D15" s="6" t="str">
        <x:v>User Guide
Corte14Oct2026 más addendum de vigencia18Oct</x:v>
      </x:c>
      <x:c r="E15" s="6" t="str">
        <x:v>E02</x:v>
      </x:c>
      <x:c r="F15" s="13" t="str"/>
      <x:c r="G15" s="13" t="str"/>
      <x:c r="H15" s="13" t="str"/>
      <x:c r="I15" s="13" t="str"/>
      <x:c r="J15" s="14" t="str"/>
      <x:c r="K15" s="13" t="str"/>
      <x:c r="L15" s="6" t="n">
        <x:f>IF(AND(OR(F15="ACCEPTABLE",F15="ACCEPTABLE_WITH_CORRECTIONS"),H15&lt;&gt;"",I15&lt;&gt;"",ISNUMBER(J15),K15&lt;&gt;"",IF(F15="ACCEPTABLE_WITH_CORRECTIONS",G15&lt;&gt;"",TRUE)),1,0)</x:f>
        <x:v>0</x:v>
      </x:c>
    </x:row>
    <x:row r="16" ht="72" customHeight="1">
      <x:c r="A16" s="6" t="str">
        <x:v>BA02</x:v>
      </x:c>
      <x:c r="B16" s="6" t="str">
        <x:v>Enterprise Structure &amp; Workspace Governance</x:v>
      </x:c>
      <x:c r="C16" s="6" t="str">
        <x:v>DOC03</x:v>
      </x:c>
      <x:c r="D16" s="6" t="str">
        <x:v>Administration Guide
Remediación15Oct2026 más addendum de vigencia18Oct</x:v>
      </x:c>
      <x:c r="E16" s="6" t="str">
        <x:v>E03</x:v>
      </x:c>
      <x:c r="F16" s="13" t="str"/>
      <x:c r="G16" s="13" t="str"/>
      <x:c r="H16" s="13" t="str"/>
      <x:c r="I16" s="13" t="str"/>
      <x:c r="J16" s="14" t="str"/>
      <x:c r="K16" s="13" t="str"/>
      <x:c r="L16" s="6" t="n">
        <x:f>IF(AND(OR(F16="ACCEPTABLE",F16="ACCEPTABLE_WITH_CORRECTIONS"),H16&lt;&gt;"",I16&lt;&gt;"",ISNUMBER(J16),K16&lt;&gt;"",IF(F16="ACCEPTABLE_WITH_CORRECTIONS",G16&lt;&gt;"",TRUE)),1,0)</x:f>
        <x:v>0</x:v>
      </x:c>
    </x:row>
    <x:row r="17" ht="72" customHeight="1">
      <x:c r="A17" s="6" t="str">
        <x:v>BA02</x:v>
      </x:c>
      <x:c r="B17" s="6" t="str">
        <x:v>Enterprise Structure &amp; Workspace Governance</x:v>
      </x:c>
      <x:c r="C17" s="6" t="str">
        <x:v>DOC04</x:v>
      </x:c>
      <x:c r="D17" s="6" t="str">
        <x:v>UAT Plan and Results
Cierre16Oct2026</x:v>
      </x:c>
      <x:c r="E17" s="6" t="str">
        <x:v>E04</x:v>
      </x:c>
      <x:c r="F17" s="13" t="str"/>
      <x:c r="G17" s="13" t="str"/>
      <x:c r="H17" s="13" t="str"/>
      <x:c r="I17" s="13" t="str"/>
      <x:c r="J17" s="14" t="str"/>
      <x:c r="K17" s="13" t="str"/>
      <x:c r="L17" s="6" t="n">
        <x:f>IF(AND(OR(F17="ACCEPTABLE",F17="ACCEPTABLE_WITH_CORRECTIONS"),H17&lt;&gt;"",I17&lt;&gt;"",ISNUMBER(J17),K17&lt;&gt;"",IF(F17="ACCEPTABLE_WITH_CORRECTIONS",G17&lt;&gt;"",TRUE)),1,0)</x:f>
        <x:v>0</x:v>
      </x:c>
    </x:row>
    <x:row r="18" ht="72" customHeight="1">
      <x:c r="A18" s="6" t="str">
        <x:v>BA02</x:v>
      </x:c>
      <x:c r="B18" s="6" t="str">
        <x:v>Enterprise Structure &amp; Workspace Governance</x:v>
      </x:c>
      <x:c r="C18" s="6" t="str">
        <x:v>DOC05</x:v>
      </x:c>
      <x:c r="D18" s="6" t="str">
        <x:v>UAT Traceability
Cierre16Oct2026</x:v>
      </x:c>
      <x:c r="E18" s="6" t="str">
        <x:v>E05</x:v>
      </x:c>
      <x:c r="F18" s="13" t="str"/>
      <x:c r="G18" s="13" t="str"/>
      <x:c r="H18" s="13" t="str"/>
      <x:c r="I18" s="13" t="str"/>
      <x:c r="J18" s="14" t="str"/>
      <x:c r="K18" s="13" t="str"/>
      <x:c r="L18" s="6" t="n">
        <x:f>IF(AND(OR(F18="ACCEPTABLE",F18="ACCEPTABLE_WITH_CORRECTIONS"),H18&lt;&gt;"",I18&lt;&gt;"",ISNUMBER(J18),K18&lt;&gt;"",IF(F18="ACCEPTABLE_WITH_CORRECTIONS",G18&lt;&gt;"",TRUE)),1,0)</x:f>
        <x:v>0</x:v>
      </x:c>
    </x:row>
    <x:row r="19" ht="72" customHeight="1">
      <x:c r="A19" s="6" t="str">
        <x:v>BA02</x:v>
      </x:c>
      <x:c r="B19" s="6" t="str">
        <x:v>Enterprise Structure &amp; Workspace Governance</x:v>
      </x:c>
      <x:c r="C19" s="6" t="str">
        <x:v>DOC06</x:v>
      </x:c>
      <x:c r="D19" s="6" t="str">
        <x:v>Final Release Closeout
Cierre16Oct2026</x:v>
      </x:c>
      <x:c r="E19" s="6" t="str">
        <x:v>E06</x:v>
      </x:c>
      <x:c r="F19" s="13" t="str"/>
      <x:c r="G19" s="13" t="str"/>
      <x:c r="H19" s="13" t="str"/>
      <x:c r="I19" s="13" t="str"/>
      <x:c r="J19" s="14" t="str"/>
      <x:c r="K19" s="13" t="str"/>
      <x:c r="L19" s="6" t="n">
        <x:f>IF(AND(OR(F19="ACCEPTABLE",F19="ACCEPTABLE_WITH_CORRECTIONS"),H19&lt;&gt;"",I19&lt;&gt;"",ISNUMBER(J19),K19&lt;&gt;"",IF(F19="ACCEPTABLE_WITH_CORRECTIONS",G19&lt;&gt;"",TRUE)),1,0)</x:f>
        <x:v>0</x:v>
      </x:c>
    </x:row>
    <x:row r="20" ht="72" customHeight="1">
      <x:c r="A20" s="6" t="str">
        <x:v>BA03</x:v>
      </x:c>
      <x:c r="B20" s="6" t="str">
        <x:v>Capital Planning</x:v>
      </x:c>
      <x:c r="C20" s="6" t="str">
        <x:v>DOC01</x:v>
      </x:c>
      <x:c r="D20" s="6" t="str">
        <x:v>Strategic Macroprocess Business Process
Corte14Oct2026</x:v>
      </x:c>
      <x:c r="E20" s="6" t="str">
        <x:v>E01</x:v>
      </x:c>
      <x:c r="F20" s="13" t="str"/>
      <x:c r="G20" s="13" t="str"/>
      <x:c r="H20" s="13" t="str"/>
      <x:c r="I20" s="13" t="str"/>
      <x:c r="J20" s="14" t="str"/>
      <x:c r="K20" s="13" t="str"/>
      <x:c r="L20" s="6" t="n">
        <x:f>IF(AND(OR(F20="ACCEPTABLE",F20="ACCEPTABLE_WITH_CORRECTIONS"),H20&lt;&gt;"",I20&lt;&gt;"",ISNUMBER(J20),K20&lt;&gt;"",IF(F20="ACCEPTABLE_WITH_CORRECTIONS",G20&lt;&gt;"",TRUE)),1,0)</x:f>
        <x:v>0</x:v>
      </x:c>
    </x:row>
    <x:row r="21" ht="72" customHeight="1">
      <x:c r="A21" s="6" t="str">
        <x:v>BA03</x:v>
      </x:c>
      <x:c r="B21" s="6" t="str">
        <x:v>Capital Planning</x:v>
      </x:c>
      <x:c r="C21" s="6" t="str">
        <x:v>DOC02</x:v>
      </x:c>
      <x:c r="D21" s="6" t="str">
        <x:v>User Guide
Corte14Oct2026 más addendum de vigencia18Oct</x:v>
      </x:c>
      <x:c r="E21" s="6" t="str">
        <x:v>E02</x:v>
      </x:c>
      <x:c r="F21" s="13" t="str"/>
      <x:c r="G21" s="13" t="str"/>
      <x:c r="H21" s="13" t="str"/>
      <x:c r="I21" s="13" t="str"/>
      <x:c r="J21" s="14" t="str"/>
      <x:c r="K21" s="13" t="str"/>
      <x:c r="L21" s="6" t="n">
        <x:f>IF(AND(OR(F21="ACCEPTABLE",F21="ACCEPTABLE_WITH_CORRECTIONS"),H21&lt;&gt;"",I21&lt;&gt;"",ISNUMBER(J21),K21&lt;&gt;"",IF(F21="ACCEPTABLE_WITH_CORRECTIONS",G21&lt;&gt;"",TRUE)),1,0)</x:f>
        <x:v>0</x:v>
      </x:c>
    </x:row>
    <x:row r="22" ht="72" customHeight="1">
      <x:c r="A22" s="6" t="str">
        <x:v>BA03</x:v>
      </x:c>
      <x:c r="B22" s="6" t="str">
        <x:v>Capital Planning</x:v>
      </x:c>
      <x:c r="C22" s="6" t="str">
        <x:v>DOC03</x:v>
      </x:c>
      <x:c r="D22" s="6" t="str">
        <x:v>Administration Guide
Remediación15Oct2026 más addendum de vigencia18Oct</x:v>
      </x:c>
      <x:c r="E22" s="6" t="str">
        <x:v>E03</x:v>
      </x:c>
      <x:c r="F22" s="13" t="str"/>
      <x:c r="G22" s="13" t="str"/>
      <x:c r="H22" s="13" t="str"/>
      <x:c r="I22" s="13" t="str"/>
      <x:c r="J22" s="14" t="str"/>
      <x:c r="K22" s="13" t="str"/>
      <x:c r="L22" s="6" t="n">
        <x:f>IF(AND(OR(F22="ACCEPTABLE",F22="ACCEPTABLE_WITH_CORRECTIONS"),H22&lt;&gt;"",I22&lt;&gt;"",ISNUMBER(J22),K22&lt;&gt;"",IF(F22="ACCEPTABLE_WITH_CORRECTIONS",G22&lt;&gt;"",TRUE)),1,0)</x:f>
        <x:v>0</x:v>
      </x:c>
    </x:row>
    <x:row r="23" ht="72" customHeight="1">
      <x:c r="A23" s="6" t="str">
        <x:v>BA03</x:v>
      </x:c>
      <x:c r="B23" s="6" t="str">
        <x:v>Capital Planning</x:v>
      </x:c>
      <x:c r="C23" s="6" t="str">
        <x:v>DOC04</x:v>
      </x:c>
      <x:c r="D23" s="6" t="str">
        <x:v>UAT Plan and Results
Cierre16Oct2026</x:v>
      </x:c>
      <x:c r="E23" s="6" t="str">
        <x:v>E04</x:v>
      </x:c>
      <x:c r="F23" s="13" t="str"/>
      <x:c r="G23" s="13" t="str"/>
      <x:c r="H23" s="13" t="str"/>
      <x:c r="I23" s="13" t="str"/>
      <x:c r="J23" s="14" t="str"/>
      <x:c r="K23" s="13" t="str"/>
      <x:c r="L23" s="6" t="n">
        <x:f>IF(AND(OR(F23="ACCEPTABLE",F23="ACCEPTABLE_WITH_CORRECTIONS"),H23&lt;&gt;"",I23&lt;&gt;"",ISNUMBER(J23),K23&lt;&gt;"",IF(F23="ACCEPTABLE_WITH_CORRECTIONS",G23&lt;&gt;"",TRUE)),1,0)</x:f>
        <x:v>0</x:v>
      </x:c>
    </x:row>
    <x:row r="24" ht="72" customHeight="1">
      <x:c r="A24" s="6" t="str">
        <x:v>BA03</x:v>
      </x:c>
      <x:c r="B24" s="6" t="str">
        <x:v>Capital Planning</x:v>
      </x:c>
      <x:c r="C24" s="6" t="str">
        <x:v>DOC05</x:v>
      </x:c>
      <x:c r="D24" s="6" t="str">
        <x:v>UAT Traceability
Cierre16Oct2026</x:v>
      </x:c>
      <x:c r="E24" s="6" t="str">
        <x:v>E05</x:v>
      </x:c>
      <x:c r="F24" s="13" t="str"/>
      <x:c r="G24" s="13" t="str"/>
      <x:c r="H24" s="13" t="str"/>
      <x:c r="I24" s="13" t="str"/>
      <x:c r="J24" s="14" t="str"/>
      <x:c r="K24" s="13" t="str"/>
      <x:c r="L24" s="6" t="n">
        <x:f>IF(AND(OR(F24="ACCEPTABLE",F24="ACCEPTABLE_WITH_CORRECTIONS"),H24&lt;&gt;"",I24&lt;&gt;"",ISNUMBER(J24),K24&lt;&gt;"",IF(F24="ACCEPTABLE_WITH_CORRECTIONS",G24&lt;&gt;"",TRUE)),1,0)</x:f>
        <x:v>0</x:v>
      </x:c>
    </x:row>
    <x:row r="25" ht="72" customHeight="1">
      <x:c r="A25" s="6" t="str">
        <x:v>BA03</x:v>
      </x:c>
      <x:c r="B25" s="6" t="str">
        <x:v>Capital Planning</x:v>
      </x:c>
      <x:c r="C25" s="6" t="str">
        <x:v>DOC06</x:v>
      </x:c>
      <x:c r="D25" s="6" t="str">
        <x:v>Final Release Closeout
Cierre16Oct2026</x:v>
      </x:c>
      <x:c r="E25" s="6" t="str">
        <x:v>E06</x:v>
      </x:c>
      <x:c r="F25" s="13" t="str"/>
      <x:c r="G25" s="13" t="str"/>
      <x:c r="H25" s="13" t="str"/>
      <x:c r="I25" s="13" t="str"/>
      <x:c r="J25" s="14" t="str"/>
      <x:c r="K25" s="13" t="str"/>
      <x:c r="L25" s="6" t="n">
        <x:f>IF(AND(OR(F25="ACCEPTABLE",F25="ACCEPTABLE_WITH_CORRECTIONS"),H25&lt;&gt;"",I25&lt;&gt;"",ISNUMBER(J25),K25&lt;&gt;"",IF(F25="ACCEPTABLE_WITH_CORRECTIONS",G25&lt;&gt;"",TRUE)),1,0)</x:f>
        <x:v>0</x:v>
      </x:c>
    </x:row>
    <x:row r="26" ht="72" customHeight="1">
      <x:c r="A26" s="6" t="str">
        <x:v>BA04</x:v>
      </x:c>
      <x:c r="B26" s="6" t="str">
        <x:v>Investment Origination</x:v>
      </x:c>
      <x:c r="C26" s="6" t="str">
        <x:v>DOC01</x:v>
      </x:c>
      <x:c r="D26" s="6" t="str">
        <x:v>Strategic Macroprocess Business Process
Corte14Oct2026</x:v>
      </x:c>
      <x:c r="E26" s="6" t="str">
        <x:v>E01</x:v>
      </x:c>
      <x:c r="F26" s="13" t="str"/>
      <x:c r="G26" s="13" t="str"/>
      <x:c r="H26" s="13" t="str"/>
      <x:c r="I26" s="13" t="str"/>
      <x:c r="J26" s="14" t="str"/>
      <x:c r="K26" s="13" t="str"/>
      <x:c r="L26" s="6" t="n">
        <x:f>IF(AND(OR(F26="ACCEPTABLE",F26="ACCEPTABLE_WITH_CORRECTIONS"),H26&lt;&gt;"",I26&lt;&gt;"",ISNUMBER(J26),K26&lt;&gt;"",IF(F26="ACCEPTABLE_WITH_CORRECTIONS",G26&lt;&gt;"",TRUE)),1,0)</x:f>
        <x:v>0</x:v>
      </x:c>
    </x:row>
    <x:row r="27" ht="72" customHeight="1">
      <x:c r="A27" s="6" t="str">
        <x:v>BA04</x:v>
      </x:c>
      <x:c r="B27" s="6" t="str">
        <x:v>Investment Origination</x:v>
      </x:c>
      <x:c r="C27" s="6" t="str">
        <x:v>DOC02</x:v>
      </x:c>
      <x:c r="D27" s="6" t="str">
        <x:v>User Guide
Corte14Oct2026 más addendum de vigencia18Oct</x:v>
      </x:c>
      <x:c r="E27" s="6" t="str">
        <x:v>E02</x:v>
      </x:c>
      <x:c r="F27" s="13" t="str"/>
      <x:c r="G27" s="13" t="str"/>
      <x:c r="H27" s="13" t="str"/>
      <x:c r="I27" s="13" t="str"/>
      <x:c r="J27" s="14" t="str"/>
      <x:c r="K27" s="13" t="str"/>
      <x:c r="L27" s="6" t="n">
        <x:f>IF(AND(OR(F27="ACCEPTABLE",F27="ACCEPTABLE_WITH_CORRECTIONS"),H27&lt;&gt;"",I27&lt;&gt;"",ISNUMBER(J27),K27&lt;&gt;"",IF(F27="ACCEPTABLE_WITH_CORRECTIONS",G27&lt;&gt;"",TRUE)),1,0)</x:f>
        <x:v>0</x:v>
      </x:c>
    </x:row>
    <x:row r="28" ht="72" customHeight="1">
      <x:c r="A28" s="6" t="str">
        <x:v>BA04</x:v>
      </x:c>
      <x:c r="B28" s="6" t="str">
        <x:v>Investment Origination</x:v>
      </x:c>
      <x:c r="C28" s="6" t="str">
        <x:v>DOC03</x:v>
      </x:c>
      <x:c r="D28" s="6" t="str">
        <x:v>Administration Guide
Remediación15Oct2026 más addendum de vigencia18Oct</x:v>
      </x:c>
      <x:c r="E28" s="6" t="str">
        <x:v>E03</x:v>
      </x:c>
      <x:c r="F28" s="13" t="str"/>
      <x:c r="G28" s="13" t="str"/>
      <x:c r="H28" s="13" t="str"/>
      <x:c r="I28" s="13" t="str"/>
      <x:c r="J28" s="14" t="str"/>
      <x:c r="K28" s="13" t="str"/>
      <x:c r="L28" s="6" t="n">
        <x:f>IF(AND(OR(F28="ACCEPTABLE",F28="ACCEPTABLE_WITH_CORRECTIONS"),H28&lt;&gt;"",I28&lt;&gt;"",ISNUMBER(J28),K28&lt;&gt;"",IF(F28="ACCEPTABLE_WITH_CORRECTIONS",G28&lt;&gt;"",TRUE)),1,0)</x:f>
        <x:v>0</x:v>
      </x:c>
    </x:row>
    <x:row r="29" ht="72" customHeight="1">
      <x:c r="A29" s="6" t="str">
        <x:v>BA04</x:v>
      </x:c>
      <x:c r="B29" s="6" t="str">
        <x:v>Investment Origination</x:v>
      </x:c>
      <x:c r="C29" s="6" t="str">
        <x:v>DOC04</x:v>
      </x:c>
      <x:c r="D29" s="6" t="str">
        <x:v>UAT Plan and Results
Cierre16Oct2026</x:v>
      </x:c>
      <x:c r="E29" s="6" t="str">
        <x:v>E04</x:v>
      </x:c>
      <x:c r="F29" s="13" t="str"/>
      <x:c r="G29" s="13" t="str"/>
      <x:c r="H29" s="13" t="str"/>
      <x:c r="I29" s="13" t="str"/>
      <x:c r="J29" s="14" t="str"/>
      <x:c r="K29" s="13" t="str"/>
      <x:c r="L29" s="6" t="n">
        <x:f>IF(AND(OR(F29="ACCEPTABLE",F29="ACCEPTABLE_WITH_CORRECTIONS"),H29&lt;&gt;"",I29&lt;&gt;"",ISNUMBER(J29),K29&lt;&gt;"",IF(F29="ACCEPTABLE_WITH_CORRECTIONS",G29&lt;&gt;"",TRUE)),1,0)</x:f>
        <x:v>0</x:v>
      </x:c>
    </x:row>
    <x:row r="30" ht="72" customHeight="1">
      <x:c r="A30" s="6" t="str">
        <x:v>BA04</x:v>
      </x:c>
      <x:c r="B30" s="6" t="str">
        <x:v>Investment Origination</x:v>
      </x:c>
      <x:c r="C30" s="6" t="str">
        <x:v>DOC05</x:v>
      </x:c>
      <x:c r="D30" s="6" t="str">
        <x:v>UAT Traceability
Cierre16Oct2026</x:v>
      </x:c>
      <x:c r="E30" s="6" t="str">
        <x:v>E05</x:v>
      </x:c>
      <x:c r="F30" s="13" t="str"/>
      <x:c r="G30" s="13" t="str"/>
      <x:c r="H30" s="13" t="str"/>
      <x:c r="I30" s="13" t="str"/>
      <x:c r="J30" s="14" t="str"/>
      <x:c r="K30" s="13" t="str"/>
      <x:c r="L30" s="6" t="n">
        <x:f>IF(AND(OR(F30="ACCEPTABLE",F30="ACCEPTABLE_WITH_CORRECTIONS"),H30&lt;&gt;"",I30&lt;&gt;"",ISNUMBER(J30),K30&lt;&gt;"",IF(F30="ACCEPTABLE_WITH_CORRECTIONS",G30&lt;&gt;"",TRUE)),1,0)</x:f>
        <x:v>0</x:v>
      </x:c>
    </x:row>
    <x:row r="31" ht="72" customHeight="1">
      <x:c r="A31" s="6" t="str">
        <x:v>BA04</x:v>
      </x:c>
      <x:c r="B31" s="6" t="str">
        <x:v>Investment Origination</x:v>
      </x:c>
      <x:c r="C31" s="6" t="str">
        <x:v>DOC06</x:v>
      </x:c>
      <x:c r="D31" s="6" t="str">
        <x:v>Final Release Closeout
Cierre16Oct2026</x:v>
      </x:c>
      <x:c r="E31" s="6" t="str">
        <x:v>E06</x:v>
      </x:c>
      <x:c r="F31" s="13" t="str"/>
      <x:c r="G31" s="13" t="str"/>
      <x:c r="H31" s="13" t="str"/>
      <x:c r="I31" s="13" t="str"/>
      <x:c r="J31" s="14" t="str"/>
      <x:c r="K31" s="13" t="str"/>
      <x:c r="L31" s="6" t="n">
        <x:f>IF(AND(OR(F31="ACCEPTABLE",F31="ACCEPTABLE_WITH_CORRECTIONS"),H31&lt;&gt;"",I31&lt;&gt;"",ISNUMBER(J31),K31&lt;&gt;"",IF(F31="ACCEPTABLE_WITH_CORRECTIONS",G31&lt;&gt;"",TRUE)),1,0)</x:f>
        <x:v>0</x:v>
      </x:c>
    </x:row>
    <x:row r="32" ht="72" customHeight="1">
      <x:c r="A32" s="6" t="str">
        <x:v>BA05</x:v>
      </x:c>
      <x:c r="B32" s="6" t="str">
        <x:v>Portfolio Management</x:v>
      </x:c>
      <x:c r="C32" s="6" t="str">
        <x:v>DOC01</x:v>
      </x:c>
      <x:c r="D32" s="6" t="str">
        <x:v>Strategic Macroprocess Business Process
Corte14Oct2026</x:v>
      </x:c>
      <x:c r="E32" s="6" t="str">
        <x:v>E01</x:v>
      </x:c>
      <x:c r="F32" s="13" t="str"/>
      <x:c r="G32" s="13" t="str"/>
      <x:c r="H32" s="13" t="str"/>
      <x:c r="I32" s="13" t="str"/>
      <x:c r="J32" s="14" t="str"/>
      <x:c r="K32" s="13" t="str"/>
      <x:c r="L32" s="6" t="n">
        <x:f>IF(AND(OR(F32="ACCEPTABLE",F32="ACCEPTABLE_WITH_CORRECTIONS"),H32&lt;&gt;"",I32&lt;&gt;"",ISNUMBER(J32),K32&lt;&gt;"",IF(F32="ACCEPTABLE_WITH_CORRECTIONS",G32&lt;&gt;"",TRUE)),1,0)</x:f>
        <x:v>0</x:v>
      </x:c>
    </x:row>
    <x:row r="33" ht="72" customHeight="1">
      <x:c r="A33" s="6" t="str">
        <x:v>BA05</x:v>
      </x:c>
      <x:c r="B33" s="6" t="str">
        <x:v>Portfolio Management</x:v>
      </x:c>
      <x:c r="C33" s="6" t="str">
        <x:v>DOC02</x:v>
      </x:c>
      <x:c r="D33" s="6" t="str">
        <x:v>User Guide
Corte14Oct2026 más addendum de vigencia18Oct</x:v>
      </x:c>
      <x:c r="E33" s="6" t="str">
        <x:v>E02</x:v>
      </x:c>
      <x:c r="F33" s="13" t="str"/>
      <x:c r="G33" s="13" t="str"/>
      <x:c r="H33" s="13" t="str"/>
      <x:c r="I33" s="13" t="str"/>
      <x:c r="J33" s="14" t="str"/>
      <x:c r="K33" s="13" t="str"/>
      <x:c r="L33" s="6" t="n">
        <x:f>IF(AND(OR(F33="ACCEPTABLE",F33="ACCEPTABLE_WITH_CORRECTIONS"),H33&lt;&gt;"",I33&lt;&gt;"",ISNUMBER(J33),K33&lt;&gt;"",IF(F33="ACCEPTABLE_WITH_CORRECTIONS",G33&lt;&gt;"",TRUE)),1,0)</x:f>
        <x:v>0</x:v>
      </x:c>
    </x:row>
    <x:row r="34" ht="72" customHeight="1">
      <x:c r="A34" s="6" t="str">
        <x:v>BA05</x:v>
      </x:c>
      <x:c r="B34" s="6" t="str">
        <x:v>Portfolio Management</x:v>
      </x:c>
      <x:c r="C34" s="6" t="str">
        <x:v>DOC03</x:v>
      </x:c>
      <x:c r="D34" s="6" t="str">
        <x:v>Administration Guide
Remediación15Oct2026 más addendum de vigencia18Oct</x:v>
      </x:c>
      <x:c r="E34" s="6" t="str">
        <x:v>E03</x:v>
      </x:c>
      <x:c r="F34" s="13" t="str"/>
      <x:c r="G34" s="13" t="str"/>
      <x:c r="H34" s="13" t="str"/>
      <x:c r="I34" s="13" t="str"/>
      <x:c r="J34" s="14" t="str"/>
      <x:c r="K34" s="13" t="str"/>
      <x:c r="L34" s="6" t="n">
        <x:f>IF(AND(OR(F34="ACCEPTABLE",F34="ACCEPTABLE_WITH_CORRECTIONS"),H34&lt;&gt;"",I34&lt;&gt;"",ISNUMBER(J34),K34&lt;&gt;"",IF(F34="ACCEPTABLE_WITH_CORRECTIONS",G34&lt;&gt;"",TRUE)),1,0)</x:f>
        <x:v>0</x:v>
      </x:c>
    </x:row>
    <x:row r="35" ht="72" customHeight="1">
      <x:c r="A35" s="6" t="str">
        <x:v>BA05</x:v>
      </x:c>
      <x:c r="B35" s="6" t="str">
        <x:v>Portfolio Management</x:v>
      </x:c>
      <x:c r="C35" s="6" t="str">
        <x:v>DOC04</x:v>
      </x:c>
      <x:c r="D35" s="6" t="str">
        <x:v>UAT Plan and Results
Cierre16Oct2026</x:v>
      </x:c>
      <x:c r="E35" s="6" t="str">
        <x:v>E04</x:v>
      </x:c>
      <x:c r="F35" s="13" t="str"/>
      <x:c r="G35" s="13" t="str"/>
      <x:c r="H35" s="13" t="str"/>
      <x:c r="I35" s="13" t="str"/>
      <x:c r="J35" s="14" t="str"/>
      <x:c r="K35" s="13" t="str"/>
      <x:c r="L35" s="6" t="n">
        <x:f>IF(AND(OR(F35="ACCEPTABLE",F35="ACCEPTABLE_WITH_CORRECTIONS"),H35&lt;&gt;"",I35&lt;&gt;"",ISNUMBER(J35),K35&lt;&gt;"",IF(F35="ACCEPTABLE_WITH_CORRECTIONS",G35&lt;&gt;"",TRUE)),1,0)</x:f>
        <x:v>0</x:v>
      </x:c>
    </x:row>
    <x:row r="36" ht="72" customHeight="1">
      <x:c r="A36" s="6" t="str">
        <x:v>BA05</x:v>
      </x:c>
      <x:c r="B36" s="6" t="str">
        <x:v>Portfolio Management</x:v>
      </x:c>
      <x:c r="C36" s="6" t="str">
        <x:v>DOC05</x:v>
      </x:c>
      <x:c r="D36" s="6" t="str">
        <x:v>UAT Traceability
Cierre16Oct2026</x:v>
      </x:c>
      <x:c r="E36" s="6" t="str">
        <x:v>E05</x:v>
      </x:c>
      <x:c r="F36" s="13" t="str"/>
      <x:c r="G36" s="13" t="str"/>
      <x:c r="H36" s="13" t="str"/>
      <x:c r="I36" s="13" t="str"/>
      <x:c r="J36" s="14" t="str"/>
      <x:c r="K36" s="13" t="str"/>
      <x:c r="L36" s="6" t="n">
        <x:f>IF(AND(OR(F36="ACCEPTABLE",F36="ACCEPTABLE_WITH_CORRECTIONS"),H36&lt;&gt;"",I36&lt;&gt;"",ISNUMBER(J36),K36&lt;&gt;"",IF(F36="ACCEPTABLE_WITH_CORRECTIONS",G36&lt;&gt;"",TRUE)),1,0)</x:f>
        <x:v>0</x:v>
      </x:c>
    </x:row>
    <x:row r="37" ht="72" customHeight="1">
      <x:c r="A37" s="6" t="str">
        <x:v>BA05</x:v>
      </x:c>
      <x:c r="B37" s="6" t="str">
        <x:v>Portfolio Management</x:v>
      </x:c>
      <x:c r="C37" s="6" t="str">
        <x:v>DOC06</x:v>
      </x:c>
      <x:c r="D37" s="6" t="str">
        <x:v>Final Release Closeout
Cierre16Oct2026</x:v>
      </x:c>
      <x:c r="E37" s="6" t="str">
        <x:v>E06</x:v>
      </x:c>
      <x:c r="F37" s="13" t="str"/>
      <x:c r="G37" s="13" t="str"/>
      <x:c r="H37" s="13" t="str"/>
      <x:c r="I37" s="13" t="str"/>
      <x:c r="J37" s="14" t="str"/>
      <x:c r="K37" s="13" t="str"/>
      <x:c r="L37" s="6" t="n">
        <x:f>IF(AND(OR(F37="ACCEPTABLE",F37="ACCEPTABLE_WITH_CORRECTIONS"),H37&lt;&gt;"",I37&lt;&gt;"",ISNUMBER(J37),K37&lt;&gt;"",IF(F37="ACCEPTABLE_WITH_CORRECTIONS",G37&lt;&gt;"",TRUE)),1,0)</x:f>
        <x:v>0</x:v>
      </x:c>
    </x:row>
    <x:row r="38" ht="72" customHeight="1">
      <x:c r="A38" s="6" t="str">
        <x:v>BA06</x:v>
      </x:c>
      <x:c r="B38" s="6" t="str">
        <x:v>Project Controls / Planning</x:v>
      </x:c>
      <x:c r="C38" s="6" t="str">
        <x:v>DOC01</x:v>
      </x:c>
      <x:c r="D38" s="6" t="str">
        <x:v>Strategic Macroprocess Business Process
Corte14Oct2026</x:v>
      </x:c>
      <x:c r="E38" s="6" t="str">
        <x:v>E01</x:v>
      </x:c>
      <x:c r="F38" s="13" t="str"/>
      <x:c r="G38" s="13" t="str"/>
      <x:c r="H38" s="13" t="str"/>
      <x:c r="I38" s="13" t="str"/>
      <x:c r="J38" s="14" t="str"/>
      <x:c r="K38" s="13" t="str"/>
      <x:c r="L38" s="6" t="n">
        <x:f>IF(AND(OR(F38="ACCEPTABLE",F38="ACCEPTABLE_WITH_CORRECTIONS"),H38&lt;&gt;"",I38&lt;&gt;"",ISNUMBER(J38),K38&lt;&gt;"",IF(F38="ACCEPTABLE_WITH_CORRECTIONS",G38&lt;&gt;"",TRUE)),1,0)</x:f>
        <x:v>0</x:v>
      </x:c>
    </x:row>
    <x:row r="39" ht="72" customHeight="1">
      <x:c r="A39" s="6" t="str">
        <x:v>BA06</x:v>
      </x:c>
      <x:c r="B39" s="6" t="str">
        <x:v>Project Controls / Planning</x:v>
      </x:c>
      <x:c r="C39" s="6" t="str">
        <x:v>DOC02</x:v>
      </x:c>
      <x:c r="D39" s="6" t="str">
        <x:v>User Guide
Corte14Oct2026 más addendum de vigencia18Oct</x:v>
      </x:c>
      <x:c r="E39" s="6" t="str">
        <x:v>E02</x:v>
      </x:c>
      <x:c r="F39" s="13" t="str"/>
      <x:c r="G39" s="13" t="str"/>
      <x:c r="H39" s="13" t="str"/>
      <x:c r="I39" s="13" t="str"/>
      <x:c r="J39" s="14" t="str"/>
      <x:c r="K39" s="13" t="str"/>
      <x:c r="L39" s="6" t="n">
        <x:f>IF(AND(OR(F39="ACCEPTABLE",F39="ACCEPTABLE_WITH_CORRECTIONS"),H39&lt;&gt;"",I39&lt;&gt;"",ISNUMBER(J39),K39&lt;&gt;"",IF(F39="ACCEPTABLE_WITH_CORRECTIONS",G39&lt;&gt;"",TRUE)),1,0)</x:f>
        <x:v>0</x:v>
      </x:c>
    </x:row>
    <x:row r="40" ht="72" customHeight="1">
      <x:c r="A40" s="6" t="str">
        <x:v>BA06</x:v>
      </x:c>
      <x:c r="B40" s="6" t="str">
        <x:v>Project Controls / Planning</x:v>
      </x:c>
      <x:c r="C40" s="6" t="str">
        <x:v>DOC03</x:v>
      </x:c>
      <x:c r="D40" s="6" t="str">
        <x:v>Administration Guide
Remediación15Oct2026 más addendum de vigencia18Oct</x:v>
      </x:c>
      <x:c r="E40" s="6" t="str">
        <x:v>E03</x:v>
      </x:c>
      <x:c r="F40" s="13" t="str"/>
      <x:c r="G40" s="13" t="str"/>
      <x:c r="H40" s="13" t="str"/>
      <x:c r="I40" s="13" t="str"/>
      <x:c r="J40" s="14" t="str"/>
      <x:c r="K40" s="13" t="str"/>
      <x:c r="L40" s="6" t="n">
        <x:f>IF(AND(OR(F40="ACCEPTABLE",F40="ACCEPTABLE_WITH_CORRECTIONS"),H40&lt;&gt;"",I40&lt;&gt;"",ISNUMBER(J40),K40&lt;&gt;"",IF(F40="ACCEPTABLE_WITH_CORRECTIONS",G40&lt;&gt;"",TRUE)),1,0)</x:f>
        <x:v>0</x:v>
      </x:c>
    </x:row>
    <x:row r="41" ht="72" customHeight="1">
      <x:c r="A41" s="6" t="str">
        <x:v>BA06</x:v>
      </x:c>
      <x:c r="B41" s="6" t="str">
        <x:v>Project Controls / Planning</x:v>
      </x:c>
      <x:c r="C41" s="6" t="str">
        <x:v>DOC04</x:v>
      </x:c>
      <x:c r="D41" s="6" t="str">
        <x:v>UAT Plan and Results
Cierre16Oct2026</x:v>
      </x:c>
      <x:c r="E41" s="6" t="str">
        <x:v>E04</x:v>
      </x:c>
      <x:c r="F41" s="13" t="str"/>
      <x:c r="G41" s="13" t="str"/>
      <x:c r="H41" s="13" t="str"/>
      <x:c r="I41" s="13" t="str"/>
      <x:c r="J41" s="14" t="str"/>
      <x:c r="K41" s="13" t="str"/>
      <x:c r="L41" s="6" t="n">
        <x:f>IF(AND(OR(F41="ACCEPTABLE",F41="ACCEPTABLE_WITH_CORRECTIONS"),H41&lt;&gt;"",I41&lt;&gt;"",ISNUMBER(J41),K41&lt;&gt;"",IF(F41="ACCEPTABLE_WITH_CORRECTIONS",G41&lt;&gt;"",TRUE)),1,0)</x:f>
        <x:v>0</x:v>
      </x:c>
    </x:row>
    <x:row r="42" ht="72" customHeight="1">
      <x:c r="A42" s="6" t="str">
        <x:v>BA06</x:v>
      </x:c>
      <x:c r="B42" s="6" t="str">
        <x:v>Project Controls / Planning</x:v>
      </x:c>
      <x:c r="C42" s="6" t="str">
        <x:v>DOC05</x:v>
      </x:c>
      <x:c r="D42" s="6" t="str">
        <x:v>UAT Traceability
Cierre16Oct2026</x:v>
      </x:c>
      <x:c r="E42" s="6" t="str">
        <x:v>E05</x:v>
      </x:c>
      <x:c r="F42" s="13" t="str"/>
      <x:c r="G42" s="13" t="str"/>
      <x:c r="H42" s="13" t="str"/>
      <x:c r="I42" s="13" t="str"/>
      <x:c r="J42" s="14" t="str"/>
      <x:c r="K42" s="13" t="str"/>
      <x:c r="L42" s="6" t="n">
        <x:f>IF(AND(OR(F42="ACCEPTABLE",F42="ACCEPTABLE_WITH_CORRECTIONS"),H42&lt;&gt;"",I42&lt;&gt;"",ISNUMBER(J42),K42&lt;&gt;"",IF(F42="ACCEPTABLE_WITH_CORRECTIONS",G42&lt;&gt;"",TRUE)),1,0)</x:f>
        <x:v>0</x:v>
      </x:c>
    </x:row>
    <x:row r="43" ht="72" customHeight="1">
      <x:c r="A43" s="6" t="str">
        <x:v>BA06</x:v>
      </x:c>
      <x:c r="B43" s="6" t="str">
        <x:v>Project Controls / Planning</x:v>
      </x:c>
      <x:c r="C43" s="6" t="str">
        <x:v>DOC06</x:v>
      </x:c>
      <x:c r="D43" s="6" t="str">
        <x:v>Final Release Closeout
Cierre16Oct2026</x:v>
      </x:c>
      <x:c r="E43" s="6" t="str">
        <x:v>E06</x:v>
      </x:c>
      <x:c r="F43" s="13" t="str"/>
      <x:c r="G43" s="13" t="str"/>
      <x:c r="H43" s="13" t="str"/>
      <x:c r="I43" s="13" t="str"/>
      <x:c r="J43" s="14" t="str"/>
      <x:c r="K43" s="13" t="str"/>
      <x:c r="L43" s="6" t="n">
        <x:f>IF(AND(OR(F43="ACCEPTABLE",F43="ACCEPTABLE_WITH_CORRECTIONS"),H43&lt;&gt;"",I43&lt;&gt;"",ISNUMBER(J43),K43&lt;&gt;"",IF(F43="ACCEPTABLE_WITH_CORRECTIONS",G43&lt;&gt;"",TRUE)),1,0)</x:f>
        <x:v>0</x:v>
      </x:c>
    </x:row>
    <x:row r="44" ht="72" customHeight="1">
      <x:c r="A44" s="6" t="str">
        <x:v>BA07</x:v>
      </x:c>
      <x:c r="B44" s="6" t="str">
        <x:v>Cost / Budget / Resource Governance</x:v>
      </x:c>
      <x:c r="C44" s="6" t="str">
        <x:v>DOC01</x:v>
      </x:c>
      <x:c r="D44" s="6" t="str">
        <x:v>Strategic Macroprocess Business Process
Corte14Oct2026</x:v>
      </x:c>
      <x:c r="E44" s="6" t="str">
        <x:v>E01</x:v>
      </x:c>
      <x:c r="F44" s="13" t="str"/>
      <x:c r="G44" s="13" t="str"/>
      <x:c r="H44" s="13" t="str"/>
      <x:c r="I44" s="13" t="str"/>
      <x:c r="J44" s="14" t="str"/>
      <x:c r="K44" s="13" t="str"/>
      <x:c r="L44" s="6" t="n">
        <x:f>IF(AND(OR(F44="ACCEPTABLE",F44="ACCEPTABLE_WITH_CORRECTIONS"),H44&lt;&gt;"",I44&lt;&gt;"",ISNUMBER(J44),K44&lt;&gt;"",IF(F44="ACCEPTABLE_WITH_CORRECTIONS",G44&lt;&gt;"",TRUE)),1,0)</x:f>
        <x:v>0</x:v>
      </x:c>
    </x:row>
    <x:row r="45" ht="72" customHeight="1">
      <x:c r="A45" s="6" t="str">
        <x:v>BA07</x:v>
      </x:c>
      <x:c r="B45" s="6" t="str">
        <x:v>Cost / Budget / Resource Governance</x:v>
      </x:c>
      <x:c r="C45" s="6" t="str">
        <x:v>DOC02</x:v>
      </x:c>
      <x:c r="D45" s="6" t="str">
        <x:v>User Guide
Corte14Oct2026 más addendum de vigencia18Oct</x:v>
      </x:c>
      <x:c r="E45" s="6" t="str">
        <x:v>E02</x:v>
      </x:c>
      <x:c r="F45" s="13" t="str"/>
      <x:c r="G45" s="13" t="str"/>
      <x:c r="H45" s="13" t="str"/>
      <x:c r="I45" s="13" t="str"/>
      <x:c r="J45" s="14" t="str"/>
      <x:c r="K45" s="13" t="str"/>
      <x:c r="L45" s="6" t="n">
        <x:f>IF(AND(OR(F45="ACCEPTABLE",F45="ACCEPTABLE_WITH_CORRECTIONS"),H45&lt;&gt;"",I45&lt;&gt;"",ISNUMBER(J45),K45&lt;&gt;"",IF(F45="ACCEPTABLE_WITH_CORRECTIONS",G45&lt;&gt;"",TRUE)),1,0)</x:f>
        <x:v>0</x:v>
      </x:c>
    </x:row>
    <x:row r="46" ht="72" customHeight="1">
      <x:c r="A46" s="6" t="str">
        <x:v>BA07</x:v>
      </x:c>
      <x:c r="B46" s="6" t="str">
        <x:v>Cost / Budget / Resource Governance</x:v>
      </x:c>
      <x:c r="C46" s="6" t="str">
        <x:v>DOC03</x:v>
      </x:c>
      <x:c r="D46" s="6" t="str">
        <x:v>Administration Guide
Remediación15Oct2026 más addendum de vigencia18Oct</x:v>
      </x:c>
      <x:c r="E46" s="6" t="str">
        <x:v>E03</x:v>
      </x:c>
      <x:c r="F46" s="13" t="str"/>
      <x:c r="G46" s="13" t="str"/>
      <x:c r="H46" s="13" t="str"/>
      <x:c r="I46" s="13" t="str"/>
      <x:c r="J46" s="14" t="str"/>
      <x:c r="K46" s="13" t="str"/>
      <x:c r="L46" s="6" t="n">
        <x:f>IF(AND(OR(F46="ACCEPTABLE",F46="ACCEPTABLE_WITH_CORRECTIONS"),H46&lt;&gt;"",I46&lt;&gt;"",ISNUMBER(J46),K46&lt;&gt;"",IF(F46="ACCEPTABLE_WITH_CORRECTIONS",G46&lt;&gt;"",TRUE)),1,0)</x:f>
        <x:v>0</x:v>
      </x:c>
    </x:row>
    <x:row r="47" ht="72" customHeight="1">
      <x:c r="A47" s="6" t="str">
        <x:v>BA07</x:v>
      </x:c>
      <x:c r="B47" s="6" t="str">
        <x:v>Cost / Budget / Resource Governance</x:v>
      </x:c>
      <x:c r="C47" s="6" t="str">
        <x:v>DOC04</x:v>
      </x:c>
      <x:c r="D47" s="6" t="str">
        <x:v>UAT Plan and Results
Cierre16Oct2026</x:v>
      </x:c>
      <x:c r="E47" s="6" t="str">
        <x:v>E04</x:v>
      </x:c>
      <x:c r="F47" s="13" t="str"/>
      <x:c r="G47" s="13" t="str"/>
      <x:c r="H47" s="13" t="str"/>
      <x:c r="I47" s="13" t="str"/>
      <x:c r="J47" s="14" t="str"/>
      <x:c r="K47" s="13" t="str"/>
      <x:c r="L47" s="6" t="n">
        <x:f>IF(AND(OR(F47="ACCEPTABLE",F47="ACCEPTABLE_WITH_CORRECTIONS"),H47&lt;&gt;"",I47&lt;&gt;"",ISNUMBER(J47),K47&lt;&gt;"",IF(F47="ACCEPTABLE_WITH_CORRECTIONS",G47&lt;&gt;"",TRUE)),1,0)</x:f>
        <x:v>0</x:v>
      </x:c>
    </x:row>
    <x:row r="48" ht="72" customHeight="1">
      <x:c r="A48" s="6" t="str">
        <x:v>BA07</x:v>
      </x:c>
      <x:c r="B48" s="6" t="str">
        <x:v>Cost / Budget / Resource Governance</x:v>
      </x:c>
      <x:c r="C48" s="6" t="str">
        <x:v>DOC05</x:v>
      </x:c>
      <x:c r="D48" s="6" t="str">
        <x:v>UAT Traceability
Cierre16Oct2026</x:v>
      </x:c>
      <x:c r="E48" s="6" t="str">
        <x:v>E05</x:v>
      </x:c>
      <x:c r="F48" s="13" t="str"/>
      <x:c r="G48" s="13" t="str"/>
      <x:c r="H48" s="13" t="str"/>
      <x:c r="I48" s="13" t="str"/>
      <x:c r="J48" s="14" t="str"/>
      <x:c r="K48" s="13" t="str"/>
      <x:c r="L48" s="6" t="n">
        <x:f>IF(AND(OR(F48="ACCEPTABLE",F48="ACCEPTABLE_WITH_CORRECTIONS"),H48&lt;&gt;"",I48&lt;&gt;"",ISNUMBER(J48),K48&lt;&gt;"",IF(F48="ACCEPTABLE_WITH_CORRECTIONS",G48&lt;&gt;"",TRUE)),1,0)</x:f>
        <x:v>0</x:v>
      </x:c>
    </x:row>
    <x:row r="49" ht="72" customHeight="1">
      <x:c r="A49" s="6" t="str">
        <x:v>BA07</x:v>
      </x:c>
      <x:c r="B49" s="6" t="str">
        <x:v>Cost / Budget / Resource Governance</x:v>
      </x:c>
      <x:c r="C49" s="6" t="str">
        <x:v>DOC06</x:v>
      </x:c>
      <x:c r="D49" s="6" t="str">
        <x:v>Final Release Closeout
Cierre16Oct2026</x:v>
      </x:c>
      <x:c r="E49" s="6" t="str">
        <x:v>E06</x:v>
      </x:c>
      <x:c r="F49" s="13" t="str"/>
      <x:c r="G49" s="13" t="str"/>
      <x:c r="H49" s="13" t="str"/>
      <x:c r="I49" s="13" t="str"/>
      <x:c r="J49" s="14" t="str"/>
      <x:c r="K49" s="13" t="str"/>
      <x:c r="L49" s="6" t="n">
        <x:f>IF(AND(OR(F49="ACCEPTABLE",F49="ACCEPTABLE_WITH_CORRECTIONS"),H49&lt;&gt;"",I49&lt;&gt;"",ISNUMBER(J49),K49&lt;&gt;"",IF(F49="ACCEPTABLE_WITH_CORRECTIONS",G49&lt;&gt;"",TRUE)),1,0)</x:f>
        <x:v>0</x:v>
      </x:c>
    </x:row>
    <x:row r="50" ht="72" customHeight="1">
      <x:c r="A50" s="6" t="str">
        <x:v>BA08</x:v>
      </x:c>
      <x:c r="B50" s="6" t="str">
        <x:v>Business Case / Investment Development</x:v>
      </x:c>
      <x:c r="C50" s="6" t="str">
        <x:v>DOC01</x:v>
      </x:c>
      <x:c r="D50" s="6" t="str">
        <x:v>Strategic Macroprocess Business Process
Corte14Oct2026</x:v>
      </x:c>
      <x:c r="E50" s="6" t="str">
        <x:v>E01</x:v>
      </x:c>
      <x:c r="F50" s="13" t="str"/>
      <x:c r="G50" s="13" t="str"/>
      <x:c r="H50" s="13" t="str"/>
      <x:c r="I50" s="13" t="str"/>
      <x:c r="J50" s="14" t="str"/>
      <x:c r="K50" s="13" t="str"/>
      <x:c r="L50" s="6" t="n">
        <x:f>IF(AND(OR(F50="ACCEPTABLE",F50="ACCEPTABLE_WITH_CORRECTIONS"),H50&lt;&gt;"",I50&lt;&gt;"",ISNUMBER(J50),K50&lt;&gt;"",IF(F50="ACCEPTABLE_WITH_CORRECTIONS",G50&lt;&gt;"",TRUE)),1,0)</x:f>
        <x:v>0</x:v>
      </x:c>
    </x:row>
    <x:row r="51" ht="72" customHeight="1">
      <x:c r="A51" s="6" t="str">
        <x:v>BA08</x:v>
      </x:c>
      <x:c r="B51" s="6" t="str">
        <x:v>Business Case / Investment Development</x:v>
      </x:c>
      <x:c r="C51" s="6" t="str">
        <x:v>DOC02</x:v>
      </x:c>
      <x:c r="D51" s="6" t="str">
        <x:v>User Guide
Corte14Oct2026 más addendum de vigencia18Oct</x:v>
      </x:c>
      <x:c r="E51" s="6" t="str">
        <x:v>E02</x:v>
      </x:c>
      <x:c r="F51" s="13" t="str"/>
      <x:c r="G51" s="13" t="str"/>
      <x:c r="H51" s="13" t="str"/>
      <x:c r="I51" s="13" t="str"/>
      <x:c r="J51" s="14" t="str"/>
      <x:c r="K51" s="13" t="str"/>
      <x:c r="L51" s="6" t="n">
        <x:f>IF(AND(OR(F51="ACCEPTABLE",F51="ACCEPTABLE_WITH_CORRECTIONS"),H51&lt;&gt;"",I51&lt;&gt;"",ISNUMBER(J51),K51&lt;&gt;"",IF(F51="ACCEPTABLE_WITH_CORRECTIONS",G51&lt;&gt;"",TRUE)),1,0)</x:f>
        <x:v>0</x:v>
      </x:c>
    </x:row>
    <x:row r="52" ht="72" customHeight="1">
      <x:c r="A52" s="6" t="str">
        <x:v>BA08</x:v>
      </x:c>
      <x:c r="B52" s="6" t="str">
        <x:v>Business Case / Investment Development</x:v>
      </x:c>
      <x:c r="C52" s="6" t="str">
        <x:v>DOC03</x:v>
      </x:c>
      <x:c r="D52" s="6" t="str">
        <x:v>Administration Guide
Remediación15Oct2026 más addendum de vigencia18Oct</x:v>
      </x:c>
      <x:c r="E52" s="6" t="str">
        <x:v>E03</x:v>
      </x:c>
      <x:c r="F52" s="13" t="str"/>
      <x:c r="G52" s="13" t="str"/>
      <x:c r="H52" s="13" t="str"/>
      <x:c r="I52" s="13" t="str"/>
      <x:c r="J52" s="14" t="str"/>
      <x:c r="K52" s="13" t="str"/>
      <x:c r="L52" s="6" t="n">
        <x:f>IF(AND(OR(F52="ACCEPTABLE",F52="ACCEPTABLE_WITH_CORRECTIONS"),H52&lt;&gt;"",I52&lt;&gt;"",ISNUMBER(J52),K52&lt;&gt;"",IF(F52="ACCEPTABLE_WITH_CORRECTIONS",G52&lt;&gt;"",TRUE)),1,0)</x:f>
        <x:v>0</x:v>
      </x:c>
    </x:row>
    <x:row r="53" ht="72" customHeight="1">
      <x:c r="A53" s="6" t="str">
        <x:v>BA08</x:v>
      </x:c>
      <x:c r="B53" s="6" t="str">
        <x:v>Business Case / Investment Development</x:v>
      </x:c>
      <x:c r="C53" s="6" t="str">
        <x:v>DOC04</x:v>
      </x:c>
      <x:c r="D53" s="6" t="str">
        <x:v>UAT Plan and Results
Cierre16Oct2026</x:v>
      </x:c>
      <x:c r="E53" s="6" t="str">
        <x:v>E04</x:v>
      </x:c>
      <x:c r="F53" s="13" t="str"/>
      <x:c r="G53" s="13" t="str"/>
      <x:c r="H53" s="13" t="str"/>
      <x:c r="I53" s="13" t="str"/>
      <x:c r="J53" s="14" t="str"/>
      <x:c r="K53" s="13" t="str"/>
      <x:c r="L53" s="6" t="n">
        <x:f>IF(AND(OR(F53="ACCEPTABLE",F53="ACCEPTABLE_WITH_CORRECTIONS"),H53&lt;&gt;"",I53&lt;&gt;"",ISNUMBER(J53),K53&lt;&gt;"",IF(F53="ACCEPTABLE_WITH_CORRECTIONS",G53&lt;&gt;"",TRUE)),1,0)</x:f>
        <x:v>0</x:v>
      </x:c>
    </x:row>
    <x:row r="54" ht="72" customHeight="1">
      <x:c r="A54" s="6" t="str">
        <x:v>BA08</x:v>
      </x:c>
      <x:c r="B54" s="6" t="str">
        <x:v>Business Case / Investment Development</x:v>
      </x:c>
      <x:c r="C54" s="6" t="str">
        <x:v>DOC05</x:v>
      </x:c>
      <x:c r="D54" s="6" t="str">
        <x:v>UAT Traceability
Cierre16Oct2026</x:v>
      </x:c>
      <x:c r="E54" s="6" t="str">
        <x:v>E05</x:v>
      </x:c>
      <x:c r="F54" s="13" t="str"/>
      <x:c r="G54" s="13" t="str"/>
      <x:c r="H54" s="13" t="str"/>
      <x:c r="I54" s="13" t="str"/>
      <x:c r="J54" s="14" t="str"/>
      <x:c r="K54" s="13" t="str"/>
      <x:c r="L54" s="6" t="n">
        <x:f>IF(AND(OR(F54="ACCEPTABLE",F54="ACCEPTABLE_WITH_CORRECTIONS"),H54&lt;&gt;"",I54&lt;&gt;"",ISNUMBER(J54),K54&lt;&gt;"",IF(F54="ACCEPTABLE_WITH_CORRECTIONS",G54&lt;&gt;"",TRUE)),1,0)</x:f>
        <x:v>0</x:v>
      </x:c>
    </x:row>
    <x:row r="55" ht="72" customHeight="1">
      <x:c r="A55" s="6" t="str">
        <x:v>BA08</x:v>
      </x:c>
      <x:c r="B55" s="6" t="str">
        <x:v>Business Case / Investment Development</x:v>
      </x:c>
      <x:c r="C55" s="6" t="str">
        <x:v>DOC06</x:v>
      </x:c>
      <x:c r="D55" s="6" t="str">
        <x:v>Final Release Closeout
Cierre16Oct2026</x:v>
      </x:c>
      <x:c r="E55" s="6" t="str">
        <x:v>E06</x:v>
      </x:c>
      <x:c r="F55" s="13" t="str"/>
      <x:c r="G55" s="13" t="str"/>
      <x:c r="H55" s="13" t="str"/>
      <x:c r="I55" s="13" t="str"/>
      <x:c r="J55" s="14" t="str"/>
      <x:c r="K55" s="13" t="str"/>
      <x:c r="L55" s="6" t="n">
        <x:f>IF(AND(OR(F55="ACCEPTABLE",F55="ACCEPTABLE_WITH_CORRECTIONS"),H55&lt;&gt;"",I55&lt;&gt;"",ISNUMBER(J55),K55&lt;&gt;"",IF(F55="ACCEPTABLE_WITH_CORRECTIONS",G55&lt;&gt;"",TRUE)),1,0)</x:f>
        <x:v>0</x:v>
      </x:c>
    </x:row>
    <x:row r="56" ht="72" customHeight="1">
      <x:c r="A56" s="6" t="str">
        <x:v>BA09</x:v>
      </x:c>
      <x:c r="B56" s="6" t="str">
        <x:v>Technical Assurance / FEL / Definition Maturity</x:v>
      </x:c>
      <x:c r="C56" s="6" t="str">
        <x:v>DOC01</x:v>
      </x:c>
      <x:c r="D56" s="6" t="str">
        <x:v>Strategic Macroprocess Business Process
Corte14Oct2026</x:v>
      </x:c>
      <x:c r="E56" s="6" t="str">
        <x:v>E01</x:v>
      </x:c>
      <x:c r="F56" s="13" t="str"/>
      <x:c r="G56" s="13" t="str"/>
      <x:c r="H56" s="13" t="str"/>
      <x:c r="I56" s="13" t="str"/>
      <x:c r="J56" s="14" t="str"/>
      <x:c r="K56" s="13" t="str"/>
      <x:c r="L56" s="6" t="n">
        <x:f>IF(AND(OR(F56="ACCEPTABLE",F56="ACCEPTABLE_WITH_CORRECTIONS"),H56&lt;&gt;"",I56&lt;&gt;"",ISNUMBER(J56),K56&lt;&gt;"",IF(F56="ACCEPTABLE_WITH_CORRECTIONS",G56&lt;&gt;"",TRUE)),1,0)</x:f>
        <x:v>0</x:v>
      </x:c>
    </x:row>
    <x:row r="57" ht="72" customHeight="1">
      <x:c r="A57" s="6" t="str">
        <x:v>BA09</x:v>
      </x:c>
      <x:c r="B57" s="6" t="str">
        <x:v>Technical Assurance / FEL / Definition Maturity</x:v>
      </x:c>
      <x:c r="C57" s="6" t="str">
        <x:v>DOC02</x:v>
      </x:c>
      <x:c r="D57" s="6" t="str">
        <x:v>User Guide
Corte14Oct2026 más addendum de vigencia18Oct</x:v>
      </x:c>
      <x:c r="E57" s="6" t="str">
        <x:v>E02</x:v>
      </x:c>
      <x:c r="F57" s="13" t="str"/>
      <x:c r="G57" s="13" t="str"/>
      <x:c r="H57" s="13" t="str"/>
      <x:c r="I57" s="13" t="str"/>
      <x:c r="J57" s="14" t="str"/>
      <x:c r="K57" s="13" t="str"/>
      <x:c r="L57" s="6" t="n">
        <x:f>IF(AND(OR(F57="ACCEPTABLE",F57="ACCEPTABLE_WITH_CORRECTIONS"),H57&lt;&gt;"",I57&lt;&gt;"",ISNUMBER(J57),K57&lt;&gt;"",IF(F57="ACCEPTABLE_WITH_CORRECTIONS",G57&lt;&gt;"",TRUE)),1,0)</x:f>
        <x:v>0</x:v>
      </x:c>
    </x:row>
    <x:row r="58" ht="72" customHeight="1">
      <x:c r="A58" s="6" t="str">
        <x:v>BA09</x:v>
      </x:c>
      <x:c r="B58" s="6" t="str">
        <x:v>Technical Assurance / FEL / Definition Maturity</x:v>
      </x:c>
      <x:c r="C58" s="6" t="str">
        <x:v>DOC03</x:v>
      </x:c>
      <x:c r="D58" s="6" t="str">
        <x:v>Administration Guide
Remediación15Oct2026 más addendum de vigencia18Oct</x:v>
      </x:c>
      <x:c r="E58" s="6" t="str">
        <x:v>E03</x:v>
      </x:c>
      <x:c r="F58" s="13" t="str"/>
      <x:c r="G58" s="13" t="str"/>
      <x:c r="H58" s="13" t="str"/>
      <x:c r="I58" s="13" t="str"/>
      <x:c r="J58" s="14" t="str"/>
      <x:c r="K58" s="13" t="str"/>
      <x:c r="L58" s="6" t="n">
        <x:f>IF(AND(OR(F58="ACCEPTABLE",F58="ACCEPTABLE_WITH_CORRECTIONS"),H58&lt;&gt;"",I58&lt;&gt;"",ISNUMBER(J58),K58&lt;&gt;"",IF(F58="ACCEPTABLE_WITH_CORRECTIONS",G58&lt;&gt;"",TRUE)),1,0)</x:f>
        <x:v>0</x:v>
      </x:c>
    </x:row>
    <x:row r="59" ht="72" customHeight="1">
      <x:c r="A59" s="6" t="str">
        <x:v>BA09</x:v>
      </x:c>
      <x:c r="B59" s="6" t="str">
        <x:v>Technical Assurance / FEL / Definition Maturity</x:v>
      </x:c>
      <x:c r="C59" s="6" t="str">
        <x:v>DOC04</x:v>
      </x:c>
      <x:c r="D59" s="6" t="str">
        <x:v>UAT Plan and Results
Cierre16Oct2026</x:v>
      </x:c>
      <x:c r="E59" s="6" t="str">
        <x:v>E04</x:v>
      </x:c>
      <x:c r="F59" s="13" t="str"/>
      <x:c r="G59" s="13" t="str"/>
      <x:c r="H59" s="13" t="str"/>
      <x:c r="I59" s="13" t="str"/>
      <x:c r="J59" s="14" t="str"/>
      <x:c r="K59" s="13" t="str"/>
      <x:c r="L59" s="6" t="n">
        <x:f>IF(AND(OR(F59="ACCEPTABLE",F59="ACCEPTABLE_WITH_CORRECTIONS"),H59&lt;&gt;"",I59&lt;&gt;"",ISNUMBER(J59),K59&lt;&gt;"",IF(F59="ACCEPTABLE_WITH_CORRECTIONS",G59&lt;&gt;"",TRUE)),1,0)</x:f>
        <x:v>0</x:v>
      </x:c>
    </x:row>
    <x:row r="60" ht="72" customHeight="1">
      <x:c r="A60" s="6" t="str">
        <x:v>BA09</x:v>
      </x:c>
      <x:c r="B60" s="6" t="str">
        <x:v>Technical Assurance / FEL / Definition Maturity</x:v>
      </x:c>
      <x:c r="C60" s="6" t="str">
        <x:v>DOC05</x:v>
      </x:c>
      <x:c r="D60" s="6" t="str">
        <x:v>UAT Traceability
Cierre16Oct2026</x:v>
      </x:c>
      <x:c r="E60" s="6" t="str">
        <x:v>E05</x:v>
      </x:c>
      <x:c r="F60" s="13" t="str"/>
      <x:c r="G60" s="13" t="str"/>
      <x:c r="H60" s="13" t="str"/>
      <x:c r="I60" s="13" t="str"/>
      <x:c r="J60" s="14" t="str"/>
      <x:c r="K60" s="13" t="str"/>
      <x:c r="L60" s="6" t="n">
        <x:f>IF(AND(OR(F60="ACCEPTABLE",F60="ACCEPTABLE_WITH_CORRECTIONS"),H60&lt;&gt;"",I60&lt;&gt;"",ISNUMBER(J60),K60&lt;&gt;"",IF(F60="ACCEPTABLE_WITH_CORRECTIONS",G60&lt;&gt;"",TRUE)),1,0)</x:f>
        <x:v>0</x:v>
      </x:c>
    </x:row>
    <x:row r="61" ht="72" customHeight="1">
      <x:c r="A61" s="6" t="str">
        <x:v>BA09</x:v>
      </x:c>
      <x:c r="B61" s="6" t="str">
        <x:v>Technical Assurance / FEL / Definition Maturity</x:v>
      </x:c>
      <x:c r="C61" s="6" t="str">
        <x:v>DOC06</x:v>
      </x:c>
      <x:c r="D61" s="6" t="str">
        <x:v>Final Release Closeout
Cierre16Oct2026</x:v>
      </x:c>
      <x:c r="E61" s="6" t="str">
        <x:v>E06</x:v>
      </x:c>
      <x:c r="F61" s="13" t="str"/>
      <x:c r="G61" s="13" t="str"/>
      <x:c r="H61" s="13" t="str"/>
      <x:c r="I61" s="13" t="str"/>
      <x:c r="J61" s="14" t="str"/>
      <x:c r="K61" s="13" t="str"/>
      <x:c r="L61" s="6" t="n">
        <x:f>IF(AND(OR(F61="ACCEPTABLE",F61="ACCEPTABLE_WITH_CORRECTIONS"),H61&lt;&gt;"",I61&lt;&gt;"",ISNUMBER(J61),K61&lt;&gt;"",IF(F61="ACCEPTABLE_WITH_CORRECTIONS",G61&lt;&gt;"",TRUE)),1,0)</x:f>
        <x:v>0</x:v>
      </x:c>
    </x:row>
    <x:row r="62" ht="72" customHeight="1">
      <x:c r="A62" s="6" t="str">
        <x:v>BA10</x:v>
      </x:c>
      <x:c r="B62" s="6" t="str">
        <x:v>Risk / Permits</x:v>
      </x:c>
      <x:c r="C62" s="6" t="str">
        <x:v>DOC01</x:v>
      </x:c>
      <x:c r="D62" s="6" t="str">
        <x:v>Strategic Macroprocess Business Process
Corte14Oct2026</x:v>
      </x:c>
      <x:c r="E62" s="6" t="str">
        <x:v>E01</x:v>
      </x:c>
      <x:c r="F62" s="13" t="str"/>
      <x:c r="G62" s="13" t="str"/>
      <x:c r="H62" s="13" t="str"/>
      <x:c r="I62" s="13" t="str"/>
      <x:c r="J62" s="14" t="str"/>
      <x:c r="K62" s="13" t="str"/>
      <x:c r="L62" s="6" t="n">
        <x:f>IF(AND(OR(F62="ACCEPTABLE",F62="ACCEPTABLE_WITH_CORRECTIONS"),H62&lt;&gt;"",I62&lt;&gt;"",ISNUMBER(J62),K62&lt;&gt;"",IF(F62="ACCEPTABLE_WITH_CORRECTIONS",G62&lt;&gt;"",TRUE)),1,0)</x:f>
        <x:v>0</x:v>
      </x:c>
    </x:row>
    <x:row r="63" ht="72" customHeight="1">
      <x:c r="A63" s="6" t="str">
        <x:v>BA10</x:v>
      </x:c>
      <x:c r="B63" s="6" t="str">
        <x:v>Risk / Permits</x:v>
      </x:c>
      <x:c r="C63" s="6" t="str">
        <x:v>DOC02</x:v>
      </x:c>
      <x:c r="D63" s="6" t="str">
        <x:v>User Guide
Corte14Oct2026 más addendum de vigencia18Oct</x:v>
      </x:c>
      <x:c r="E63" s="6" t="str">
        <x:v>E02</x:v>
      </x:c>
      <x:c r="F63" s="13" t="str"/>
      <x:c r="G63" s="13" t="str"/>
      <x:c r="H63" s="13" t="str"/>
      <x:c r="I63" s="13" t="str"/>
      <x:c r="J63" s="14" t="str"/>
      <x:c r="K63" s="13" t="str"/>
      <x:c r="L63" s="6" t="n">
        <x:f>IF(AND(OR(F63="ACCEPTABLE",F63="ACCEPTABLE_WITH_CORRECTIONS"),H63&lt;&gt;"",I63&lt;&gt;"",ISNUMBER(J63),K63&lt;&gt;"",IF(F63="ACCEPTABLE_WITH_CORRECTIONS",G63&lt;&gt;"",TRUE)),1,0)</x:f>
        <x:v>0</x:v>
      </x:c>
    </x:row>
    <x:row r="64" ht="72" customHeight="1">
      <x:c r="A64" s="6" t="str">
        <x:v>BA10</x:v>
      </x:c>
      <x:c r="B64" s="6" t="str">
        <x:v>Risk / Permits</x:v>
      </x:c>
      <x:c r="C64" s="6" t="str">
        <x:v>DOC03</x:v>
      </x:c>
      <x:c r="D64" s="6" t="str">
        <x:v>Administration Guide
Remediación15Oct2026 más addendum de vigencia18Oct</x:v>
      </x:c>
      <x:c r="E64" s="6" t="str">
        <x:v>E03</x:v>
      </x:c>
      <x:c r="F64" s="13" t="str"/>
      <x:c r="G64" s="13" t="str"/>
      <x:c r="H64" s="13" t="str"/>
      <x:c r="I64" s="13" t="str"/>
      <x:c r="J64" s="14" t="str"/>
      <x:c r="K64" s="13" t="str"/>
      <x:c r="L64" s="6" t="n">
        <x:f>IF(AND(OR(F64="ACCEPTABLE",F64="ACCEPTABLE_WITH_CORRECTIONS"),H64&lt;&gt;"",I64&lt;&gt;"",ISNUMBER(J64),K64&lt;&gt;"",IF(F64="ACCEPTABLE_WITH_CORRECTIONS",G64&lt;&gt;"",TRUE)),1,0)</x:f>
        <x:v>0</x:v>
      </x:c>
    </x:row>
    <x:row r="65" ht="72" customHeight="1">
      <x:c r="A65" s="6" t="str">
        <x:v>BA10</x:v>
      </x:c>
      <x:c r="B65" s="6" t="str">
        <x:v>Risk / Permits</x:v>
      </x:c>
      <x:c r="C65" s="6" t="str">
        <x:v>DOC04</x:v>
      </x:c>
      <x:c r="D65" s="6" t="str">
        <x:v>UAT Plan and Results
Cierre16Oct2026</x:v>
      </x:c>
      <x:c r="E65" s="6" t="str">
        <x:v>E04</x:v>
      </x:c>
      <x:c r="F65" s="13" t="str"/>
      <x:c r="G65" s="13" t="str"/>
      <x:c r="H65" s="13" t="str"/>
      <x:c r="I65" s="13" t="str"/>
      <x:c r="J65" s="14" t="str"/>
      <x:c r="K65" s="13" t="str"/>
      <x:c r="L65" s="6" t="n">
        <x:f>IF(AND(OR(F65="ACCEPTABLE",F65="ACCEPTABLE_WITH_CORRECTIONS"),H65&lt;&gt;"",I65&lt;&gt;"",ISNUMBER(J65),K65&lt;&gt;"",IF(F65="ACCEPTABLE_WITH_CORRECTIONS",G65&lt;&gt;"",TRUE)),1,0)</x:f>
        <x:v>0</x:v>
      </x:c>
    </x:row>
    <x:row r="66" ht="72" customHeight="1">
      <x:c r="A66" s="6" t="str">
        <x:v>BA10</x:v>
      </x:c>
      <x:c r="B66" s="6" t="str">
        <x:v>Risk / Permits</x:v>
      </x:c>
      <x:c r="C66" s="6" t="str">
        <x:v>DOC05</x:v>
      </x:c>
      <x:c r="D66" s="6" t="str">
        <x:v>UAT Traceability
Cierre16Oct2026</x:v>
      </x:c>
      <x:c r="E66" s="6" t="str">
        <x:v>E05</x:v>
      </x:c>
      <x:c r="F66" s="13" t="str"/>
      <x:c r="G66" s="13" t="str"/>
      <x:c r="H66" s="13" t="str"/>
      <x:c r="I66" s="13" t="str"/>
      <x:c r="J66" s="14" t="str"/>
      <x:c r="K66" s="13" t="str"/>
      <x:c r="L66" s="6" t="n">
        <x:f>IF(AND(OR(F66="ACCEPTABLE",F66="ACCEPTABLE_WITH_CORRECTIONS"),H66&lt;&gt;"",I66&lt;&gt;"",ISNUMBER(J66),K66&lt;&gt;"",IF(F66="ACCEPTABLE_WITH_CORRECTIONS",G66&lt;&gt;"",TRUE)),1,0)</x:f>
        <x:v>0</x:v>
      </x:c>
    </x:row>
    <x:row r="67" ht="72" customHeight="1">
      <x:c r="A67" s="6" t="str">
        <x:v>BA10</x:v>
      </x:c>
      <x:c r="B67" s="6" t="str">
        <x:v>Risk / Permits</x:v>
      </x:c>
      <x:c r="C67" s="6" t="str">
        <x:v>DOC06</x:v>
      </x:c>
      <x:c r="D67" s="6" t="str">
        <x:v>Final Release Closeout
Cierre16Oct2026</x:v>
      </x:c>
      <x:c r="E67" s="6" t="str">
        <x:v>E06</x:v>
      </x:c>
      <x:c r="F67" s="13" t="str"/>
      <x:c r="G67" s="13" t="str"/>
      <x:c r="H67" s="13" t="str"/>
      <x:c r="I67" s="13" t="str"/>
      <x:c r="J67" s="14" t="str"/>
      <x:c r="K67" s="13" t="str"/>
      <x:c r="L67" s="6" t="n">
        <x:f>IF(AND(OR(F67="ACCEPTABLE",F67="ACCEPTABLE_WITH_CORRECTIONS"),H67&lt;&gt;"",I67&lt;&gt;"",ISNUMBER(J67),K67&lt;&gt;"",IF(F67="ACCEPTABLE_WITH_CORRECTIONS",G67&lt;&gt;"",TRUE)),1,0)</x:f>
        <x:v>0</x:v>
      </x:c>
    </x:row>
    <x:row r="68" ht="72" customHeight="1">
      <x:c r="A68" s="6" t="str">
        <x:v>BA11</x:v>
      </x:c>
      <x:c r="B68" s="6" t="str">
        <x:v>Commercial &amp; Contracting</x:v>
      </x:c>
      <x:c r="C68" s="6" t="str">
        <x:v>DOC01</x:v>
      </x:c>
      <x:c r="D68" s="6" t="str">
        <x:v>Strategic Macroprocess Business Process
Corte14Oct2026</x:v>
      </x:c>
      <x:c r="E68" s="6" t="str">
        <x:v>E01</x:v>
      </x:c>
      <x:c r="F68" s="13" t="str"/>
      <x:c r="G68" s="13" t="str"/>
      <x:c r="H68" s="13" t="str"/>
      <x:c r="I68" s="13" t="str"/>
      <x:c r="J68" s="14" t="str"/>
      <x:c r="K68" s="13" t="str"/>
      <x:c r="L68" s="6" t="n">
        <x:f>IF(AND(OR(F68="ACCEPTABLE",F68="ACCEPTABLE_WITH_CORRECTIONS"),H68&lt;&gt;"",I68&lt;&gt;"",ISNUMBER(J68),K68&lt;&gt;"",IF(F68="ACCEPTABLE_WITH_CORRECTIONS",G68&lt;&gt;"",TRUE)),1,0)</x:f>
        <x:v>0</x:v>
      </x:c>
    </x:row>
    <x:row r="69" ht="72" customHeight="1">
      <x:c r="A69" s="6" t="str">
        <x:v>BA11</x:v>
      </x:c>
      <x:c r="B69" s="6" t="str">
        <x:v>Commercial &amp; Contracting</x:v>
      </x:c>
      <x:c r="C69" s="6" t="str">
        <x:v>DOC02</x:v>
      </x:c>
      <x:c r="D69" s="6" t="str">
        <x:v>User Guide
Corte14Oct2026 más addendum de vigencia18Oct</x:v>
      </x:c>
      <x:c r="E69" s="6" t="str">
        <x:v>E02</x:v>
      </x:c>
      <x:c r="F69" s="13" t="str"/>
      <x:c r="G69" s="13" t="str"/>
      <x:c r="H69" s="13" t="str"/>
      <x:c r="I69" s="13" t="str"/>
      <x:c r="J69" s="14" t="str"/>
      <x:c r="K69" s="13" t="str"/>
      <x:c r="L69" s="6" t="n">
        <x:f>IF(AND(OR(F69="ACCEPTABLE",F69="ACCEPTABLE_WITH_CORRECTIONS"),H69&lt;&gt;"",I69&lt;&gt;"",ISNUMBER(J69),K69&lt;&gt;"",IF(F69="ACCEPTABLE_WITH_CORRECTIONS",G69&lt;&gt;"",TRUE)),1,0)</x:f>
        <x:v>0</x:v>
      </x:c>
    </x:row>
    <x:row r="70" ht="72" customHeight="1">
      <x:c r="A70" s="6" t="str">
        <x:v>BA11</x:v>
      </x:c>
      <x:c r="B70" s="6" t="str">
        <x:v>Commercial &amp; Contracting</x:v>
      </x:c>
      <x:c r="C70" s="6" t="str">
        <x:v>DOC03</x:v>
      </x:c>
      <x:c r="D70" s="6" t="str">
        <x:v>Administration Guide
Remediación15Oct2026 más addendum de vigencia18Oct</x:v>
      </x:c>
      <x:c r="E70" s="6" t="str">
        <x:v>E03</x:v>
      </x:c>
      <x:c r="F70" s="13" t="str"/>
      <x:c r="G70" s="13" t="str"/>
      <x:c r="H70" s="13" t="str"/>
      <x:c r="I70" s="13" t="str"/>
      <x:c r="J70" s="14" t="str"/>
      <x:c r="K70" s="13" t="str"/>
      <x:c r="L70" s="6" t="n">
        <x:f>IF(AND(OR(F70="ACCEPTABLE",F70="ACCEPTABLE_WITH_CORRECTIONS"),H70&lt;&gt;"",I70&lt;&gt;"",ISNUMBER(J70),K70&lt;&gt;"",IF(F70="ACCEPTABLE_WITH_CORRECTIONS",G70&lt;&gt;"",TRUE)),1,0)</x:f>
        <x:v>0</x:v>
      </x:c>
    </x:row>
    <x:row r="71" ht="72" customHeight="1">
      <x:c r="A71" s="6" t="str">
        <x:v>BA11</x:v>
      </x:c>
      <x:c r="B71" s="6" t="str">
        <x:v>Commercial &amp; Contracting</x:v>
      </x:c>
      <x:c r="C71" s="6" t="str">
        <x:v>DOC04</x:v>
      </x:c>
      <x:c r="D71" s="6" t="str">
        <x:v>UAT Plan and Results
Cierre16Oct2026</x:v>
      </x:c>
      <x:c r="E71" s="6" t="str">
        <x:v>E04</x:v>
      </x:c>
      <x:c r="F71" s="13" t="str"/>
      <x:c r="G71" s="13" t="str"/>
      <x:c r="H71" s="13" t="str"/>
      <x:c r="I71" s="13" t="str"/>
      <x:c r="J71" s="14" t="str"/>
      <x:c r="K71" s="13" t="str"/>
      <x:c r="L71" s="6" t="n">
        <x:f>IF(AND(OR(F71="ACCEPTABLE",F71="ACCEPTABLE_WITH_CORRECTIONS"),H71&lt;&gt;"",I71&lt;&gt;"",ISNUMBER(J71),K71&lt;&gt;"",IF(F71="ACCEPTABLE_WITH_CORRECTIONS",G71&lt;&gt;"",TRUE)),1,0)</x:f>
        <x:v>0</x:v>
      </x:c>
    </x:row>
    <x:row r="72" ht="72" customHeight="1">
      <x:c r="A72" s="6" t="str">
        <x:v>BA11</x:v>
      </x:c>
      <x:c r="B72" s="6" t="str">
        <x:v>Commercial &amp; Contracting</x:v>
      </x:c>
      <x:c r="C72" s="6" t="str">
        <x:v>DOC05</x:v>
      </x:c>
      <x:c r="D72" s="6" t="str">
        <x:v>UAT Traceability
Cierre16Oct2026</x:v>
      </x:c>
      <x:c r="E72" s="6" t="str">
        <x:v>E05</x:v>
      </x:c>
      <x:c r="F72" s="13" t="str"/>
      <x:c r="G72" s="13" t="str"/>
      <x:c r="H72" s="13" t="str"/>
      <x:c r="I72" s="13" t="str"/>
      <x:c r="J72" s="14" t="str"/>
      <x:c r="K72" s="13" t="str"/>
      <x:c r="L72" s="6" t="n">
        <x:f>IF(AND(OR(F72="ACCEPTABLE",F72="ACCEPTABLE_WITH_CORRECTIONS"),H72&lt;&gt;"",I72&lt;&gt;"",ISNUMBER(J72),K72&lt;&gt;"",IF(F72="ACCEPTABLE_WITH_CORRECTIONS",G72&lt;&gt;"",TRUE)),1,0)</x:f>
        <x:v>0</x:v>
      </x:c>
    </x:row>
    <x:row r="73" ht="72" customHeight="1">
      <x:c r="A73" s="6" t="str">
        <x:v>BA11</x:v>
      </x:c>
      <x:c r="B73" s="6" t="str">
        <x:v>Commercial &amp; Contracting</x:v>
      </x:c>
      <x:c r="C73" s="6" t="str">
        <x:v>DOC06</x:v>
      </x:c>
      <x:c r="D73" s="6" t="str">
        <x:v>Final Release Closeout
Cierre16Oct2026</x:v>
      </x:c>
      <x:c r="E73" s="6" t="str">
        <x:v>E06</x:v>
      </x:c>
      <x:c r="F73" s="13" t="str"/>
      <x:c r="G73" s="13" t="str"/>
      <x:c r="H73" s="13" t="str"/>
      <x:c r="I73" s="13" t="str"/>
      <x:c r="J73" s="14" t="str"/>
      <x:c r="K73" s="13" t="str"/>
      <x:c r="L73" s="6" t="n">
        <x:f>IF(AND(OR(F73="ACCEPTABLE",F73="ACCEPTABLE_WITH_CORRECTIONS"),H73&lt;&gt;"",I73&lt;&gt;"",ISNUMBER(J73),K73&lt;&gt;"",IF(F73="ACCEPTABLE_WITH_CORRECTIONS",G73&lt;&gt;"",TRUE)),1,0)</x:f>
        <x:v>0</x:v>
      </x:c>
    </x:row>
    <x:row r="74" ht="72" customHeight="1">
      <x:c r="A74" s="6" t="str">
        <x:v>BA12</x:v>
      </x:c>
      <x:c r="B74" s="6" t="str">
        <x:v>Finance / Funding / Economic Model</x:v>
      </x:c>
      <x:c r="C74" s="6" t="str">
        <x:v>DOC01</x:v>
      </x:c>
      <x:c r="D74" s="6" t="str">
        <x:v>Strategic Macroprocess Business Process
Corte14Oct2026</x:v>
      </x:c>
      <x:c r="E74" s="6" t="str">
        <x:v>E01</x:v>
      </x:c>
      <x:c r="F74" s="13" t="str"/>
      <x:c r="G74" s="13" t="str"/>
      <x:c r="H74" s="13" t="str"/>
      <x:c r="I74" s="13" t="str"/>
      <x:c r="J74" s="14" t="str"/>
      <x:c r="K74" s="13" t="str"/>
      <x:c r="L74" s="6" t="n">
        <x:f>IF(AND(OR(F74="ACCEPTABLE",F74="ACCEPTABLE_WITH_CORRECTIONS"),H74&lt;&gt;"",I74&lt;&gt;"",ISNUMBER(J74),K74&lt;&gt;"",IF(F74="ACCEPTABLE_WITH_CORRECTIONS",G74&lt;&gt;"",TRUE)),1,0)</x:f>
        <x:v>0</x:v>
      </x:c>
    </x:row>
    <x:row r="75" ht="72" customHeight="1">
      <x:c r="A75" s="6" t="str">
        <x:v>BA12</x:v>
      </x:c>
      <x:c r="B75" s="6" t="str">
        <x:v>Finance / Funding / Economic Model</x:v>
      </x:c>
      <x:c r="C75" s="6" t="str">
        <x:v>DOC02</x:v>
      </x:c>
      <x:c r="D75" s="6" t="str">
        <x:v>User Guide
Corte14Oct2026 más addendum de vigencia18Oct</x:v>
      </x:c>
      <x:c r="E75" s="6" t="str">
        <x:v>E02</x:v>
      </x:c>
      <x:c r="F75" s="13" t="str"/>
      <x:c r="G75" s="13" t="str"/>
      <x:c r="H75" s="13" t="str"/>
      <x:c r="I75" s="13" t="str"/>
      <x:c r="J75" s="14" t="str"/>
      <x:c r="K75" s="13" t="str"/>
      <x:c r="L75" s="6" t="n">
        <x:f>IF(AND(OR(F75="ACCEPTABLE",F75="ACCEPTABLE_WITH_CORRECTIONS"),H75&lt;&gt;"",I75&lt;&gt;"",ISNUMBER(J75),K75&lt;&gt;"",IF(F75="ACCEPTABLE_WITH_CORRECTIONS",G75&lt;&gt;"",TRUE)),1,0)</x:f>
        <x:v>0</x:v>
      </x:c>
    </x:row>
    <x:row r="76" ht="72" customHeight="1">
      <x:c r="A76" s="6" t="str">
        <x:v>BA12</x:v>
      </x:c>
      <x:c r="B76" s="6" t="str">
        <x:v>Finance / Funding / Economic Model</x:v>
      </x:c>
      <x:c r="C76" s="6" t="str">
        <x:v>DOC03</x:v>
      </x:c>
      <x:c r="D76" s="6" t="str">
        <x:v>Administration Guide
Remediación15Oct2026 más addendum de vigencia18Oct</x:v>
      </x:c>
      <x:c r="E76" s="6" t="str">
        <x:v>E03</x:v>
      </x:c>
      <x:c r="F76" s="13" t="str"/>
      <x:c r="G76" s="13" t="str"/>
      <x:c r="H76" s="13" t="str"/>
      <x:c r="I76" s="13" t="str"/>
      <x:c r="J76" s="14" t="str"/>
      <x:c r="K76" s="13" t="str"/>
      <x:c r="L76" s="6" t="n">
        <x:f>IF(AND(OR(F76="ACCEPTABLE",F76="ACCEPTABLE_WITH_CORRECTIONS"),H76&lt;&gt;"",I76&lt;&gt;"",ISNUMBER(J76),K76&lt;&gt;"",IF(F76="ACCEPTABLE_WITH_CORRECTIONS",G76&lt;&gt;"",TRUE)),1,0)</x:f>
        <x:v>0</x:v>
      </x:c>
    </x:row>
    <x:row r="77" ht="72" customHeight="1">
      <x:c r="A77" s="6" t="str">
        <x:v>BA12</x:v>
      </x:c>
      <x:c r="B77" s="6" t="str">
        <x:v>Finance / Funding / Economic Model</x:v>
      </x:c>
      <x:c r="C77" s="6" t="str">
        <x:v>DOC04</x:v>
      </x:c>
      <x:c r="D77" s="6" t="str">
        <x:v>UAT Plan and Results
Cierre16Oct2026</x:v>
      </x:c>
      <x:c r="E77" s="6" t="str">
        <x:v>E04</x:v>
      </x:c>
      <x:c r="F77" s="13" t="str"/>
      <x:c r="G77" s="13" t="str"/>
      <x:c r="H77" s="13" t="str"/>
      <x:c r="I77" s="13" t="str"/>
      <x:c r="J77" s="14" t="str"/>
      <x:c r="K77" s="13" t="str"/>
      <x:c r="L77" s="6" t="n">
        <x:f>IF(AND(OR(F77="ACCEPTABLE",F77="ACCEPTABLE_WITH_CORRECTIONS"),H77&lt;&gt;"",I77&lt;&gt;"",ISNUMBER(J77),K77&lt;&gt;"",IF(F77="ACCEPTABLE_WITH_CORRECTIONS",G77&lt;&gt;"",TRUE)),1,0)</x:f>
        <x:v>0</x:v>
      </x:c>
    </x:row>
    <x:row r="78" ht="72" customHeight="1">
      <x:c r="A78" s="6" t="str">
        <x:v>BA12</x:v>
      </x:c>
      <x:c r="B78" s="6" t="str">
        <x:v>Finance / Funding / Economic Model</x:v>
      </x:c>
      <x:c r="C78" s="6" t="str">
        <x:v>DOC05</x:v>
      </x:c>
      <x:c r="D78" s="6" t="str">
        <x:v>UAT Traceability
Cierre16Oct2026</x:v>
      </x:c>
      <x:c r="E78" s="6" t="str">
        <x:v>E05</x:v>
      </x:c>
      <x:c r="F78" s="13" t="str"/>
      <x:c r="G78" s="13" t="str"/>
      <x:c r="H78" s="13" t="str"/>
      <x:c r="I78" s="13" t="str"/>
      <x:c r="J78" s="14" t="str"/>
      <x:c r="K78" s="13" t="str"/>
      <x:c r="L78" s="6" t="n">
        <x:f>IF(AND(OR(F78="ACCEPTABLE",F78="ACCEPTABLE_WITH_CORRECTIONS"),H78&lt;&gt;"",I78&lt;&gt;"",ISNUMBER(J78),K78&lt;&gt;"",IF(F78="ACCEPTABLE_WITH_CORRECTIONS",G78&lt;&gt;"",TRUE)),1,0)</x:f>
        <x:v>0</x:v>
      </x:c>
    </x:row>
    <x:row r="79" ht="72" customHeight="1">
      <x:c r="A79" s="6" t="str">
        <x:v>BA12</x:v>
      </x:c>
      <x:c r="B79" s="6" t="str">
        <x:v>Finance / Funding / Economic Model</x:v>
      </x:c>
      <x:c r="C79" s="6" t="str">
        <x:v>DOC06</x:v>
      </x:c>
      <x:c r="D79" s="6" t="str">
        <x:v>Final Release Closeout
Cierre16Oct2026</x:v>
      </x:c>
      <x:c r="E79" s="6" t="str">
        <x:v>E06</x:v>
      </x:c>
      <x:c r="F79" s="13" t="str"/>
      <x:c r="G79" s="13" t="str"/>
      <x:c r="H79" s="13" t="str"/>
      <x:c r="I79" s="13" t="str"/>
      <x:c r="J79" s="14" t="str"/>
      <x:c r="K79" s="13" t="str"/>
      <x:c r="L79" s="6" t="n">
        <x:f>IF(AND(OR(F79="ACCEPTABLE",F79="ACCEPTABLE_WITH_CORRECTIONS"),H79&lt;&gt;"",I79&lt;&gt;"",ISNUMBER(J79),K79&lt;&gt;"",IF(F79="ACCEPTABLE_WITH_CORRECTIONS",G79&lt;&gt;"",TRUE)),1,0)</x:f>
        <x:v>0</x:v>
      </x:c>
    </x:row>
    <x:row r="80" ht="72" customHeight="1">
      <x:c r="A80" s="6" t="str">
        <x:v>BA13</x:v>
      </x:c>
      <x:c r="B80" s="6" t="str">
        <x:v>QRA / Quantitative Risk Analysis</x:v>
      </x:c>
      <x:c r="C80" s="6" t="str">
        <x:v>DOC01</x:v>
      </x:c>
      <x:c r="D80" s="6" t="str">
        <x:v>Strategic Macroprocess Business Process
Corte14Oct2026</x:v>
      </x:c>
      <x:c r="E80" s="6" t="str">
        <x:v>E01</x:v>
      </x:c>
      <x:c r="F80" s="13" t="str"/>
      <x:c r="G80" s="13" t="str"/>
      <x:c r="H80" s="13" t="str"/>
      <x:c r="I80" s="13" t="str"/>
      <x:c r="J80" s="14" t="str"/>
      <x:c r="K80" s="13" t="str"/>
      <x:c r="L80" s="6" t="n">
        <x:f>IF(AND(OR(F80="ACCEPTABLE",F80="ACCEPTABLE_WITH_CORRECTIONS"),H80&lt;&gt;"",I80&lt;&gt;"",ISNUMBER(J80),K80&lt;&gt;"",IF(F80="ACCEPTABLE_WITH_CORRECTIONS",G80&lt;&gt;"",TRUE)),1,0)</x:f>
        <x:v>0</x:v>
      </x:c>
    </x:row>
    <x:row r="81" ht="72" customHeight="1">
      <x:c r="A81" s="6" t="str">
        <x:v>BA13</x:v>
      </x:c>
      <x:c r="B81" s="6" t="str">
        <x:v>QRA / Quantitative Risk Analysis</x:v>
      </x:c>
      <x:c r="C81" s="6" t="str">
        <x:v>DOC02</x:v>
      </x:c>
      <x:c r="D81" s="6" t="str">
        <x:v>User Guide
Corte14Oct2026 más addendum de vigencia18Oct</x:v>
      </x:c>
      <x:c r="E81" s="6" t="str">
        <x:v>E02</x:v>
      </x:c>
      <x:c r="F81" s="13" t="str"/>
      <x:c r="G81" s="13" t="str"/>
      <x:c r="H81" s="13" t="str"/>
      <x:c r="I81" s="13" t="str"/>
      <x:c r="J81" s="14" t="str"/>
      <x:c r="K81" s="13" t="str"/>
      <x:c r="L81" s="6" t="n">
        <x:f>IF(AND(OR(F81="ACCEPTABLE",F81="ACCEPTABLE_WITH_CORRECTIONS"),H81&lt;&gt;"",I81&lt;&gt;"",ISNUMBER(J81),K81&lt;&gt;"",IF(F81="ACCEPTABLE_WITH_CORRECTIONS",G81&lt;&gt;"",TRUE)),1,0)</x:f>
        <x:v>0</x:v>
      </x:c>
    </x:row>
    <x:row r="82" ht="72" customHeight="1">
      <x:c r="A82" s="6" t="str">
        <x:v>BA13</x:v>
      </x:c>
      <x:c r="B82" s="6" t="str">
        <x:v>QRA / Quantitative Risk Analysis</x:v>
      </x:c>
      <x:c r="C82" s="6" t="str">
        <x:v>DOC03</x:v>
      </x:c>
      <x:c r="D82" s="6" t="str">
        <x:v>Administration Guide
Remediación15Oct2026 más addendum de vigencia18Oct</x:v>
      </x:c>
      <x:c r="E82" s="6" t="str">
        <x:v>E03</x:v>
      </x:c>
      <x:c r="F82" s="13" t="str"/>
      <x:c r="G82" s="13" t="str"/>
      <x:c r="H82" s="13" t="str"/>
      <x:c r="I82" s="13" t="str"/>
      <x:c r="J82" s="14" t="str"/>
      <x:c r="K82" s="13" t="str"/>
      <x:c r="L82" s="6" t="n">
        <x:f>IF(AND(OR(F82="ACCEPTABLE",F82="ACCEPTABLE_WITH_CORRECTIONS"),H82&lt;&gt;"",I82&lt;&gt;"",ISNUMBER(J82),K82&lt;&gt;"",IF(F82="ACCEPTABLE_WITH_CORRECTIONS",G82&lt;&gt;"",TRUE)),1,0)</x:f>
        <x:v>0</x:v>
      </x:c>
    </x:row>
    <x:row r="83" ht="72" customHeight="1">
      <x:c r="A83" s="6" t="str">
        <x:v>BA13</x:v>
      </x:c>
      <x:c r="B83" s="6" t="str">
        <x:v>QRA / Quantitative Risk Analysis</x:v>
      </x:c>
      <x:c r="C83" s="6" t="str">
        <x:v>DOC04</x:v>
      </x:c>
      <x:c r="D83" s="6" t="str">
        <x:v>UAT Plan and Results
Cierre16Oct2026</x:v>
      </x:c>
      <x:c r="E83" s="6" t="str">
        <x:v>E04</x:v>
      </x:c>
      <x:c r="F83" s="13" t="str"/>
      <x:c r="G83" s="13" t="str"/>
      <x:c r="H83" s="13" t="str"/>
      <x:c r="I83" s="13" t="str"/>
      <x:c r="J83" s="14" t="str"/>
      <x:c r="K83" s="13" t="str"/>
      <x:c r="L83" s="6" t="n">
        <x:f>IF(AND(OR(F83="ACCEPTABLE",F83="ACCEPTABLE_WITH_CORRECTIONS"),H83&lt;&gt;"",I83&lt;&gt;"",ISNUMBER(J83),K83&lt;&gt;"",IF(F83="ACCEPTABLE_WITH_CORRECTIONS",G83&lt;&gt;"",TRUE)),1,0)</x:f>
        <x:v>0</x:v>
      </x:c>
    </x:row>
    <x:row r="84" ht="72" customHeight="1">
      <x:c r="A84" s="6" t="str">
        <x:v>BA13</x:v>
      </x:c>
      <x:c r="B84" s="6" t="str">
        <x:v>QRA / Quantitative Risk Analysis</x:v>
      </x:c>
      <x:c r="C84" s="6" t="str">
        <x:v>DOC05</x:v>
      </x:c>
      <x:c r="D84" s="6" t="str">
        <x:v>UAT Traceability
Cierre16Oct2026</x:v>
      </x:c>
      <x:c r="E84" s="6" t="str">
        <x:v>E05</x:v>
      </x:c>
      <x:c r="F84" s="13" t="str"/>
      <x:c r="G84" s="13" t="str"/>
      <x:c r="H84" s="13" t="str"/>
      <x:c r="I84" s="13" t="str"/>
      <x:c r="J84" s="14" t="str"/>
      <x:c r="K84" s="13" t="str"/>
      <x:c r="L84" s="6" t="n">
        <x:f>IF(AND(OR(F84="ACCEPTABLE",F84="ACCEPTABLE_WITH_CORRECTIONS"),H84&lt;&gt;"",I84&lt;&gt;"",ISNUMBER(J84),K84&lt;&gt;"",IF(F84="ACCEPTABLE_WITH_CORRECTIONS",G84&lt;&gt;"",TRUE)),1,0)</x:f>
        <x:v>0</x:v>
      </x:c>
    </x:row>
    <x:row r="85" ht="72" customHeight="1">
      <x:c r="A85" s="6" t="str">
        <x:v>BA13</x:v>
      </x:c>
      <x:c r="B85" s="6" t="str">
        <x:v>QRA / Quantitative Risk Analysis</x:v>
      </x:c>
      <x:c r="C85" s="6" t="str">
        <x:v>DOC06</x:v>
      </x:c>
      <x:c r="D85" s="6" t="str">
        <x:v>Final Release Closeout
Cierre16Oct2026</x:v>
      </x:c>
      <x:c r="E85" s="6" t="str">
        <x:v>E06</x:v>
      </x:c>
      <x:c r="F85" s="13" t="str"/>
      <x:c r="G85" s="13" t="str"/>
      <x:c r="H85" s="13" t="str"/>
      <x:c r="I85" s="13" t="str"/>
      <x:c r="J85" s="14" t="str"/>
      <x:c r="K85" s="13" t="str"/>
      <x:c r="L85" s="6" t="n">
        <x:f>IF(AND(OR(F85="ACCEPTABLE",F85="ACCEPTABLE_WITH_CORRECTIONS"),H85&lt;&gt;"",I85&lt;&gt;"",ISNUMBER(J85),K85&lt;&gt;"",IF(F85="ACCEPTABLE_WITH_CORRECTIONS",G85&lt;&gt;"",TRUE)),1,0)</x:f>
        <x:v>0</x:v>
      </x:c>
    </x:row>
    <x:row r="86" ht="72" customHeight="1">
      <x:c r="A86" s="6" t="str">
        <x:v>BA14</x:v>
      </x:c>
      <x:c r="B86" s="6" t="str">
        <x:v>Investment Gate / FID Authority</x:v>
      </x:c>
      <x:c r="C86" s="6" t="str">
        <x:v>DOC01</x:v>
      </x:c>
      <x:c r="D86" s="6" t="str">
        <x:v>Strategic Macroprocess Business Process
Corte14Oct2026</x:v>
      </x:c>
      <x:c r="E86" s="6" t="str">
        <x:v>E01</x:v>
      </x:c>
      <x:c r="F86" s="13" t="str"/>
      <x:c r="G86" s="13" t="str"/>
      <x:c r="H86" s="13" t="str"/>
      <x:c r="I86" s="13" t="str"/>
      <x:c r="J86" s="14" t="str"/>
      <x:c r="K86" s="13" t="str"/>
      <x:c r="L86" s="6" t="n">
        <x:f>IF(AND(OR(F86="ACCEPTABLE",F86="ACCEPTABLE_WITH_CORRECTIONS"),H86&lt;&gt;"",I86&lt;&gt;"",ISNUMBER(J86),K86&lt;&gt;"",IF(F86="ACCEPTABLE_WITH_CORRECTIONS",G86&lt;&gt;"",TRUE)),1,0)</x:f>
        <x:v>0</x:v>
      </x:c>
    </x:row>
    <x:row r="87" ht="72" customHeight="1">
      <x:c r="A87" s="6" t="str">
        <x:v>BA14</x:v>
      </x:c>
      <x:c r="B87" s="6" t="str">
        <x:v>Investment Gate / FID Authority</x:v>
      </x:c>
      <x:c r="C87" s="6" t="str">
        <x:v>DOC02</x:v>
      </x:c>
      <x:c r="D87" s="6" t="str">
        <x:v>User Guide
Corte14Oct2026 más addendum de vigencia18Oct</x:v>
      </x:c>
      <x:c r="E87" s="6" t="str">
        <x:v>E02</x:v>
      </x:c>
      <x:c r="F87" s="13" t="str"/>
      <x:c r="G87" s="13" t="str"/>
      <x:c r="H87" s="13" t="str"/>
      <x:c r="I87" s="13" t="str"/>
      <x:c r="J87" s="14" t="str"/>
      <x:c r="K87" s="13" t="str"/>
      <x:c r="L87" s="6" t="n">
        <x:f>IF(AND(OR(F87="ACCEPTABLE",F87="ACCEPTABLE_WITH_CORRECTIONS"),H87&lt;&gt;"",I87&lt;&gt;"",ISNUMBER(J87),K87&lt;&gt;"",IF(F87="ACCEPTABLE_WITH_CORRECTIONS",G87&lt;&gt;"",TRUE)),1,0)</x:f>
        <x:v>0</x:v>
      </x:c>
    </x:row>
    <x:row r="88" ht="72" customHeight="1">
      <x:c r="A88" s="6" t="str">
        <x:v>BA14</x:v>
      </x:c>
      <x:c r="B88" s="6" t="str">
        <x:v>Investment Gate / FID Authority</x:v>
      </x:c>
      <x:c r="C88" s="6" t="str">
        <x:v>DOC03</x:v>
      </x:c>
      <x:c r="D88" s="6" t="str">
        <x:v>Administration Guide
Remediación15Oct2026 más addendum de vigencia18Oct</x:v>
      </x:c>
      <x:c r="E88" s="6" t="str">
        <x:v>E03</x:v>
      </x:c>
      <x:c r="F88" s="13" t="str"/>
      <x:c r="G88" s="13" t="str"/>
      <x:c r="H88" s="13" t="str"/>
      <x:c r="I88" s="13" t="str"/>
      <x:c r="J88" s="14" t="str"/>
      <x:c r="K88" s="13" t="str"/>
      <x:c r="L88" s="6" t="n">
        <x:f>IF(AND(OR(F88="ACCEPTABLE",F88="ACCEPTABLE_WITH_CORRECTIONS"),H88&lt;&gt;"",I88&lt;&gt;"",ISNUMBER(J88),K88&lt;&gt;"",IF(F88="ACCEPTABLE_WITH_CORRECTIONS",G88&lt;&gt;"",TRUE)),1,0)</x:f>
        <x:v>0</x:v>
      </x:c>
    </x:row>
    <x:row r="89" ht="72" customHeight="1">
      <x:c r="A89" s="6" t="str">
        <x:v>BA14</x:v>
      </x:c>
      <x:c r="B89" s="6" t="str">
        <x:v>Investment Gate / FID Authority</x:v>
      </x:c>
      <x:c r="C89" s="6" t="str">
        <x:v>DOC04</x:v>
      </x:c>
      <x:c r="D89" s="6" t="str">
        <x:v>UAT Plan and Results
Cierre16Oct2026</x:v>
      </x:c>
      <x:c r="E89" s="6" t="str">
        <x:v>E04</x:v>
      </x:c>
      <x:c r="F89" s="13" t="str"/>
      <x:c r="G89" s="13" t="str"/>
      <x:c r="H89" s="13" t="str"/>
      <x:c r="I89" s="13" t="str"/>
      <x:c r="J89" s="14" t="str"/>
      <x:c r="K89" s="13" t="str"/>
      <x:c r="L89" s="6" t="n">
        <x:f>IF(AND(OR(F89="ACCEPTABLE",F89="ACCEPTABLE_WITH_CORRECTIONS"),H89&lt;&gt;"",I89&lt;&gt;"",ISNUMBER(J89),K89&lt;&gt;"",IF(F89="ACCEPTABLE_WITH_CORRECTIONS",G89&lt;&gt;"",TRUE)),1,0)</x:f>
        <x:v>0</x:v>
      </x:c>
    </x:row>
    <x:row r="90" ht="72" customHeight="1">
      <x:c r="A90" s="6" t="str">
        <x:v>BA14</x:v>
      </x:c>
      <x:c r="B90" s="6" t="str">
        <x:v>Investment Gate / FID Authority</x:v>
      </x:c>
      <x:c r="C90" s="6" t="str">
        <x:v>DOC05</x:v>
      </x:c>
      <x:c r="D90" s="6" t="str">
        <x:v>UAT Traceability
Cierre16Oct2026</x:v>
      </x:c>
      <x:c r="E90" s="6" t="str">
        <x:v>E05</x:v>
      </x:c>
      <x:c r="F90" s="13" t="str"/>
      <x:c r="G90" s="13" t="str"/>
      <x:c r="H90" s="13" t="str"/>
      <x:c r="I90" s="13" t="str"/>
      <x:c r="J90" s="14" t="str"/>
      <x:c r="K90" s="13" t="str"/>
      <x:c r="L90" s="6" t="n">
        <x:f>IF(AND(OR(F90="ACCEPTABLE",F90="ACCEPTABLE_WITH_CORRECTIONS"),H90&lt;&gt;"",I90&lt;&gt;"",ISNUMBER(J90),K90&lt;&gt;"",IF(F90="ACCEPTABLE_WITH_CORRECTIONS",G90&lt;&gt;"",TRUE)),1,0)</x:f>
        <x:v>0</x:v>
      </x:c>
    </x:row>
    <x:row r="91" ht="72" customHeight="1">
      <x:c r="A91" s="6" t="str">
        <x:v>BA14</x:v>
      </x:c>
      <x:c r="B91" s="6" t="str">
        <x:v>Investment Gate / FID Authority</x:v>
      </x:c>
      <x:c r="C91" s="6" t="str">
        <x:v>DOC06</x:v>
      </x:c>
      <x:c r="D91" s="6" t="str">
        <x:v>Final Release Closeout
Cierre16Oct2026</x:v>
      </x:c>
      <x:c r="E91" s="6" t="str">
        <x:v>E06</x:v>
      </x:c>
      <x:c r="F91" s="13" t="str"/>
      <x:c r="G91" s="13" t="str"/>
      <x:c r="H91" s="13" t="str"/>
      <x:c r="I91" s="13" t="str"/>
      <x:c r="J91" s="14" t="str"/>
      <x:c r="K91" s="13" t="str"/>
      <x:c r="L91" s="6" t="n">
        <x:f>IF(AND(OR(F91="ACCEPTABLE",F91="ACCEPTABLE_WITH_CORRECTIONS"),H91&lt;&gt;"",I91&lt;&gt;"",ISNUMBER(J91),K91&lt;&gt;"",IF(F91="ACCEPTABLE_WITH_CORRECTIONS",G91&lt;&gt;"",TRUE)),1,0)</x:f>
        <x:v>0</x:v>
      </x:c>
    </x:row>
    <x:row r="92" ht="72" customHeight="1">
      <x:c r="A92" s="6" t="str">
        <x:v>BA15</x:v>
      </x:c>
      <x:c r="B92" s="6" t="str">
        <x:v>Post FID / Project Governance</x:v>
      </x:c>
      <x:c r="C92" s="6" t="str">
        <x:v>DOC01</x:v>
      </x:c>
      <x:c r="D92" s="6" t="str">
        <x:v>Strategic Macroprocess Business Process
Corte14Oct2026</x:v>
      </x:c>
      <x:c r="E92" s="6" t="str">
        <x:v>E01</x:v>
      </x:c>
      <x:c r="F92" s="13" t="str"/>
      <x:c r="G92" s="13" t="str"/>
      <x:c r="H92" s="13" t="str"/>
      <x:c r="I92" s="13" t="str"/>
      <x:c r="J92" s="14" t="str"/>
      <x:c r="K92" s="13" t="str"/>
      <x:c r="L92" s="6" t="n">
        <x:f>IF(AND(OR(F92="ACCEPTABLE",F92="ACCEPTABLE_WITH_CORRECTIONS"),H92&lt;&gt;"",I92&lt;&gt;"",ISNUMBER(J92),K92&lt;&gt;"",IF(F92="ACCEPTABLE_WITH_CORRECTIONS",G92&lt;&gt;"",TRUE)),1,0)</x:f>
        <x:v>0</x:v>
      </x:c>
    </x:row>
    <x:row r="93" ht="72" customHeight="1">
      <x:c r="A93" s="6" t="str">
        <x:v>BA15</x:v>
      </x:c>
      <x:c r="B93" s="6" t="str">
        <x:v>Post FID / Project Governance</x:v>
      </x:c>
      <x:c r="C93" s="6" t="str">
        <x:v>DOC02</x:v>
      </x:c>
      <x:c r="D93" s="6" t="str">
        <x:v>User Guide
Corte14Oct2026 más addendum de vigencia18Oct</x:v>
      </x:c>
      <x:c r="E93" s="6" t="str">
        <x:v>E02</x:v>
      </x:c>
      <x:c r="F93" s="13" t="str"/>
      <x:c r="G93" s="13" t="str"/>
      <x:c r="H93" s="13" t="str"/>
      <x:c r="I93" s="13" t="str"/>
      <x:c r="J93" s="14" t="str"/>
      <x:c r="K93" s="13" t="str"/>
      <x:c r="L93" s="6" t="n">
        <x:f>IF(AND(OR(F93="ACCEPTABLE",F93="ACCEPTABLE_WITH_CORRECTIONS"),H93&lt;&gt;"",I93&lt;&gt;"",ISNUMBER(J93),K93&lt;&gt;"",IF(F93="ACCEPTABLE_WITH_CORRECTIONS",G93&lt;&gt;"",TRUE)),1,0)</x:f>
        <x:v>0</x:v>
      </x:c>
    </x:row>
    <x:row r="94" ht="72" customHeight="1">
      <x:c r="A94" s="6" t="str">
        <x:v>BA15</x:v>
      </x:c>
      <x:c r="B94" s="6" t="str">
        <x:v>Post FID / Project Governance</x:v>
      </x:c>
      <x:c r="C94" s="6" t="str">
        <x:v>DOC03</x:v>
      </x:c>
      <x:c r="D94" s="6" t="str">
        <x:v>Administration Guide
Remediación15Oct2026 más addendum de vigencia18Oct</x:v>
      </x:c>
      <x:c r="E94" s="6" t="str">
        <x:v>E03</x:v>
      </x:c>
      <x:c r="F94" s="13" t="str"/>
      <x:c r="G94" s="13" t="str"/>
      <x:c r="H94" s="13" t="str"/>
      <x:c r="I94" s="13" t="str"/>
      <x:c r="J94" s="14" t="str"/>
      <x:c r="K94" s="13" t="str"/>
      <x:c r="L94" s="6" t="n">
        <x:f>IF(AND(OR(F94="ACCEPTABLE",F94="ACCEPTABLE_WITH_CORRECTIONS"),H94&lt;&gt;"",I94&lt;&gt;"",ISNUMBER(J94),K94&lt;&gt;"",IF(F94="ACCEPTABLE_WITH_CORRECTIONS",G94&lt;&gt;"",TRUE)),1,0)</x:f>
        <x:v>0</x:v>
      </x:c>
    </x:row>
    <x:row r="95" ht="72" customHeight="1">
      <x:c r="A95" s="6" t="str">
        <x:v>BA15</x:v>
      </x:c>
      <x:c r="B95" s="6" t="str">
        <x:v>Post FID / Project Governance</x:v>
      </x:c>
      <x:c r="C95" s="6" t="str">
        <x:v>DOC04</x:v>
      </x:c>
      <x:c r="D95" s="6" t="str">
        <x:v>UAT Plan and Results
Cierre16Oct2026</x:v>
      </x:c>
      <x:c r="E95" s="6" t="str">
        <x:v>E04</x:v>
      </x:c>
      <x:c r="F95" s="13" t="str"/>
      <x:c r="G95" s="13" t="str"/>
      <x:c r="H95" s="13" t="str"/>
      <x:c r="I95" s="13" t="str"/>
      <x:c r="J95" s="14" t="str"/>
      <x:c r="K95" s="13" t="str"/>
      <x:c r="L95" s="6" t="n">
        <x:f>IF(AND(OR(F95="ACCEPTABLE",F95="ACCEPTABLE_WITH_CORRECTIONS"),H95&lt;&gt;"",I95&lt;&gt;"",ISNUMBER(J95),K95&lt;&gt;"",IF(F95="ACCEPTABLE_WITH_CORRECTIONS",G95&lt;&gt;"",TRUE)),1,0)</x:f>
        <x:v>0</x:v>
      </x:c>
    </x:row>
    <x:row r="96" ht="72" customHeight="1">
      <x:c r="A96" s="6" t="str">
        <x:v>BA15</x:v>
      </x:c>
      <x:c r="B96" s="6" t="str">
        <x:v>Post FID / Project Governance</x:v>
      </x:c>
      <x:c r="C96" s="6" t="str">
        <x:v>DOC05</x:v>
      </x:c>
      <x:c r="D96" s="6" t="str">
        <x:v>UAT Traceability
Cierre16Oct2026</x:v>
      </x:c>
      <x:c r="E96" s="6" t="str">
        <x:v>E05</x:v>
      </x:c>
      <x:c r="F96" s="13" t="str"/>
      <x:c r="G96" s="13" t="str"/>
      <x:c r="H96" s="13" t="str"/>
      <x:c r="I96" s="13" t="str"/>
      <x:c r="J96" s="14" t="str"/>
      <x:c r="K96" s="13" t="str"/>
      <x:c r="L96" s="6" t="n">
        <x:f>IF(AND(OR(F96="ACCEPTABLE",F96="ACCEPTABLE_WITH_CORRECTIONS"),H96&lt;&gt;"",I96&lt;&gt;"",ISNUMBER(J96),K96&lt;&gt;"",IF(F96="ACCEPTABLE_WITH_CORRECTIONS",G96&lt;&gt;"",TRUE)),1,0)</x:f>
        <x:v>0</x:v>
      </x:c>
    </x:row>
    <x:row r="97" ht="72" customHeight="1">
      <x:c r="A97" s="6" t="str">
        <x:v>BA15</x:v>
      </x:c>
      <x:c r="B97" s="6" t="str">
        <x:v>Post FID / Project Governance</x:v>
      </x:c>
      <x:c r="C97" s="6" t="str">
        <x:v>DOC06</x:v>
      </x:c>
      <x:c r="D97" s="6" t="str">
        <x:v>Final Release Closeout
Cierre16Oct2026</x:v>
      </x:c>
      <x:c r="E97" s="6" t="str">
        <x:v>E06</x:v>
      </x:c>
      <x:c r="F97" s="13" t="str"/>
      <x:c r="G97" s="13" t="str"/>
      <x:c r="H97" s="13" t="str"/>
      <x:c r="I97" s="13" t="str"/>
      <x:c r="J97" s="14" t="str"/>
      <x:c r="K97" s="13" t="str"/>
      <x:c r="L97" s="6" t="n">
        <x:f>IF(AND(OR(F97="ACCEPTABLE",F97="ACCEPTABLE_WITH_CORRECTIONS"),H97&lt;&gt;"",I97&lt;&gt;"",ISNUMBER(J97),K97&lt;&gt;"",IF(F97="ACCEPTABLE_WITH_CORRECTIONS",G97&lt;&gt;"",TRUE)),1,0)</x:f>
        <x:v>0</x:v>
      </x:c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</x:sheetData>
  <x:conditionalFormatting sqref="F8:F97">
    <x:cfRule type="containsText" dxfId="6" priority="1" operator="containsText" text="PENDING"/>
    <x:cfRule type="containsText" dxfId="7" priority="2" operator="containsText" text="REJECT"/>
  </x:conditionalFormatting>
  <x:dataValidations count="1">
    <x:dataValidation type="list" sqref="F8:F97">
      <x:formula1>"ACCEPTABLE,ACCEPTABLE_WITH_CORRECTIONS,NOT_ACCEPTABLE"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be1fc16e354212"/>
  </x:tableParts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40" hidden="0" customWidth="1"/>
    <x:col min="2" max="2" width="68" hidden="0" customWidth="1"/>
    <x:col min="3" max="3" width="54" hidden="0" customWidth="1"/>
    <x:col min="4" max="4" width="67" hidden="0" customWidth="1"/>
    <x:col min="5" max="5" width="45" hidden="0" customWidth="1"/>
    <x:col min="6" max="6" width="18" hidden="0" customWidth="1"/>
    <x:col min="7" max="7" width="45" hidden="0" customWidth="1"/>
    <x:col min="8" max="8" width="31" hidden="0" customWidth="1"/>
    <x:col min="9" max="9" width="36" hidden="0" customWidth="1"/>
    <x:col min="10" max="10" width="42" hidden="0" customWidth="1"/>
    <x:col min="11" max="11" width="2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Determinación de liberación empresarial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42" customHeight="1">
      <x:c r="A4" s="11" t="str">
        <x:v>Control</x:v>
      </x:c>
      <x:c r="B4" s="11" t="str">
        <x:v>Resultado</x:v>
      </x:c>
      <x:c r="C4" s="11" t="str">
        <x:v>Referencia / regla</x:v>
      </x:c>
      <x:c r="D4" s="11" t="str">
        <x:v>Alcance</x:v>
      </x:c>
      <x:c r="E4" s="2"/>
      <x:c r="F4" s="2"/>
      <x:c r="G4" s="2"/>
      <x:c r="H4" s="2"/>
      <x:c r="I4" s="2"/>
      <x:c r="J4" s="2"/>
      <x:c r="K4" s="2"/>
    </x:row>
    <x:row r="5" ht="43" customHeight="1">
      <x:c r="A5" s="6" t="str">
        <x:v>Áreas completas</x:v>
      </x:c>
      <x:c r="B5" s="6" t="n">
        <x:f>SUM('01_Signoff_Matrix'!P8:P22)</x:f>
        <x:v>0</x:v>
      </x:c>
      <x:c r="C5" s="6" t="str">
        <x:v>15 áreas con representante y aprobación explícita.</x:v>
      </x:c>
      <x:c r="D5" s="6" t="str">
        <x:v>No basta escribir ACCEPT.</x:v>
      </x:c>
      <x:c r="E5" s="2"/>
      <x:c r="F5" s="2"/>
      <x:c r="G5" s="2"/>
      <x:c r="H5" s="2"/>
      <x:c r="I5" s="2"/>
      <x:c r="J5" s="2"/>
      <x:c r="K5" s="2"/>
    </x:row>
    <x:row r="6" ht="43" customHeight="1">
      <x:c r="A6" s="6" t="str">
        <x:v>Áreas requeridas</x:v>
      </x:c>
      <x:c r="B6" s="6" t="n">
        <x:v>15</x:v>
      </x:c>
      <x:c r="C6" s="6" t="str">
        <x:v>Prompt sección5</x:v>
      </x:c>
      <x:c r="D6" s="6" t="str">
        <x:v>No se infieren representantes.</x:v>
      </x:c>
      <x:c r="E6" s="2"/>
      <x:c r="F6" s="2"/>
      <x:c r="G6" s="2"/>
      <x:c r="H6" s="2"/>
      <x:c r="I6" s="2"/>
      <x:c r="J6" s="2"/>
      <x:c r="K6" s="2"/>
    </x:row>
    <x:row r="7" ht="43" customHeight="1">
      <x:c r="A7" s="6" t="str">
        <x:v>Avance</x:v>
      </x:c>
      <x:c r="B7" s="7" t="n">
        <x:f>B5/B6</x:f>
        <x:v>0</x:v>
      </x:c>
      <x:c r="C7" s="6" t="str">
        <x:v>Completas / requeridas</x:v>
      </x:c>
      <x:c r="D7" s="6" t="str">
        <x:v>Firma pendiente = no aceptación.</x:v>
      </x:c>
      <x:c r="E7" s="2"/>
      <x:c r="F7" s="2"/>
      <x:c r="G7" s="2"/>
      <x:c r="H7" s="2"/>
      <x:c r="I7" s="2"/>
      <x:c r="J7" s="2"/>
      <x:c r="K7" s="2"/>
    </x:row>
    <x:row r="8" ht="43" customHeight="1">
      <x:c r="A8" s="6" t="str">
        <x:v>ACCEPT registrado</x:v>
      </x:c>
      <x:c r="B8" s="6" t="n">
        <x:f>COUNTIFS('01_Signoff_Matrix'!H8:H22,"ACCEPT",'01_Signoff_Matrix'!P8:P22,1)</x:f>
        <x:v>0</x:v>
      </x:c>
      <x:c r="C8" s="6" t="str">
        <x:v>Solo registros completos.</x:v>
      </x:c>
      <x:c r="D8" s="6" t="str">
        <x:v>No cuenta texto sin autoridad/evidencia.</x:v>
      </x:c>
      <x:c r="E8" s="2"/>
      <x:c r="F8" s="2"/>
      <x:c r="G8" s="2"/>
      <x:c r="H8" s="2"/>
      <x:c r="I8" s="2"/>
      <x:c r="J8" s="2"/>
      <x:c r="K8" s="2"/>
    </x:row>
    <x:row r="9" ht="43" customHeight="1">
      <x:c r="A9" s="6" t="str">
        <x:v>ACCEPT_WITH_CONDITIONS registrado</x:v>
      </x:c>
      <x:c r="B9" s="6" t="n">
        <x:f>COUNTIFS('01_Signoff_Matrix'!H8:H22,"ACCEPT_WITH_CONDITIONS",'01_Signoff_Matrix'!P8:P22,1)</x:f>
        <x:v>0</x:v>
      </x:c>
      <x:c r="C9" s="6" t="str">
        <x:v>Solo registros completos.</x:v>
      </x:c>
      <x:c r="D9" s="6" t="str">
        <x:v>Condiciones deben existir y ser no bloqueantes.</x:v>
      </x:c>
      <x:c r="E9" s="2"/>
      <x:c r="F9" s="2"/>
      <x:c r="G9" s="2"/>
      <x:c r="H9" s="2"/>
      <x:c r="I9" s="2"/>
      <x:c r="J9" s="2"/>
      <x:c r="K9" s="2"/>
    </x:row>
    <x:row r="10" ht="43" customHeight="1">
      <x:c r="A10" s="6" t="str">
        <x:v>REJECT autorizado</x:v>
      </x:c>
      <x:c r="B10" s="6" t="n">
        <x:f>COUNTIFS('01_Signoff_Matrix'!H8:H22,"REJECT",'01_Signoff_Matrix'!P8:P22,1)</x:f>
        <x:v>0</x:v>
      </x:c>
      <x:c r="C10" s="6" t="str">
        <x:v>Un rechazo material impide liberación.</x:v>
      </x:c>
      <x:c r="D10" s="6" t="str">
        <x:v>Registrar detalle en tabla inferior.</x:v>
      </x:c>
      <x:c r="E10" s="2"/>
      <x:c r="F10" s="2"/>
      <x:c r="G10" s="2"/>
      <x:c r="H10" s="2"/>
      <x:c r="I10" s="2"/>
      <x:c r="J10" s="2"/>
      <x:c r="K10" s="2"/>
    </x:row>
    <x:row r="11" ht="43" customHeight="1">
      <x:c r="A11" s="6" t="str">
        <x:v>Áreas pendientes</x:v>
      </x:c>
      <x:c r="B11" s="6" t="n">
        <x:f>B6-B5</x:f>
        <x:v>15</x:v>
      </x:c>
      <x:c r="C11" s="6" t="str">
        <x:v>Área sin registro completo.</x:v>
      </x:c>
      <x:c r="D11" s="6" t="str">
        <x:v>0/15 inicialmente.</x:v>
      </x:c>
      <x:c r="E11" s="2"/>
      <x:c r="F11" s="2"/>
      <x:c r="G11" s="2"/>
      <x:c r="H11" s="2"/>
      <x:c r="I11" s="2"/>
      <x:c r="J11" s="2"/>
      <x:c r="K11" s="2"/>
    </x:row>
    <x:row r="12" ht="43" customHeight="1">
      <x:c r="A12" s="6" t="str">
        <x:v>Condiciones aceptadas abiertas</x:v>
      </x:c>
      <x:c r="B12" s="6" t="n">
        <x:f>COUNTIFS('02_Acceptance_Conditions'!J8:J15,"ACCEPTED_OPEN",'02_Acceptance_Conditions'!P8:P15,1)</x:f>
        <x:v>0</x:v>
      </x:c>
      <x:c r="C12" s="6" t="str">
        <x:v>No incluye propuestas.</x:v>
      </x:c>
      <x:c r="D12" s="6" t="str">
        <x:v>Responsable y fecha deben ser acordados.</x:v>
      </x:c>
      <x:c r="E12" s="2"/>
      <x:c r="F12" s="2"/>
      <x:c r="G12" s="2"/>
      <x:c r="H12" s="2"/>
      <x:c r="I12" s="2"/>
      <x:c r="J12" s="2"/>
      <x:c r="K12" s="2"/>
    </x:row>
    <x:row r="13" ht="43" customHeight="1">
      <x:c r="A13" s="6" t="str">
        <x:v>Condiciones documentadas no bloqueantes</x:v>
      </x:c>
      <x:c r="B13" s="6" t="n">
        <x:f>SUM('02_Acceptance_Conditions'!P8:P15)</x:f>
        <x:v>0</x:v>
      </x:c>
      <x:c r="C13" s="6" t="str">
        <x:v>8 propuestas deben quedar expresamente dispuestas.</x:v>
      </x:c>
      <x:c r="D13" s="6" t="str">
        <x:v>No se presupone aceptación.</x:v>
      </x:c>
      <x:c r="E13" s="2"/>
      <x:c r="F13" s="2"/>
      <x:c r="G13" s="2"/>
      <x:c r="H13" s="2"/>
      <x:c r="I13" s="2"/>
      <x:c r="J13" s="2"/>
      <x:c r="K13" s="2"/>
    </x:row>
    <x:row r="14" ht="43" customHeight="1">
      <x:c r="A14" s="6" t="str">
        <x:v>Condiciones aceptadas bloqueantes</x:v>
      </x:c>
      <x:c r="B14" s="6" t="n">
        <x:f>COUNTIFS('02_Acceptance_Conditions'!J8:J15,"ACCEPTED_OPEN",'02_Acceptance_Conditions'!F8:F15,"YES",'02_Acceptance_Conditions'!K8:K15,"&lt;&gt;",'02_Acceptance_Conditions'!L8:L15,"&lt;&gt;",'02_Acceptance_Conditions'!M8:M15,"&lt;&gt;",'02_Acceptance_Conditions'!N8:N15,"&gt;0")</x:f>
        <x:v>0</x:v>
      </x:c>
      <x:c r="C14" s="6" t="str">
        <x:v>Condición abierta bloqueante con autoridad y aprobación.</x:v>
      </x:c>
      <x:c r="D14" s="6" t="str">
        <x:v>RESOLVED con YES queda pendiente de aclarar, no rechazo automático.</x:v>
      </x:c>
      <x:c r="E14" s="2"/>
      <x:c r="F14" s="2"/>
      <x:c r="G14" s="2"/>
      <x:c r="H14" s="2"/>
      <x:c r="I14" s="2"/>
      <x:c r="J14" s="2"/>
      <x:c r="K14" s="2"/>
    </x:row>
    <x:row r="15" ht="43" customHeight="1">
      <x:c r="A15" s="6" t="str">
        <x:v>Hallazgos / observaciones revisados</x:v>
      </x:c>
      <x:c r="B15" s="6" t="n">
        <x:f>SUM('03_Known_Findings'!P8:P15)</x:f>
        <x:v>0</x:v>
      </x:c>
      <x:c r="C15" s="6" t="str">
        <x:v>8 registros con disposición, autoridad, owner y fecha.</x:v>
      </x:c>
      <x:c r="D15" s="6" t="str">
        <x:v>S3-006 requiere reconocimiento explícito.</x:v>
      </x:c>
      <x:c r="E15" s="2"/>
      <x:c r="F15" s="2"/>
      <x:c r="G15" s="2"/>
      <x:c r="H15" s="2"/>
      <x:c r="I15" s="2"/>
      <x:c r="J15" s="2"/>
      <x:c r="K15" s="2"/>
    </x:row>
    <x:row r="16" ht="43" customHeight="1">
      <x:c r="A16" s="6" t="str">
        <x:v>Rechazos de hallazgo autorizados</x:v>
      </x:c>
      <x:c r="B16" s="6" t="n">
        <x:f>COUNTIFS('03_Known_Findings'!G8:G15,"REJECT_RELEASE",'03_Known_Findings'!H8:H15,"&lt;&gt;",'03_Known_Findings'!K8:K15,"&lt;&gt;",'03_Known_Findings'!L8:L15,"&lt;&gt;",'03_Known_Findings'!M8:M15,"&gt;0",'03_Known_Findings'!N8:N15,"&lt;&gt;",'03_Known_Findings'!O8:O15,"YES")</x:f>
        <x:v>0</x:v>
      </x:c>
      <x:c r="C16" s="6" t="str">
        <x:v>Rechazo documentado con razón, persona, autoridad y aprobación.</x:v>
      </x:c>
      <x:c r="D16" s="6" t="str">
        <x:v>No cambia severidad técnica por fórmula.</x:v>
      </x:c>
      <x:c r="E16" s="2"/>
      <x:c r="F16" s="2"/>
      <x:c r="G16" s="2"/>
      <x:c r="H16" s="2"/>
      <x:c r="I16" s="2"/>
      <x:c r="J16" s="2"/>
      <x:c r="K16" s="2"/>
    </x:row>
    <x:row r="17" ht="43" customHeight="1">
      <x:c r="A17" s="6" t="str">
        <x:v>Documentos aceptables completos</x:v>
      </x:c>
      <x:c r="B17" s="6" t="n">
        <x:f>SUM('05_Document_Acceptance'!L8:L97)</x:f>
        <x:v>0</x:v>
      </x:c>
      <x:c r="C17" s="6" t="str">
        <x:v>6 documentos × 15 áreas = 90.</x:v>
      </x:c>
      <x:c r="D17" s="6" t="str">
        <x:v>Correcciones deben estar descritas.</x:v>
      </x:c>
      <x:c r="E17" s="2"/>
      <x:c r="F17" s="2"/>
      <x:c r="G17" s="2"/>
      <x:c r="H17" s="2"/>
      <x:c r="I17" s="2"/>
      <x:c r="J17" s="2"/>
      <x:c r="K17" s="2"/>
    </x:row>
    <x:row r="18" ht="43" customHeight="1">
      <x:c r="A18" s="6" t="str">
        <x:v>Reconocimientos explícitos</x:v>
      </x:c>
      <x:c r="B18" s="6" t="n">
        <x:f>COUNTIFS('01_Signoff_Matrix'!D27:D29,"YES",'01_Signoff_Matrix'!E27:E29,"&lt;&gt;",'01_Signoff_Matrix'!F27:F29,"&lt;&gt;",'01_Signoff_Matrix'!G27:G29,"&gt;0",'01_Signoff_Matrix'!H27:H29,"&lt;&gt;")</x:f>
        <x:v>0</x:v>
      </x:c>
      <x:c r="C18" s="6" t="str">
        <x:v>S3-006, cuatro MISSING, seguridad/SoD.</x:v>
      </x:c>
      <x:c r="D18" s="6" t="str">
        <x:v>Datos y autoridad humanos no suministrados.</x:v>
      </x:c>
      <x:c r="E18" s="2"/>
      <x:c r="F18" s="2"/>
      <x:c r="G18" s="2"/>
      <x:c r="H18" s="2"/>
      <x:c r="I18" s="2"/>
      <x:c r="J18" s="2"/>
      <x:c r="K18" s="2"/>
    </x:row>
    <x:row r="19" ht="43" customHeight="1">
      <x:c r="A19" s="6" t="str">
        <x:v>Rechazos empresariales abiertos</x:v>
      </x:c>
      <x:c r="B19" s="6" t="n">
        <x:f>SUM(K41:K55)</x:f>
        <x:v>0</x:v>
      </x:c>
      <x:c r="C19" s="6" t="str">
        <x:v>Registro inferior con aprobación y autoridad del área.</x:v>
      </x:c>
      <x:c r="D19" s="6" t="str">
        <x:v>Sin rechazos aportados inicialmente.</x:v>
      </x:c>
      <x:c r="E19" s="2"/>
      <x:c r="F19" s="2"/>
      <x:c r="G19" s="2"/>
      <x:c r="H19" s="2"/>
      <x:c r="I19" s="2"/>
      <x:c r="J19" s="2"/>
      <x:c r="K19" s="2"/>
    </x:row>
    <x:row r="20" ht="43" customHeight="1">
      <x:c r="A20" s="6"/>
      <x:c r="B20" s="6"/>
      <x:c r="C20" s="6"/>
      <x:c r="D20" s="6"/>
      <x:c r="E20" s="2"/>
      <x:c r="F20" s="2"/>
      <x:c r="G20" s="2"/>
      <x:c r="H20" s="2"/>
      <x:c r="I20" s="2"/>
      <x:c r="J20" s="2"/>
      <x:c r="K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42" customHeight="1">
      <x:c r="A23" s="11" t="str">
        <x:v>Baseline y requisitos</x:v>
      </x:c>
      <x:c r="B23" s="11" t="str">
        <x:v>Resultado</x:v>
      </x:c>
      <x:c r="C23" s="11" t="str">
        <x:v>Referencia</x:v>
      </x:c>
      <x:c r="D23" s="11" t="str">
        <x:v>Nota</x:v>
      </x:c>
      <x:c r="E23" s="2"/>
      <x:c r="F23" s="2"/>
      <x:c r="G23" s="2"/>
      <x:c r="H23" s="2"/>
      <x:c r="I23" s="2"/>
      <x:c r="J23" s="2"/>
      <x:c r="K23" s="2"/>
    </x:row>
    <x:row r="24" ht="45" customHeight="1">
      <x:c r="A24" s="6" t="str">
        <x:v>Commit congelado</x:v>
      </x:c>
      <x:c r="B24" s="6" t="str">
        <x:v>6672fd5da1f486e6bd571a74bb6d1e8b3337a405</x:v>
      </x:c>
      <x:c r="C24" s="6" t="str">
        <x:v>E08 / baseline.json</x:v>
      </x:c>
      <x:c r="D24" s="6" t="str">
        <x:v>Sin cambios funcionales durante esta preparación.</x:v>
      </x:c>
      <x:c r="E24" s="2"/>
      <x:c r="F24" s="2"/>
      <x:c r="G24" s="2"/>
      <x:c r="H24" s="2"/>
      <x:c r="I24" s="2"/>
      <x:c r="J24" s="2"/>
      <x:c r="K24" s="2"/>
    </x:row>
    <x:row r="25" ht="45" customHeight="1">
      <x:c r="A25" s="6" t="str">
        <x:v>Alembic head</x:v>
      </x:c>
      <x:c r="B25" s="6" t="str">
        <x:v>20261011_0068</x:v>
      </x:c>
      <x:c r="C25" s="6" t="str">
        <x:v>E08</x:v>
      </x:c>
      <x:c r="D25" s="6" t="str">
        <x:v>Sin migración nueva.</x:v>
      </x:c>
      <x:c r="E25" s="2"/>
      <x:c r="F25" s="2"/>
      <x:c r="G25" s="2"/>
      <x:c r="H25" s="2"/>
      <x:c r="I25" s="2"/>
      <x:c r="J25" s="2"/>
      <x:c r="K25" s="2"/>
    </x:row>
    <x:row r="26" ht="45" customHeight="1">
      <x:c r="A26" s="6" t="str">
        <x:v>Código sin cambios</x:v>
      </x:c>
      <x:c r="B26" s="6" t="str">
        <x:v>UNCHANGED</x:v>
      </x:c>
      <x:c r="C26" s="6" t="str">
        <x:v>E08</x:v>
      </x:c>
      <x:c r="D26" s="6" t="str">
        <x:v>Hashes de producto y fixtures comparados.</x:v>
      </x:c>
      <x:c r="E26" s="2"/>
      <x:c r="F26" s="2"/>
      <x:c r="G26" s="2"/>
      <x:c r="H26" s="2"/>
      <x:c r="I26" s="2"/>
      <x:c r="J26" s="2"/>
      <x:c r="K26" s="2"/>
    </x:row>
    <x:row r="27" ht="45" customHeight="1">
      <x:c r="A27" s="6" t="str">
        <x:v>Estado UAT persistente actual</x:v>
      </x:c>
      <x:c r="B27" s="6" t="str">
        <x:v>UNCHANGED_OR_REVALIDATED</x:v>
      </x:c>
      <x:c r="C27" s="6" t="str">
        <x:v>E23</x:v>
      </x:c>
      <x:c r="D27" s="6" t="str">
        <x:v>Continuidad material SQL18. No es nueva ejecución E2E ni cálculo de readiness.</x:v>
      </x:c>
      <x:c r="E27" s="2"/>
      <x:c r="F27" s="2"/>
      <x:c r="G27" s="2"/>
      <x:c r="H27" s="2"/>
      <x:c r="I27" s="2"/>
      <x:c r="J27" s="2"/>
      <x:c r="K27" s="2"/>
    </x:row>
    <x:row r="28" ht="45" customHeight="1">
      <x:c r="A28" s="6" t="str">
        <x:v>Project14 preservado</x:v>
      </x:c>
      <x:c r="B28" s="6" t="str">
        <x:v>UNCHANGED</x:v>
      </x:c>
      <x:c r="C28" s="6" t="str">
        <x:v>E08</x:v>
      </x:c>
      <x:c r="D28" s="6" t="str">
        <x:v>id14 / PRJ-PPMIS / PRJ-PYP-PPMIS / active / versión1.</x:v>
      </x:c>
      <x:c r="E28" s="2"/>
      <x:c r="F28" s="2"/>
      <x:c r="G28" s="2"/>
      <x:c r="H28" s="2"/>
      <x:c r="I28" s="2"/>
      <x:c r="J28" s="2"/>
      <x:c r="K28" s="2"/>
    </x:row>
    <x:row r="29" ht="45" customHeight="1">
      <x:c r="A29" s="6" t="str">
        <x:v>S1 / S2 abiertos técnicos</x:v>
      </x:c>
      <x:c r="B29" s="6" t="n">
        <x:f>SUM('03_Known_Findings'!Q8:Q15,'02_Acceptance_Conditions'!Q8:Q15)</x:f>
        <x:v>0</x:v>
      </x:c>
      <x:c r="C29" s="6" t="str">
        <x:v>E06 / E07</x:v>
      </x:c>
      <x:c r="D29" s="6" t="str">
        <x:v>Baseline técnico; reclasificación empresarial requiere nueva revisión.</x:v>
      </x:c>
      <x:c r="E29" s="2"/>
      <x:c r="F29" s="2"/>
      <x:c r="G29" s="2"/>
      <x:c r="H29" s="2"/>
      <x:c r="I29" s="2"/>
      <x:c r="J29" s="2"/>
      <x:c r="K29" s="2"/>
    </x:row>
    <x:row r="30" ht="45" customHeight="1">
      <x:c r="A30" s="6" t="str">
        <x:v>Baseline posterior revalidado</x:v>
      </x:c>
      <x:c r="B30" s="13" t="str"/>
      <x:c r="C30" s="13" t="str"/>
      <x:c r="D30" s="6" t="str">
        <x:v>Al cambiar código/política, invalidar afectadas y documentar retest.</x:v>
      </x:c>
      <x:c r="E30" s="2"/>
      <x:c r="F30" s="2"/>
      <x:c r="G30" s="2"/>
      <x:c r="H30" s="2"/>
      <x:c r="I30" s="2"/>
      <x:c r="J30" s="2"/>
      <x:c r="K30" s="2"/>
    </x:row>
    <x:row r="31" ht="45" customHeight="1">
      <x:c r="A31" s="6" t="str">
        <x:v>Aprobación documental del paquete</x:v>
      </x:c>
      <x:c r="B31" s="13" t="str"/>
      <x:c r="C31" s="13" t="str"/>
      <x:c r="D31" s="6" t="str">
        <x:v>No sustituye las 90 revisiones por área.</x:v>
      </x:c>
      <x:c r="E31" s="2"/>
      <x:c r="F31" s="2"/>
      <x:c r="G31" s="2"/>
      <x:c r="H31" s="2"/>
      <x:c r="I31" s="2"/>
      <x:c r="J31" s="2"/>
      <x:c r="K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42" customHeight="1">
      <x:c r="A33" s="11" t="str">
        <x:v>Conclusión calculada</x:v>
      </x:c>
      <x:c r="B33" s="11" t="str">
        <x:v>Resultado</x:v>
      </x:c>
      <x:c r="C33" s="11" t="str">
        <x:v>Regla</x:v>
      </x:c>
      <x:c r="D33" s="11" t="str">
        <x:v>Acción</x:v>
      </x:c>
      <x:c r="E33" s="2"/>
      <x:c r="F33" s="2"/>
      <x:c r="G33" s="2"/>
      <x:c r="H33" s="2"/>
      <x:c r="I33" s="2"/>
      <x:c r="J33" s="2"/>
      <x:c r="K33" s="2"/>
    </x:row>
    <x:row r="34" ht="72" customHeight="1">
      <x:c r="A34" s="6" t="str">
        <x:v>Decisión empresarial</x:v>
      </x:c>
      <x:c r="B34" s="6" t="str">
        <x:f>IF(OR(B10&gt;0,B14&gt;0,B16&gt;0,B19&gt;0),"BUSINESS_REJECTED",IF(OR(B5&lt;15,B13&lt;8,B15&lt;8,B17&lt;90,B18&lt;3,AND(B12&gt;0,B9=0),AND(B9&gt;0,B12=0),B26&lt;&gt;"UNCHANGED",AND(B27&lt;&gt;"UNCHANGED_OR_REVALIDATED",OR(B30&lt;&gt;"REVALIDATED",C30="")),B28&lt;&gt;"UNCHANGED",B29&gt;0,B31&lt;&gt;"ASSEMBLED_AND_REVIEWED",C31=""),"UAT_SIGNOFF_PENDING",IF(B9&gt;0,"BUSINESS_ACCEPTED_WITH_CONDITIONS","BUSINESS_ACCEPTED")))</x:f>
        <x:v>UAT_SIGNOFF_PENDING</x:v>
      </x:c>
      <x:c r="C34" s="6" t="str">
        <x:v>Falla cerrada ante firmas, evidencias o disposiciones pendientes.</x:v>
      </x:c>
      <x:c r="D34" s="6" t="str">
        <x:v>No existe autorización empresarial aportada.</x:v>
      </x:c>
      <x:c r="E34" s="2"/>
      <x:c r="F34" s="2"/>
      <x:c r="G34" s="2"/>
      <x:c r="H34" s="2"/>
      <x:c r="I34" s="2"/>
      <x:c r="J34" s="2"/>
      <x:c r="K34" s="2"/>
    </x:row>
    <x:row r="35" ht="72" customHeight="1">
      <x:c r="A35" s="6" t="str">
        <x:v>Estado exacto</x:v>
      </x:c>
      <x:c r="B35" s="6" t="str">
        <x:f>IF(B34="BUSINESS_REJECTED","STRATEGIC_MACROPROCESS_BUSINESS_UAT_REJECTED",IF(B34="BUSINESS_ACCEPTED","STRATEGIC_MACROPROCESS_READY_FOR_BUSINESS_RELEASE",IF(B34="BUSINESS_ACCEPTED_WITH_CONDITIONS","STRATEGIC_MACROPROCESS_READY_FOR_BUSINESS_RELEASE_WITH_CONDITIONS","STRATEGIC_MACROPROCESS_TECHNICALLY_READY_UAT_SIGNOFF_PENDING")))</x:f>
        <x:v>STRATEGIC_MACROPROCESS_TECHNICALLY_READY_UAT_SIGNOFF_PENDING</x:v>
      </x:c>
      <x:c r="C35" s="6"/>
      <x:c r="D35" s="6"/>
      <x:c r="E35" s="2"/>
      <x:c r="F35" s="2"/>
      <x:c r="G35" s="2"/>
      <x:c r="H35" s="2"/>
      <x:c r="I35" s="2"/>
      <x:c r="J35" s="2"/>
      <x:c r="K35" s="2"/>
    </x:row>
    <x:row r="36" ht="72" customHeight="1">
      <x:c r="A36" s="6" t="str">
        <x:v>Único siguiente incremento</x:v>
      </x:c>
      <x:c r="B36" s="6" t="str">
        <x:f>IF(B34="BUSINESS_REJECTED","REMEDIATE THE SMALLEST BUSINESS-REJECTED GAP",IF(OR(B34="BUSINESS_ACCEPTED",B34="BUSINESS_ACCEPTED_WITH_CONDITIONS"),"BEGIN OPERATIONAL MACROPROCESS DESIGN","COMPLETE AUTHORIZED BUSINESS UAT SIGN-OFF"))</x:f>
        <x:v>COMPLETE AUTHORIZED BUSINESS UAT SIGN-OFF</x:v>
      </x:c>
      <x:c r="C36" s="6"/>
      <x:c r="D36" s="6"/>
      <x:c r="E36" s="2"/>
      <x:c r="F36" s="2"/>
      <x:c r="G36" s="2"/>
      <x:c r="H36" s="2"/>
      <x:c r="I36" s="2"/>
      <x:c r="J36" s="2"/>
      <x:c r="K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42" customHeight="1">
      <x:c r="A40" s="11" t="str">
        <x:v>Rechazo ID</x:v>
      </x:c>
      <x:c r="B40" s="11" t="str">
        <x:v>Área ID</x:v>
      </x:c>
      <x:c r="C40" s="11" t="str">
        <x:v>Representante</x:v>
      </x:c>
      <x:c r="D40" s="11" t="str">
        <x:v>Motivo material</x:v>
      </x:c>
      <x:c r="E40" s="11" t="str">
        <x:v>Flujo afectado / evidencia</x:v>
      </x:c>
      <x:c r="F40" s="11" t="str">
        <x:v>Severidad</x:v>
      </x:c>
      <x:c r="G40" s="11" t="str">
        <x:v>Remediación requerida</x:v>
      </x:c>
      <x:c r="H40" s="11" t="str">
        <x:v>Estado</x:v>
      </x:c>
      <x:c r="I40" s="11" t="str">
        <x:v>Impacto liberación</x:v>
      </x:c>
      <x:c r="J40" s="11" t="str">
        <x:v>Aprobación referencia</x:v>
      </x:c>
      <x:c r="K40" s="11" t="str">
        <x:v>Registro autorizado completo</x:v>
      </x:c>
    </x:row>
    <x:row r="41" ht="60" customHeight="1">
      <x:c r="A41" s="13" t="str"/>
      <x:c r="B41" s="13" t="str"/>
      <x:c r="C41" s="13" t="str"/>
      <x:c r="D41" s="13" t="str"/>
      <x:c r="E41" s="13" t="str"/>
      <x:c r="F41" s="13" t="str"/>
      <x:c r="G41" s="13" t="str"/>
      <x:c r="H41" s="13" t="str"/>
      <x:c r="I41" s="13" t="str"/>
      <x:c r="J41" s="13" t="str"/>
      <x:c r="K41" s="2" t="n">
        <x:f>IF(AND(A41&lt;&gt;"",B41&lt;&gt;"",C41&lt;&gt;"",D41&lt;&gt;"",E41&lt;&gt;"",F41&lt;&gt;"",G41&lt;&gt;"",H41="OPEN",I41&lt;&gt;"",J41&lt;&gt;"",COUNTIFS('01_Signoff_Matrix'!$A$8:$A$22,B41,'01_Signoff_Matrix'!$C$8:$C$22,C41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42" ht="60" customHeight="1">
      <x:c r="A42" s="13" t="str"/>
      <x:c r="B42" s="13" t="str"/>
      <x:c r="C42" s="13" t="str"/>
      <x:c r="D42" s="13" t="str"/>
      <x:c r="E42" s="13" t="str"/>
      <x:c r="F42" s="13" t="str"/>
      <x:c r="G42" s="13" t="str"/>
      <x:c r="H42" s="13" t="str"/>
      <x:c r="I42" s="13" t="str"/>
      <x:c r="J42" s="13" t="str"/>
      <x:c r="K42" s="2" t="n">
        <x:f>IF(AND(A42&lt;&gt;"",B42&lt;&gt;"",C42&lt;&gt;"",D42&lt;&gt;"",E42&lt;&gt;"",F42&lt;&gt;"",G42&lt;&gt;"",H42="OPEN",I42&lt;&gt;"",J42&lt;&gt;"",COUNTIFS('01_Signoff_Matrix'!$A$8:$A$22,B42,'01_Signoff_Matrix'!$C$8:$C$22,C42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43" ht="60" customHeight="1">
      <x:c r="A43" s="13" t="str"/>
      <x:c r="B43" s="13" t="str"/>
      <x:c r="C43" s="13" t="str"/>
      <x:c r="D43" s="13" t="str"/>
      <x:c r="E43" s="13" t="str"/>
      <x:c r="F43" s="13" t="str"/>
      <x:c r="G43" s="13" t="str"/>
      <x:c r="H43" s="13" t="str"/>
      <x:c r="I43" s="13" t="str"/>
      <x:c r="J43" s="13" t="str"/>
      <x:c r="K43" s="2" t="n">
        <x:f>IF(AND(A43&lt;&gt;"",B43&lt;&gt;"",C43&lt;&gt;"",D43&lt;&gt;"",E43&lt;&gt;"",F43&lt;&gt;"",G43&lt;&gt;"",H43="OPEN",I43&lt;&gt;"",J43&lt;&gt;"",COUNTIFS('01_Signoff_Matrix'!$A$8:$A$22,B43,'01_Signoff_Matrix'!$C$8:$C$22,C43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44" ht="60" customHeight="1">
      <x:c r="A44" s="13" t="str"/>
      <x:c r="B44" s="13" t="str"/>
      <x:c r="C44" s="13" t="str"/>
      <x:c r="D44" s="13" t="str"/>
      <x:c r="E44" s="13" t="str"/>
      <x:c r="F44" s="13" t="str"/>
      <x:c r="G44" s="13" t="str"/>
      <x:c r="H44" s="13" t="str"/>
      <x:c r="I44" s="13" t="str"/>
      <x:c r="J44" s="13" t="str"/>
      <x:c r="K44" s="2" t="n">
        <x:f>IF(AND(A44&lt;&gt;"",B44&lt;&gt;"",C44&lt;&gt;"",D44&lt;&gt;"",E44&lt;&gt;"",F44&lt;&gt;"",G44&lt;&gt;"",H44="OPEN",I44&lt;&gt;"",J44&lt;&gt;"",COUNTIFS('01_Signoff_Matrix'!$A$8:$A$22,B44,'01_Signoff_Matrix'!$C$8:$C$22,C44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45" ht="60" customHeight="1">
      <x:c r="A45" s="13" t="str"/>
      <x:c r="B45" s="13" t="str"/>
      <x:c r="C45" s="13" t="str"/>
      <x:c r="D45" s="13" t="str"/>
      <x:c r="E45" s="13" t="str"/>
      <x:c r="F45" s="13" t="str"/>
      <x:c r="G45" s="13" t="str"/>
      <x:c r="H45" s="13" t="str"/>
      <x:c r="I45" s="13" t="str"/>
      <x:c r="J45" s="13" t="str"/>
      <x:c r="K45" s="2" t="n">
        <x:f>IF(AND(A45&lt;&gt;"",B45&lt;&gt;"",C45&lt;&gt;"",D45&lt;&gt;"",E45&lt;&gt;"",F45&lt;&gt;"",G45&lt;&gt;"",H45="OPEN",I45&lt;&gt;"",J45&lt;&gt;"",COUNTIFS('01_Signoff_Matrix'!$A$8:$A$22,B45,'01_Signoff_Matrix'!$C$8:$C$22,C45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46" ht="60" customHeight="1">
      <x:c r="A46" s="13" t="str"/>
      <x:c r="B46" s="13" t="str"/>
      <x:c r="C46" s="13" t="str"/>
      <x:c r="D46" s="13" t="str"/>
      <x:c r="E46" s="13" t="str"/>
      <x:c r="F46" s="13" t="str"/>
      <x:c r="G46" s="13" t="str"/>
      <x:c r="H46" s="13" t="str"/>
      <x:c r="I46" s="13" t="str"/>
      <x:c r="J46" s="13" t="str"/>
      <x:c r="K46" s="2" t="n">
        <x:f>IF(AND(A46&lt;&gt;"",B46&lt;&gt;"",C46&lt;&gt;"",D46&lt;&gt;"",E46&lt;&gt;"",F46&lt;&gt;"",G46&lt;&gt;"",H46="OPEN",I46&lt;&gt;"",J46&lt;&gt;"",COUNTIFS('01_Signoff_Matrix'!$A$8:$A$22,B46,'01_Signoff_Matrix'!$C$8:$C$22,C46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47" ht="60" customHeight="1">
      <x:c r="A47" s="13" t="str"/>
      <x:c r="B47" s="13" t="str"/>
      <x:c r="C47" s="13" t="str"/>
      <x:c r="D47" s="13" t="str"/>
      <x:c r="E47" s="13" t="str"/>
      <x:c r="F47" s="13" t="str"/>
      <x:c r="G47" s="13" t="str"/>
      <x:c r="H47" s="13" t="str"/>
      <x:c r="I47" s="13" t="str"/>
      <x:c r="J47" s="13" t="str"/>
      <x:c r="K47" s="2" t="n">
        <x:f>IF(AND(A47&lt;&gt;"",B47&lt;&gt;"",C47&lt;&gt;"",D47&lt;&gt;"",E47&lt;&gt;"",F47&lt;&gt;"",G47&lt;&gt;"",H47="OPEN",I47&lt;&gt;"",J47&lt;&gt;"",COUNTIFS('01_Signoff_Matrix'!$A$8:$A$22,B47,'01_Signoff_Matrix'!$C$8:$C$22,C47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48" ht="60" customHeight="1">
      <x:c r="A48" s="13" t="str"/>
      <x:c r="B48" s="13" t="str"/>
      <x:c r="C48" s="13" t="str"/>
      <x:c r="D48" s="13" t="str"/>
      <x:c r="E48" s="13" t="str"/>
      <x:c r="F48" s="13" t="str"/>
      <x:c r="G48" s="13" t="str"/>
      <x:c r="H48" s="13" t="str"/>
      <x:c r="I48" s="13" t="str"/>
      <x:c r="J48" s="13" t="str"/>
      <x:c r="K48" s="2" t="n">
        <x:f>IF(AND(A48&lt;&gt;"",B48&lt;&gt;"",C48&lt;&gt;"",D48&lt;&gt;"",E48&lt;&gt;"",F48&lt;&gt;"",G48&lt;&gt;"",H48="OPEN",I48&lt;&gt;"",J48&lt;&gt;"",COUNTIFS('01_Signoff_Matrix'!$A$8:$A$22,B48,'01_Signoff_Matrix'!$C$8:$C$22,C48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49" ht="60" customHeight="1">
      <x:c r="A49" s="13" t="str"/>
      <x:c r="B49" s="13" t="str"/>
      <x:c r="C49" s="13" t="str"/>
      <x:c r="D49" s="13" t="str"/>
      <x:c r="E49" s="13" t="str"/>
      <x:c r="F49" s="13" t="str"/>
      <x:c r="G49" s="13" t="str"/>
      <x:c r="H49" s="13" t="str"/>
      <x:c r="I49" s="13" t="str"/>
      <x:c r="J49" s="13" t="str"/>
      <x:c r="K49" s="2" t="n">
        <x:f>IF(AND(A49&lt;&gt;"",B49&lt;&gt;"",C49&lt;&gt;"",D49&lt;&gt;"",E49&lt;&gt;"",F49&lt;&gt;"",G49&lt;&gt;"",H49="OPEN",I49&lt;&gt;"",J49&lt;&gt;"",COUNTIFS('01_Signoff_Matrix'!$A$8:$A$22,B49,'01_Signoff_Matrix'!$C$8:$C$22,C49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50" ht="60" customHeight="1">
      <x:c r="A50" s="13" t="str"/>
      <x:c r="B50" s="13" t="str"/>
      <x:c r="C50" s="13" t="str"/>
      <x:c r="D50" s="13" t="str"/>
      <x:c r="E50" s="13" t="str"/>
      <x:c r="F50" s="13" t="str"/>
      <x:c r="G50" s="13" t="str"/>
      <x:c r="H50" s="13" t="str"/>
      <x:c r="I50" s="13" t="str"/>
      <x:c r="J50" s="13" t="str"/>
      <x:c r="K50" s="2" t="n">
        <x:f>IF(AND(A50&lt;&gt;"",B50&lt;&gt;"",C50&lt;&gt;"",D50&lt;&gt;"",E50&lt;&gt;"",F50&lt;&gt;"",G50&lt;&gt;"",H50="OPEN",I50&lt;&gt;"",J50&lt;&gt;"",COUNTIFS('01_Signoff_Matrix'!$A$8:$A$22,B50,'01_Signoff_Matrix'!$C$8:$C$22,C50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51" ht="60" customHeight="1">
      <x:c r="A51" s="13" t="str"/>
      <x:c r="B51" s="13" t="str"/>
      <x:c r="C51" s="13" t="str"/>
      <x:c r="D51" s="13" t="str"/>
      <x:c r="E51" s="13" t="str"/>
      <x:c r="F51" s="13" t="str"/>
      <x:c r="G51" s="13" t="str"/>
      <x:c r="H51" s="13" t="str"/>
      <x:c r="I51" s="13" t="str"/>
      <x:c r="J51" s="13" t="str"/>
      <x:c r="K51" s="2" t="n">
        <x:f>IF(AND(A51&lt;&gt;"",B51&lt;&gt;"",C51&lt;&gt;"",D51&lt;&gt;"",E51&lt;&gt;"",F51&lt;&gt;"",G51&lt;&gt;"",H51="OPEN",I51&lt;&gt;"",J51&lt;&gt;"",COUNTIFS('01_Signoff_Matrix'!$A$8:$A$22,B51,'01_Signoff_Matrix'!$C$8:$C$22,C51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52" ht="60" customHeight="1">
      <x:c r="A52" s="13" t="str"/>
      <x:c r="B52" s="13" t="str"/>
      <x:c r="C52" s="13" t="str"/>
      <x:c r="D52" s="13" t="str"/>
      <x:c r="E52" s="13" t="str"/>
      <x:c r="F52" s="13" t="str"/>
      <x:c r="G52" s="13" t="str"/>
      <x:c r="H52" s="13" t="str"/>
      <x:c r="I52" s="13" t="str"/>
      <x:c r="J52" s="13" t="str"/>
      <x:c r="K52" s="2" t="n">
        <x:f>IF(AND(A52&lt;&gt;"",B52&lt;&gt;"",C52&lt;&gt;"",D52&lt;&gt;"",E52&lt;&gt;"",F52&lt;&gt;"",G52&lt;&gt;"",H52="OPEN",I52&lt;&gt;"",J52&lt;&gt;"",COUNTIFS('01_Signoff_Matrix'!$A$8:$A$22,B52,'01_Signoff_Matrix'!$C$8:$C$22,C52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53" ht="60" customHeight="1">
      <x:c r="A53" s="13" t="str"/>
      <x:c r="B53" s="13" t="str"/>
      <x:c r="C53" s="13" t="str"/>
      <x:c r="D53" s="13" t="str"/>
      <x:c r="E53" s="13" t="str"/>
      <x:c r="F53" s="13" t="str"/>
      <x:c r="G53" s="13" t="str"/>
      <x:c r="H53" s="13" t="str"/>
      <x:c r="I53" s="13" t="str"/>
      <x:c r="J53" s="13" t="str"/>
      <x:c r="K53" s="2" t="n">
        <x:f>IF(AND(A53&lt;&gt;"",B53&lt;&gt;"",C53&lt;&gt;"",D53&lt;&gt;"",E53&lt;&gt;"",F53&lt;&gt;"",G53&lt;&gt;"",H53="OPEN",I53&lt;&gt;"",J53&lt;&gt;"",COUNTIFS('01_Signoff_Matrix'!$A$8:$A$22,B53,'01_Signoff_Matrix'!$C$8:$C$22,C53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54" ht="60" customHeight="1">
      <x:c r="A54" s="13" t="str"/>
      <x:c r="B54" s="13" t="str"/>
      <x:c r="C54" s="13" t="str"/>
      <x:c r="D54" s="13" t="str"/>
      <x:c r="E54" s="13" t="str"/>
      <x:c r="F54" s="13" t="str"/>
      <x:c r="G54" s="13" t="str"/>
      <x:c r="H54" s="13" t="str"/>
      <x:c r="I54" s="13" t="str"/>
      <x:c r="J54" s="13" t="str"/>
      <x:c r="K54" s="2" t="n">
        <x:f>IF(AND(A54&lt;&gt;"",B54&lt;&gt;"",C54&lt;&gt;"",D54&lt;&gt;"",E54&lt;&gt;"",F54&lt;&gt;"",G54&lt;&gt;"",H54="OPEN",I54&lt;&gt;"",J54&lt;&gt;"",COUNTIFS('01_Signoff_Matrix'!$A$8:$A$22,B54,'01_Signoff_Matrix'!$C$8:$C$22,C54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55" ht="60" customHeight="1">
      <x:c r="A55" s="13" t="str"/>
      <x:c r="B55" s="13" t="str"/>
      <x:c r="C55" s="13" t="str"/>
      <x:c r="D55" s="13" t="str"/>
      <x:c r="E55" s="13" t="str"/>
      <x:c r="F55" s="13" t="str"/>
      <x:c r="G55" s="13" t="str"/>
      <x:c r="H55" s="13" t="str"/>
      <x:c r="I55" s="13" t="str"/>
      <x:c r="J55" s="13" t="str"/>
      <x:c r="K55" s="2" t="n">
        <x:f>IF(AND(A55&lt;&gt;"",B55&lt;&gt;"",C55&lt;&gt;"",D55&lt;&gt;"",E55&lt;&gt;"",F55&lt;&gt;"",G55&lt;&gt;"",H55="OPEN",I55&lt;&gt;"",J55&lt;&gt;"",COUNTIFS('01_Signoff_Matrix'!$A$8:$A$22,B55,'01_Signoff_Matrix'!$C$8:$C$22,C55,'01_Signoff_Matrix'!$D$8:$D$22,"&lt;&gt;",'01_Signoff_Matrix'!$E$8:$E$22,"&lt;&gt;",'01_Signoff_Matrix'!$F$8:$F$22,"&lt;&gt;",'01_Signoff_Matrix'!$G$8:$G$22,"&gt;0",'01_Signoff_Matrix'!$J$8:$J$22,"&lt;&gt;")&gt;0),1,0)</x:f>
        <x:v>0</x:v>
      </x:c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42" customHeight="1">
      <x:c r="A59" s="11" t="str">
        <x:v>Validación técnica histórica 16 Oct</x:v>
      </x:c>
      <x:c r="B59" s="11" t="str">
        <x:v>PASS</x:v>
      </x:c>
      <x:c r="C59" s="11" t="str">
        <x:v>FAIL</x:v>
      </x:c>
      <x:c r="D59" s="11" t="str">
        <x:v>ERROR</x:v>
      </x:c>
      <x:c r="E59" s="11" t="str">
        <x:v>SKIP</x:v>
      </x:c>
      <x:c r="F59" s="11" t="str">
        <x:v>Evidencia</x:v>
      </x:c>
      <x:c r="G59" s="2"/>
      <x:c r="H59" s="2"/>
      <x:c r="I59" s="2"/>
      <x:c r="J59" s="2"/>
      <x:c r="K59" s="2"/>
    </x:row>
    <x:row r="60" ht="26" customHeight="1">
      <x:c r="A60" s="2" t="str">
        <x:v>Broad backend</x:v>
      </x:c>
      <x:c r="B60" s="2" t="n">
        <x:v>898</x:v>
      </x:c>
      <x:c r="C60" s="2" t="n">
        <x:v>0</x:v>
      </x:c>
      <x:c r="D60" s="2" t="n">
        <x:v>0</x:v>
      </x:c>
      <x:c r="E60" s="2" t="n">
        <x:v>16</x:v>
      </x:c>
      <x:c r="F60" s="2" t="str">
        <x:v>E09</x:v>
      </x:c>
      <x:c r="G60" s="2"/>
      <x:c r="H60" s="2"/>
      <x:c r="I60" s="2"/>
      <x:c r="J60" s="2"/>
      <x:c r="K60" s="2"/>
    </x:row>
    <x:row r="61" ht="26" customHeight="1">
      <x:c r="A61" s="2" t="str">
        <x:v>Chromium</x:v>
      </x:c>
      <x:c r="B61" s="2" t="n">
        <x:v>1</x:v>
      </x:c>
      <x:c r="C61" s="2" t="n">
        <x:v>0</x:v>
      </x:c>
      <x:c r="D61" s="2" t="n">
        <x:v>0</x:v>
      </x:c>
      <x:c r="E61" s="2" t="n">
        <x:v>0</x:v>
      </x:c>
      <x:c r="F61" s="2" t="str">
        <x:v>E10</x:v>
      </x:c>
      <x:c r="G61" s="2"/>
      <x:c r="H61" s="2"/>
      <x:c r="I61" s="2"/>
      <x:c r="J61" s="2"/>
      <x:c r="K61" s="2"/>
    </x:row>
    <x:row r="62" ht="26" customHeight="1">
      <x:c r="A62" s="2" t="str">
        <x:v>Controlled Class B</x:v>
      </x:c>
      <x:c r="B62" s="2" t="n">
        <x:v>29</x:v>
      </x:c>
      <x:c r="C62" s="2" t="n">
        <x:v>0</x:v>
      </x:c>
      <x:c r="D62" s="2" t="n">
        <x:v>0</x:v>
      </x:c>
      <x:c r="E62" s="2" t="n">
        <x:v>0</x:v>
      </x:c>
      <x:c r="F62" s="2" t="str">
        <x:v>E14</x:v>
      </x:c>
      <x:c r="G62" s="2"/>
      <x:c r="H62" s="2"/>
      <x:c r="I62" s="2"/>
      <x:c r="J62" s="2"/>
      <x:c r="K62" s="2"/>
    </x:row>
    <x:row r="63" ht="26" customHeight="1">
      <x:c r="A63" s="2" t="str">
        <x:v>Post FID bridge</x:v>
      </x:c>
      <x:c r="B63" s="2" t="n">
        <x:v>20</x:v>
      </x:c>
      <x:c r="C63" s="2" t="n">
        <x:v>0</x:v>
      </x:c>
      <x:c r="D63" s="2" t="n">
        <x:v>0</x:v>
      </x:c>
      <x:c r="E63" s="2" t="n">
        <x:v>0</x:v>
      </x:c>
      <x:c r="F63" s="2" t="str">
        <x:v>E07</x:v>
      </x:c>
      <x:c r="G63" s="2"/>
      <x:c r="H63" s="2"/>
      <x:c r="I63" s="2"/>
      <x:c r="J63" s="2"/>
      <x:c r="K63" s="2"/>
    </x:row>
    <x:row r="64" ht="26" customHeight="1">
      <x:c r="A64" s="2" t="str">
        <x:v>Canonical guards</x:v>
      </x:c>
      <x:c r="B64" s="2" t="n">
        <x:v>54</x:v>
      </x:c>
      <x:c r="C64" s="2" t="n">
        <x:v>0</x:v>
      </x:c>
      <x:c r="D64" s="2" t="n">
        <x:v>0</x:v>
      </x:c>
      <x:c r="E64" s="2" t="n">
        <x:v>2</x:v>
      </x:c>
      <x:c r="F64" s="2" t="str">
        <x:v>E07</x:v>
      </x:c>
      <x:c r="G64" s="2"/>
      <x:c r="H64" s="2"/>
      <x:c r="I64" s="2"/>
      <x:c r="J64" s="2"/>
      <x:c r="K64" s="2"/>
    </x:row>
    <x:row r="65" ht="26" customHeight="1">
      <x:c r="A65" s="2" t="str">
        <x:v>Post activation currentness</x:v>
      </x:c>
      <x:c r="B65" s="2" t="n">
        <x:v>38</x:v>
      </x:c>
      <x:c r="C65" s="2" t="n">
        <x:v>0</x:v>
      </x:c>
      <x:c r="D65" s="2" t="n">
        <x:v>0</x:v>
      </x:c>
      <x:c r="E65" s="2" t="n">
        <x:v>0</x:v>
      </x:c>
      <x:c r="F65" s="2" t="str">
        <x:v>E07</x:v>
      </x:c>
      <x:c r="G65" s="2"/>
      <x:c r="H65" s="2"/>
      <x:c r="I65" s="2"/>
      <x:c r="J65" s="2"/>
      <x:c r="K65" s="2"/>
    </x:row>
    <x:row r="66" ht="26" customHeight="1">
      <x:c r="A66" s="2" t="str">
        <x:v>Frontend presentation</x:v>
      </x:c>
      <x:c r="B66" s="2" t="n">
        <x:v>15</x:v>
      </x:c>
      <x:c r="C66" s="2" t="n">
        <x:v>0</x:v>
      </x:c>
      <x:c r="D66" s="2" t="n">
        <x:v>0</x:v>
      </x:c>
      <x:c r="E66" s="2" t="n">
        <x:v>0</x:v>
      </x:c>
      <x:c r="F66" s="2" t="str">
        <x:v>E07</x:v>
      </x:c>
      <x:c r="G66" s="2"/>
      <x:c r="H66" s="2"/>
      <x:c r="I66" s="2"/>
      <x:c r="J66" s="2"/>
      <x:c r="K66" s="2"/>
    </x:row>
    <x:row r="67" ht="26" customHeight="1">
      <x:c r="A67" s="2" t="str">
        <x:v>Legacy FID focused</x:v>
      </x:c>
      <x:c r="B67" s="2" t="n">
        <x:v>1</x:v>
      </x:c>
      <x:c r="C67" s="2" t="n">
        <x:v>0</x:v>
      </x:c>
      <x:c r="D67" s="2" t="n">
        <x:v>0</x:v>
      </x:c>
      <x:c r="E67" s="2" t="n">
        <x:v>0</x:v>
      </x:c>
      <x:c r="F67" s="2" t="str">
        <x:v>E07</x:v>
      </x:c>
      <x:c r="G67" s="2"/>
      <x:c r="H67" s="2"/>
      <x:c r="I67" s="2"/>
      <x:c r="J67" s="2"/>
      <x:c r="K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22" customHeight="1">
      <x:c r="A69" s="2" t="str">
        <x:v>Los enfocados no se suman al broad. Continuidad SQL 18 Oct no es nueva ejecución E2E ni aceptación humana.</x:v>
      </x:c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</x:sheetData>
  <x:conditionalFormatting sqref="B34:B36">
    <x:cfRule type="containsText" dxfId="8" priority="1" operator="containsText" text="PENDING"/>
    <x:cfRule type="containsText" dxfId="9" priority="2" operator="containsText" text="REJECT"/>
  </x:conditionalFormatting>
  <x:dataValidations count="3">
    <x:dataValidation type="list" sqref="B30">
      <x:formula1>"REVALIDATED"</x:formula1>
    </x:dataValidation>
    <x:dataValidation type="list" sqref="B31">
      <x:formula1>"ASSEMBLED_AND_REVIEWED"</x:formula1>
    </x:dataValidation>
    <x:dataValidation type="list" sqref="H41:H55">
      <x:formula1>"OPEN,RESOLVED,SUPERSEDED_BY_AUTHORIZED_GOVERNANCE"</x:formula1>
    </x:dataValidation>
  </x:dataValidations>
  <x:pageMargins left="0.7" right="0.7" top="0.75" bottom="0.75" header="0.3" footer="0.3"/>
</x:worksheet>
</file>