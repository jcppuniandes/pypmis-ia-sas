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comments1.xml" ContentType="application/vnd.openxmlformats-officedocument.spreadsheetml.comments+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50d70849754ad9" /></Relationships>
</file>

<file path=xl/workbook.xml><?xml version="1.0" encoding="utf-8"?>
<x:workbook xmlns:x="http://schemas.openxmlformats.org/spreadsheetml/2006/main">
  <x:sheets>
    <x:sheet xmlns:r="http://schemas.openxmlformats.org/officeDocument/2006/relationships" name="01_Domain_Map" sheetId="1" r:id="R941367d386374be1"/>
    <x:sheet xmlns:r="http://schemas.openxmlformats.org/officeDocument/2006/relationships" name="02_Process_Map" sheetId="2" r:id="R81bbbff422c24bea"/>
    <x:sheet xmlns:r="http://schemas.openxmlformats.org/officeDocument/2006/relationships" name="03_Admin_User_Matrix" sheetId="3" r:id="R011f717f97604ccc"/>
    <x:sheet xmlns:r="http://schemas.openxmlformats.org/officeDocument/2006/relationships" name="04_Owner_Contractor_Matrix" sheetId="4" r:id="R4720e57e4d934fa5"/>
    <x:sheet xmlns:r="http://schemas.openxmlformats.org/officeDocument/2006/relationships" name="05_Data_Ownership" sheetId="5" r:id="R04a218ab77554afa"/>
    <x:sheet xmlns:r="http://schemas.openxmlformats.org/officeDocument/2006/relationships" name="06_Integration_Matrix" sheetId="6" r:id="Rfcf17fea2ead4a62"/>
    <x:sheet xmlns:r="http://schemas.openxmlformats.org/officeDocument/2006/relationships" name="07_Current_Capabilities" sheetId="7" r:id="R78aa1ebdefe74fb0"/>
    <x:sheet xmlns:r="http://schemas.openxmlformats.org/officeDocument/2006/relationships" name="08_Gap_Analysis" sheetId="8" r:id="R42ee3cf4b7b24d9e"/>
    <x:sheet xmlns:r="http://schemas.openxmlformats.org/officeDocument/2006/relationships" name="09_Wave_Prioritization" sheetId="9" r:id="R022807fedc794bc9"/>
    <x:sheet xmlns:r="http://schemas.openxmlformats.org/officeDocument/2006/relationships" name="10_Dependency_Map" sheetId="10" r:id="Rdac658cc0c8b4430"/>
    <x:sheet xmlns:r="http://schemas.openxmlformats.org/officeDocument/2006/relationships" name="11_Legacy_Candidates" sheetId="11" r:id="Re4e8ec5b9e464b2d"/>
    <x:sheet xmlns:r="http://schemas.openxmlformats.org/officeDocument/2006/relationships" name="12_Decisions" sheetId="12" r:id="R254f62fa29e34c05"/>
  </x:sheets>
</x:workbook>
</file>

<file path=xl/comments1.xml><?xml version="1.0" encoding="utf-8"?>
<x:comments xmlns:x="http://schemas.openxmlformats.org/spreadsheetml/2006/main">
  <x:authors>
    <x:author/>
  </x:authors>
  <x:commentList>
    <x:comment ref="T10" authorId="0">
      <x:text>
        <x:r>
          <x:t>business_value: Juicio arquitectónico: Preparar un Project Workspace activado para control operacional sin crear otra identidad maestra. No representa valor económico cuantificado ni aprobación de negocio.
dependency_centrality: Juicio de centralidad: 0 fuentes y 18 consumidores declarados (18 conexiones); no mide popularidad ni prioridad aprobada.
existing_capability_reuse: Base observada: Setup legacy y canonical activation existen separados. Adaptador explícito de lectura localizado; falta contrato universal de onboarding/binding y no se implementa aquí. La puntuación estima reutilización, no cobertura completa.
implementation_complexity: Complejidad relativa VERY_HIGH: Resolver identidad, membresía y límites de autorización antes de exponer fuentes operacionales; protege reutilización sin nuevo Project master. Sin estimación de horas ni compromiso de entrega.
data_model_risk: Riesgo de autoridad/versionado: Enterprise Structure &amp; Workspace conserva identidad; Project Creation/Initialization/Activation conserva elegibilidad. La configuración operacional solo posee su perfil y vinculación explícita a registros legacy. Se valora exposición, no defecto de producción probado.
cross_domain_coupling: Exposición de contratos con 0 fuentes y 18 consumidores; no se interpreta como acoplamiento de tablas autorizado.
strategic_integration_importance: Frontera upstream: Referencia a identidad y snapshot de autorización/currentness. No copiar FID ni asumir igualdad enterprise_workspaces.id = projects.id; binding universal aún no demostrado.
owner_applicability: CAPITAL_OWNER MANDATORY: Obligatorio como contexto mínimo de cualquier proyecto operacional; intensidad y autorización dependen del modelo. No significa política vigente.
contractor_applicability: CONTRACTOR_DELIVERY MANDATORY: Obligatorio como contexto mínimo de cualquier proyecto operacional; intensidad y autorización dependen del modelo. No exige ruta FID completa.
reporting_value: Salidas propuestas: Contexto operacional validado y trazable; Perfil de controles y calendario de períodos; Referencia explícita, única y tenant-scoped a registros legacy cuando exista. Valor de visibilidad, no reporte ya implementado.
user_urgency: Neutral 3 para todos: el usuario no priorizó dominios específicos ni comunicó fechas. No se inventa urgencia ni preferencia.</x:t>
        </x:r>
      </x:text>
    </x:comment>
    <x:comment ref="T11" authorId="0">
      <x:text>
        <x:r>
          <x:t>business_value: Juicio arquitectónico: Controlar alcance, entregables, cantidades y paquetes con baseline/revisiones autorizadas y trazabilidad BIM opcional. No representa valor económico cuantificado ni aprobación de negocio.
dependency_centrality: Juicio de centralidad: 2 fuentes y 14 consumidores declarados (16 conexiones); no mide popularidad ni prioridad aprobada.
existing_capability_reuse: Base observada: Cantidades IFC/Excel, viewer, reglas, geometría/APU y paquetes son reales parciales. Scope Items/Plan Items y gobernanza completa de baseline siguen pendientes; 4D es placeholder. La puntuación estima reutilización, no cobertura completa.
implementation_complexity: Complejidad relativa HIGH: Reutilizar BIM/cantidades/APU sin construir otro motor; completar identidad de Scope Item y sus revisiones en un incremento posterior. Sin estimación de horas ni compromiso de entrega.
data_model_risk: Riesgo de autoridad/versionado: Scope posee alcance/cantidad controlada y definición de paquetes; BIM conserva geometría/modelo fuente; WBS/PBS son referencias coherentes, no copias competidoras. Se valora exposición, no defecto de producción probado.
cross_domain_coupling: Exposición de contratos con 2 fuentes y 14 consumidores; no se interpreta como acoplamiento de tablas autorizado.
strategic_integration_importance: Frontera upstream: Transforma alcance autorizado en baseline operacional manteniendo referencia a origen; no reescribe Business Case aprobado.
owner_applicability: CAPITAL_OWNER MANDATORY: Alcance mínimo siempre; BIM y AWP son opcionales por tipo de proyecto. No significa política vigente.
contractor_applicability: CONTRACTOR_DELIVERY MANDATORY: Alcance mínimo siempre; BIM y AWP son opcionales por tipo de proyecto. No exige ruta FID completa.
reporting_value: Salidas propuestas: Baseline de alcance y revisión; Cantidades con método/unidad/source hash; Relaciones many-to-many Scope–WBS–Activity–CBS–Package. Valor de visibilidad, no reporte ya implementado.
user_urgency: Neutral 3 para todos: el usuario no priorizó dominios específicos ni comunicó fechas. No se inventa urgencia ni preferencia.</x:t>
        </x:r>
      </x:text>
    </x:comment>
    <x:comment ref="T12" authorId="0">
      <x:text>
        <x:r>
          <x:t>business_value: Juicio arquitectónico: Gestionar datos, versiones, baseline/current/update, data date y calidad del cronograma manteniendo Primavera P6 como autoridad CPM externa. No representa valor económico cuantificado ni aprobación de negocio.
dependency_centrality: Juicio de centralidad: 4 fuentes y 13 consumidores declarados (17 conexiones); no mide popularidad ni prioridad aprobada.
existing_capability_reuse: Base observada: Importación P6/WBS y metadatos son reales. Handbook calcula CPM básico y persiste controles locales, riesgo a aislar/no promover a fuente P6. Falta ciclo completo de versiones/exportación y 4D. La puntuación estima reutilización, no cobertura completa.
implementation_complexity: Complejidad relativa VERY_HIGH: Separar gestión de datos de cálculo externo; preservar semántica de calendarios/constraints y trazabilidad sin equivalencia funcional falsa. Sin estimación de horas ni compromiso de entrega.
data_model_risk: Riesgo de autoridad/versionado: P6 posee cálculo CPM, fechas recalculadas y critical/float importados. P&amp;Pmis posee registro de versión, source hash, validación, mappings y aceptación del corte, sin recalcular silenciosamente la ruta crítica. Se valora exposición, no defecto de producción probado.
cross_domain_coupling: Exposición de contratos con 4 fuentes y 13 consumidores; no se interpreta como acoplamiento de tablas autorizado.
strategic_integration_importance: Frontera upstream: Referencia a hitos/fechas autorizadas; baseline operacional no es una aprobación de inversión ni una modificación del plazo contractual.
owner_applicability: CAPITAL_OWNER MANDATORY: El cronograma controlado es esencial para owner/contractor; profundidad de P6 en DIRECT_INTERNAL depende de complejidad y política publicada. No significa política vigente.
contractor_applicability: CONTRACTOR_DELIVERY MANDATORY: El cronograma controlado es esencial para owner/contractor; profundidad de P6 en DIRECT_INTERNAL depende de complejidad y política publicada. No exige ruta FID completa.
reporting_value: Salidas propuestas: Versión aceptada con data date y source lineage; Hallazgos/reconciliación entre versiones; Look-ahead de horizonte configurable basado en cronograma aceptado. Valor de visibilidad, no reporte ya implementado.
user_urgency: Neutral 3 para todos: el usuario no priorizó dominios específicos ni comunicó fechas. No se inventa urgencia ni preferencia.</x:t>
        </x:r>
      </x:text>
    </x:comment>
    <x:comment ref="T13" authorId="0">
      <x:text>
        <x:r>
          <x:t>business_value: Juicio arquitectónico: Controlar presupuesto operacional, costos reales/accruals, codificación y cierre de períodos sin duplicar Funding estratégico ni obligación contractual. No representa valor económico cuantificado ni aprobación de negocio.
dependency_centrality: Juicio de centralidad: 5 fuentes y 9 consumidores declarados (14 conexiones); no mide popularidad ni prioridad aprobada.
existing_capability_reuse: Base observada: Cost sheet, CBS/FBS, recost/reconciliation y BIM budget parciales. Riesgo de sumatoria Contract+PO y committed+executed no neteados requiere diseño; no se afirma doble conteo real en producción. La puntuación estima reutilización, no cobertura completa.
implementation_complexity: Complejidad relativa VERY_HIGH: Reutilizar core y resolver origen económico/semántica de costo antes de ampliar controles; evitar Funding/Commitment paralelo. Sin estimación de horas ni compromiso de entrega.
data_model_risk: Riesgo de autoridad/versionado: Cost posee presupuesto de control, clasificación y costo operacional validado. D12 posee obligación legal/commitment; Strategic Funds posee cobertura y FIN modelo económico. Contabilidad/tesorería futura posee posting/pago. Se valora exposición, no defecto de producción probado.
cross_domain_coupling: Exposición de contratos con 5 fuentes y 9 consumidores; no se interpreta como acoplamiento de tablas autorizado.
strategic_integration_importance: Frontera upstream: Referencia/snapshot del monto autorizado y restricciones; operacionalizar presupuesto no muta capital envelope, Funding ni FIN.
owner_applicability: CAPITAL_OWNER MANDATORY: El alcance mínimo es control de costo; accrual, reserva, cash flow y ERP dependen de política y datos disponibles. No significa política vigente.
contractor_applicability: CONTRACTOR_DELIVERY MANDATORY: El alcance mínimo es control de costo; accrual, reserva, cash flow y ERP dependen de política y datos disponibles. No exige ruta FID completa.
reporting_value: Salidas propuestas: Presupuesto/control cost period snapshot; Variaciones y fuente para Forecast/EVM; Conciliación presupuesto–compromiso–actual–funding. Valor de visibilidad, no reporte ya implementado.
user_urgency: Neutral 3 para todos: el usuario no priorizó dominios específicos ni comunicó fechas. No se inventa urgencia ni preferencia.</x:t>
        </x:r>
      </x:text>
    </x:comment>
    <x:comment ref="T14" authorId="0">
      <x:text>
        <x:r>
          <x:t>business_value: Juicio arquitectónico: Controlar recursos operacionales, crews/horas y productividad mediante cantidades aprobadas, separado de escenarios estratégicos de capacidad. No representa valor económico cuantificado ni aprobación de negocio.
dependency_centrality: Juicio de centralidad: 5 fuentes y 3 consumidores declarados (8 conexiones); no mide popularidad ni prioridad aprobada.
existing_capability_reuse: Base observada: APU/tarifas y catálogo/resource primitives backend, horas/progress/productivity summary parciales; no asignación multiusuario completa demostrada. La puntuación estima reutilización, no cobertura completa.
implementation_complexity: Complejidad relativa HIGH: No convertir Master Rate Sheet en sistema completo de recursos ni duplicar escenario estratégico; extender desde hechos de campo y costo. Sin estimación de horas ni compromiso de entrega.
data_model_risk: Riesgo de autoridad/versionado: Subdominio operacional de ejecución/costos posee asignaciones y horas verificadas; D06 posee cantidad aprobada por método; APU/rate sheet conserva su catálogo. Portfolio Resource Planning no posee asignación operacional. Se valora exposición, no defecto de producción probado.
cross_domain_coupling: Exposición de contratos con 5 fuentes y 3 consumidores; no se interpreta como acoplamiento de tablas autorizado.
strategic_integration_importance: Frontera upstream: Referencia a capacidad/estrategia de recursos autorizada, no copia editable del escenario de Portfolio.
owner_applicability: CAPITAL_OWNER CONDITIONAL: Owner puede supervisar sin gestionar crews; Contractor necesita productividad de su alcance ejecutado; otros modelos según ejecución propia. No significa política vigente.
contractor_applicability: CONTRACTOR_DELIVERY MANDATORY: Owner puede supervisar sin gestionar crews; Contractor necesita productividad de su alcance ejecutado; otros modelos según ejecución propia. No exige ruta FID completa.
reporting_value: Salidas propuestas: Productividad con unidad/método y corte; Demanda/horas restantes; Variancias e histogramas. Valor de visibilidad, no reporte ya implementado.
user_urgency: Neutral 3 para todos: el usuario no priorizó dominios específicos ni comunicó fechas. No se inventa urgencia ni preferencia.</x:t>
        </x:r>
      </x:text>
    </x:comment>
    <x:comment ref="T15" authorId="0">
      <x:text>
        <x:r>
          <x:t>business_value: Juicio arquitectónico: Mantener medición operacional por método, período y aprobación sin mezclar physical, schedule, cost y earned percentages. No representa valor económico cuantificado ni aprobación de negocio.
dependency_centrality: Juicio de centralidad: 6 fuentes y 5 consumidores declarados (11 conexiones); no mide popularidad ni prioridad aprobada.
existing_capability_reuse: Base observada: Capture endpoint y records reales; pantalla activa principalmente de lectura. Falta ciclo integral de método/aprobación/cutoff/supersession y UI de captura gobernada. La puntuación estima reutilización, no cobertura completa.
implementation_complexity: Complejidad relativa HIGH: Conservar registros y añadir semántica antes de alimentar Forecast/EVM; separar medición de aprobación y performance derivada. Sin estimación de horas ni compromiso de entrega.
data_model_risk: Riesgo de autoridad/versionado: Progress posee aprobación y consolidación por método; fuente original permanece Quantity/Field/P6/Cost según método. Earned progress se deriva del presupuesto y regla aprobada, no de un porcentaje intercambiable. Se valora exposición, no defecto de producción probado.
cross_domain_coupling: Exposición de contratos con 6 fuentes y 5 consumidores; no se interpreta como acoplamiento de tablas autorizado.
strategic_integration_importance: Frontera upstream: Consume entregables y baseline autorizada; no modifica decisión de inversión por registrar ejecución.
owner_applicability: CAPITAL_OWNER MANDATORY: Método mínimo por proyecto; no exige earned-value avanzado ni medición BIM en todos. No significa política vigente.
contractor_applicability: CONTRACTOR_DELIVERY MANDATORY: Método mínimo por proyecto; no exige earned-value avanzado ni medición BIM en todos. No exige ruta FID completa.
reporting_value: Salidas propuestas: Progreso aprobado por método/unidad/corte; EV input con método explícito; Historial de correcciones y mediciones rechazadas. Valor de visibilidad, no reporte ya implementado.
user_urgency: Neutral 3 para todos: el usuario no priorizó dominios específicos ni comunicó fechas. No se inventa urgencia ni preferencia.</x:t>
        </x:r>
      </x:text>
    </x:comment>
    <x:comment ref="T16" authorId="0">
      <x:text>
        <x:r>
          <x:t>business_value: Juicio arquitectónico: Consolidar pronósticos temporales/de costo/cantidad/recursos con supuestos, versión y aprobación sin reescribir baseline. No representa valor económico cuantificado ni aprobación de negocio.
dependency_centrality: Juicio de centralidad: 8 fuentes y 1 consumidores declarados (9 conexiones); no mide popularidad ni prioridad aprobada.
existing_capability_reuse: Base observada: EVM/EAC/VAC y forecast-vs-funding existen como reportes; no lifecycle completo de forecast aprobado/local revision UI. La puntuación estima reutilización, no cobertura completa.
implementation_complexity: Complejidad relativa HIGH: Consolidación bajo Project Controls sin otro dueño de actuals, contratos o baseline. Sin estimación de horas ni compromiso de entrega.
data_model_risk: Riesgo de autoridad/versionado: Subdominio Forecast de Project Controls posee supuestos/revisión aprobada y reglas de consolidación. Cost/Schedule/Progress/Risk/Change conservan datos fuente. Se valora exposición, no defecto de producción probado.
cross_domain_coupling: Exposición de contratos con 8 fuentes y 1 consumidores; no se interpreta como acoplamiento de tablas autorizado.
strategic_integration_importance: Frontera upstream: Contrasta ejecución con caso autorizado; no altera FIN, Business Case ni Funding upstream.
owner_applicability: CAPITAL_OWNER MANDATORY: DIRECT_INTERNAL puede usar forecast simplificado; alcance depende de costo/plazo material y política. No significa política vigente.
contractor_applicability: CONTRACTOR_DELIVERY MANDATORY: DIRECT_INTERNAL puede usar forecast simplificado; alcance depende de costo/plazo material y política. No exige ruta FID completa.
reporting_value: Salidas propuestas: Forecast aprobado con lineage y corte; ETC/EAC y finish forecast por método; Escenarios operacionales no confundidos con escenarios estratégicos. Valor de visibilidad, no reporte ya implementado.
user_urgency: Neutral 3 para todos: el usuario no priorizó dominios específicos ni comunicó fechas. No se inventa urgencia ni preferencia.</x:t>
        </x:r>
      </x:text>
    </x:comment>
    <x:comment ref="T17" authorId="0">
      <x:text>
        <x:r>
          <x:t>business_value: Juicio arquitectónico: Gobernar un Change Event/Request transversal con evaluación de impactos y aplicación explícita por dueños de fuentes. No representa valor económico cuantificado ni aprobación de negocio.
dependency_centrality: Juicio de centralidad: 7 fuentes y 8 consumidores declarados (15 conexiones); no mide popularidad ni prioridad aprobada.
existing_capability_reuse: Base observada: ChangeRequest/create y vista Scope Changes de lectura parciales; schedule/budget/contract changes reservados, integración de impacto/aprobación incompleta. La puntuación estima reutilización, no cobertura completa.
implementation_complexity: Complejidad relativa HIGH: Unificar orquestación del cambio sin convertirla en dueño de todos los datos ni duplicar variaciones legales. Sin estimación de horas ni compromiso de entrega.
data_model_risk: Riesgo de autoridad/versionado: Change posee estado, aprobación y assessment consolidado; Scope/Schedule/Cost/D12 poseen modificación de sus propios registros. Una Change Order legal solo la autoriza Contract Administration. Se valora exposición, no defecto de producción probado.
cross_domain_coupling: Exposición de contratos con 7 fuentes y 8 consumidores; no se interpreta como acoplamiento de tablas autorizado.
strategic_integration_importance: Frontera upstream: Cambio que excede autorización se escala al upstream gobernado; no reabre/reescribe FID automáticamente.
owner_applicability: CAPITAL_OWNER MANDATORY: Control proporcional; evitar registros desconectados por cada módulo. No significa política vigente.
contractor_applicability: CONTRACTOR_DELIVERY MANDATORY: Control proporcional; evitar registros desconectados por cada módulo. No exige ruta FID completa.
reporting_value: Salidas propuestas: Decisión de cambio y límites aprobados; Órdenes/comandos explícitos a source owners; Trazabilidad implementación/no-implementación. Valor de visibilidad, no reporte ya implementado.
user_urgency: Neutral 3 para todos: el usuario no priorizó dominios específicos ni comunicó fechas. No se inventa urgencia ni preferencia.</x:t>
        </x:r>
      </x:text>
    </x:comment>
    <x:comment ref="T18" authorId="0">
      <x:text>
        <x:r>
          <x:t>business_value: Juicio arquitectónico: Gestionar incertidumbre futura operacional, respuestas, riesgo residual y escalación con referencia a evidencia estratégica sin reutilizarla como registro operacional. No representa valor económico cuantificado ni aprobación de negocio.
dependency_centrality: Juicio de centralidad: 7 fuentes y 5 consumidores declarados (12 conexiones); no mide popularidad ni prioridad aprobada.
existing_capability_reuse: Base observada: Operational risk menu placeholder. Strategic risk/QRA real aguas arriba, no registro de ejecución demostrado. La puntuación estima reutilización, no cobertura completa.
implementation_complexity: Complejidad relativa HIGH: Nuevo comportamiento operacional cohesivo, pero solo diseño actual; evita contaminar políticas estratégicas ya gobernadas. Sin estimación de horas ni compromiso de entrega.
data_model_risk: Riesgo de autoridad/versionado: Operational Risk posee registro y evaluaciones de ejecución. Strategic Risk Readiness/QRA conserva su evidencia/método/decisión; no se copia una aprobación como mitigación realizada. Se valora exposición, no defecto de producción probado.
cross_domain_coupling: Exposición de contratos con 7 fuentes y 5 consumidores; no se interpreta como acoplamiento de tablas autorizado.
strategic_integration_importance: Frontera upstream: Referenciar risks/QRA aceptados de definición; desarrollar registro de ejecución manteniendo owner y vigencia separados.
owner_applicability: CAPITAL_OWNER MANDATORY: Evaluación proporcional a materialidad; no obligación automática de simulación QRA ni de P6 SRA. No significa política vigente.
contractor_applicability: CONTRACTOR_DELIVERY MANDATORY: Evaluación proporcional a materialidad; no obligación automática de simulación QRA ni de P6 SRA. No exige ruta FID completa.
reporting_value: Salidas propuestas: Registro y respuestas/escalaciones; Impact inputs para Forecast/Change; Riesgo realizado convertido en Issue por acción trazable. Valor de visibilidad, no reporte ya implementado.
user_urgency: Neutral 3 para todos: el usuario no priorizó dominios específicos ni comunicó fechas. No se inventa urgencia ni preferencia.</x:t>
        </x:r>
      </x:text>
    </x:comment>
    <x:comment ref="T19" authorId="0">
      <x:text>
        <x:r>
          <x:t>business_value: Juicio arquitectónico: Gestionar eventos/condiciones ya ocurridos con acciones, owner, vencimiento, escalación y referencias de impacto. No representa valor económico cuantificado ni aprobación de negocio.
dependency_centrality: Juicio de centralidad: 6 fuentes y 5 consumidores declarados (11 conexiones); no mide popularidad ni prioridad aprobada.
existing_capability_reuse: Base observada: Issues placeholder; restricciones AWP reales no constituyen registro general de Issues. La puntuación estima reutilización, no cobertura completa.
implementation_complexity: Complejidad relativa MEDIUM: Subdominio pequeño reutilizable; coordina acciones sin inventar otro registro de riesgos o restricciones. Sin estimación de horas ni compromiso de entrega.
data_model_risk: Riesgo de autoridad/versionado: Issue posee resolución/escalación de condición actual; fuente técnica/legal permanece en dominio originador. No reemplaza AWP constraint, NCR, claim ni risk. Se valora exposición, no defecto de producción probado.
cross_domain_coupling: Exposición de contratos con 6 fuentes y 5 consumidores; no se interpreta como acoplamiento de tablas autorizado.
strategic_integration_importance: Frontera upstream: Condiciones upstream abiertas se referencian, no se resuelven cerrando Issue local.
owner_applicability: CAPITAL_OWNER MANDATORY: Registro mínimo transversal; dominio originador conserva autoridad. No significa política vigente.
contractor_applicability: CONTRACTOR_DELIVERY MANDATORY: Registro mínimo transversal; dominio originador conserva autoridad. No exige ruta FID completa.
reporting_value: Salidas propuestas: Acción y escalación trazable; Change request/risk feedback por referencia; Cierre de Issue con evidencia. Valor de visibilidad, no reporte ya implementado.
user_urgency: Neutral 3 para todos: el usuario no priorizó dominios específicos ni comunicó fechas. No se inventa urgencia ni preferencia.</x:t>
        </x:r>
      </x:text>
    </x:comment>
    <x:comment ref="T20" authorId="0">
      <x:text>
        <x:r>
          <x:t>business_value: Juicio arquitectónico: Gestionar sourcing: plan/paquete/requisición/RFQ-RFP/bids/evaluación y recomendación de adjudicación, sin poseer otra obligación legal. No representa valor económico cuantificado ni aprobación de negocio.
dependency_centrality: Juicio de centralidad: 7 fuentes y 4 consumidores declarados (11 conexiones); no mide popularidad ni prioridad aprobada.
existing_capability_reuse: Base observada: RFQ backend real con pesos hardcoded/summary; UI actual reservada y sin award gobernado completo. Vendors/Partners son placeholders. La puntuación estima reutilización, no cobertura completa.
implementation_complexity: Complejidad relativa HIGH: Reutilizar RFQ y configurar evaluación/autoridad antes de cualquier nueva pantalla; sourcing distinto de compromiso. Sin estimación de horas ni compromiso de entrega.
data_model_risk: Riesgo de autoridad/versionado: Procurement posee sourcing y recomendación; D12 posee Contract/PO y obligación después de aprobación autorizada; Party master futuro es compartido, no vendor string duplicado. Se valora exposición, no defecto de producción probado.
cross_domain_coupling: Exposición de contratos con 7 fuentes y 4 consumidores; no se interpreta como acoplamiento de tablas autorizado.
strategic_integration_importance: Frontera upstream: Consume estrategia comercial conceptual; no duplica Commercial Strategy, Funds ni FIN. No nuevo Procurement Manager hasta resolver duplicación de menús/autoridad.
owner_applicability: CAPITAL_OWNER CONDITIONAL: Aplica si hay compras/subcontratos. No todo proyecto requiere sourcing propio; Owner/Contractor pueden consumir contrato ya existente. No significa política vigente.
contractor_applicability: CONTRACTOR_DELIVERY CONDITIONAL: Aplica si hay compras/subcontratos. No todo proyecto requiere sourcing propio; Owner/Contractor pueden consumir contrato ya existente. No exige ruta FID completa.
reporting_value: Salidas propuestas: Evaluación trazable y recomendación; Paquete de award aprobado para D12; Entrega/material status por referencia. Valor de visibilidad, no reporte ya implementado.
user_urgency: Neutral 3 para todos: el usuario no priorizó dominios específicos ni comunicó fechas. No se inventa urgencia ni preferencia.</x:t>
        </x:r>
      </x:text>
    </x:comment>
    <x:comment ref="T21" authorId="0">
      <x:text>
        <x:r>
          <x:t>business_value: Juicio arquitectónico: Administrar registro legal Contract/PO/subcontract, SOV, notices, variaciones, certificación y cierre con una sola autoridad de obligaciones. No representa valor económico cuantificado ni aprobación de negocio.
dependency_centrality: Juicio de centralidad: 6 fuentes y 9 consumidores declarados (15 conexiones); no mide popularidad ni prioridad aprobada.
existing_capability_reuse: Base observada: Contract/PO/SOV/notices/certificates/receipts reales parciales; menús reservados, doble conteo y gate commitment-only requieren hardening futuro. Sin inferir vendor master ni pagos. La puntuación estima reutilización, no cobertura completa.
implementation_complexity: Complejidad relativa VERY_HIGH: Separación cohesiva de sourcing por obligación legal; conservar APIs/datos y sustituir conceptos duplicados solo con deprecación aprobada. Sin estimación de horas ni compromiso de entrega.
data_model_risk: Riesgo de autoridad/versionado: Reutilizar Contract y PurchaseOrder existentes como única autoridad contractual/commitment. Cost consume refs neteadas. Certificado/recepción no es pago bancario; invoice/payment posting queda en ERP/Treasury futuro. Se valora exposición, no defecto de producción probado.
cross_domain_coupling: Exposición de contratos con 6 fuentes y 9 consumidores; no se interpreta como acoplamiento de tablas autorizado.
strategic_integration_importance: Frontera upstream: Verificar autorización scope y condiciones de compromiso upstream por autoridad existente; activación no habilita compromiso automáticamente.
owner_applicability: CAPITAL_OWNER CONDITIONAL: Contractor requiere contrato de entrega; owner/direct solo si hay contratos o compromisos. Direction no se infiere del nombre del menú. No significa política vigente.
contractor_applicability: CONTRACTOR_DELIVERY MANDATORY: Contractor requiere contrato de entrega; owner/direct solo si hay contratos o compromisos. Direction no se infiere del nombre del menú. No exige ruta FID completa.
reporting_value: Salidas propuestas: Obligación aprobada con dirección revenue/spend y versión; Open commitment neto/no doble conteo; Certificación/retention y closeout documental. Valor de visibilidad, no reporte ya implementado.
user_urgency: Neutral 3 para todos: el usuario no priorizó dominios específicos ni comunicó fechas. No se inventa urgencia ni preferencia.</x:t>
        </x:r>
      </x:text>
    </x:comment>
    <x:comment ref="T22" authorId="0">
      <x:text>
        <x:r>
          <x:t>business_value: Juicio arquitectónico: Gestionar paquetes/deliverables técnicos, disciplina, estado IFA/IFC equivalente, revisión, comentarios y cambios de diseño. No representa valor económico cuantificado ni aprobación de negocio.
dependency_centrality: Juicio de centralidad: 6 fuentes y 5 consumidores declarados (11 conexiones); no mide popularidad ni prioridad aprobada.
existing_capability_reuse: Base observada: No workspace operacional dedicado identificado; BIM/docs aportan primitivas, no lifecycle de diseño. La puntuación estima reutilización, no cobertura completa.
implementation_complexity: Complejidad relativa HIGH: Separar estado técnico de archivo documental; diseñar antes de implementar sin otro DMS. Sin estimación de horas ni compromiso de entrega.
data_model_risk: Riesgo de autoridad/versionado: Engineering posee madurez/liberación técnica del entregable; D14 posee documento/revisión/transmittal; Scope/Change/Contract mantienen sus autoridades. Se valora exposición, no defecto de producción probado.
cross_domain_coupling: Exposición de contratos con 6 fuentes y 5 consumidores; no se interpreta como acoplamiento de tablas autorizado.
strategic_integration_importance: Frontera upstream: Consume bases de definición autorizadas sin apropiarse de FEL/Business Case; detalle técnico de ejecución gobernado separadamente.
owner_applicability: CAPITAL_OWNER CONDITIONAL: Según alcance de diseño/ingeniería; no forzar sobre proyecto sin ingeniería. No significa política vigente.
contractor_applicability: CONTRACTOR_DELIVERY CONDITIONAL: Según alcance de diseño/ingeniería; no forzar sobre proyecto sin ingeniería. No exige ruta FID completa.
reporting_value: Salidas propuestas: Entregable técnicamente liberado con revisión; Respuestas RFI/comentarios; Readiness inputs para sourcing/workfront. Valor de visibilidad, no reporte ya implementado.
user_urgency: Neutral 3 para todos: el usuario no priorizó dominios específicos ni comunicó fechas. No se inventa urgencia ni preferencia.</x:t>
        </x:r>
      </x:text>
    </x:comment>
    <x:comment ref="T23" authorId="0">
      <x:text>
        <x:r>
          <x:t>business_value: Juicio arquitectónico: Proveer registro/revisión/distribución/evidencia reutilizable a dominios sin construir un enterprise DMS innecesario. No representa valor económico cuantificado ni aprobación de negocio.
dependency_centrality: Juicio de centralidad: 1 fuentes y 12 consumidores declarados (13 conexiones); no mide popularidad ni prioridad aprobada.
existing_capability_reuse: Base observada: Backend documents/transmittals/reviews/attachment security real; dedicated Document Approval/Submittals placeholder y Evidence live reachability por validar. La puntuación estima reutilización, no cobertura completa.
implementation_complexity: Complejidad relativa HIGH: Mover evidencia mínima antes de baselines evita bloqueos; conservar autoridad documental y no confundir review documental con decisión del dominio. Sin estimación de horas ni compromiso de entrega.
data_model_risk: Riesgo de autoridad/versionado: Reutilizar Document/revision/attachment/transmittal backend como autoridad documental. Dominio de negocio conserva decisión técnica/legal; DMS externo futuro conserva original cuando se use reference-only. Se valora exposición, no defecto de producción probado.
cross_domain_coupling: Exposición de contratos con 1 fuentes y 12 consumidores; no se interpreta como acoplamiento de tablas autorizado.
strategic_integration_importance: Frontera upstream: Referencias a evidencias upstream congeladas, sin reemisión ni aceptación tácita.
owner_applicability: CAPITAL_OWNER MANDATORY: Evidencia mínima siempre; funciones avanzadas/DMS externo son opcionales y contextualizadas. No significa política vigente.
contractor_applicability: CONTRACTOR_DELIVERY MANDATORY: Evidencia mínima siempre; funciones avanzadas/DMS externo son opcionales y contextualizadas. No exige ruta FID completa.
reporting_value: Salidas propuestas: Revisión/documento controlado y acceso scoped; Evidence reference inmutable por versión; Review/distribution audit. Valor de visibilidad, no reporte ya implementado.
user_urgency: Neutral 3 para todos: el usuario no priorizó dominios específicos ni comunicó fechas. No se inventa urgencia ni preferencia.</x:t>
        </x:r>
      </x:text>
    </x:comment>
    <x:comment ref="T24" authorId="0">
      <x:text>
        <x:r>
          <x:t>business_value: Juicio arquitectónico: Coordinar interfaces internas/externas técnicas, comerciales y temporales con owner, due date, dependencia y cierre. No representa valor económico cuantificado ni aprobación de negocio.
dependency_centrality: Juicio de centralidad: 7 fuentes y 5 consumidores declarados (12 conexiones); no mide popularidad ni prioridad aprobada.
existing_capability_reuse: Base observada: Sin registro operacional dedicado identificado; communications/issues placeholders no prueban lifecycle. La puntuación estima reutilización, no cobertura completa.
implementation_complexity: Complejidad relativa MEDIUM: Capacidad transversal ligera; coordina sin duplicar issue, riesgo, contrato o entregable técnico. Sin estimación de horas ni compromiso de entrega.
data_model_risk: Riesgo de autoridad/versionado: Interface posee coordinación/acuerdo y closure; fuente técnica/legal/schedule permanece en su dominio. Issues/risk conservan sus casos si una interfaz falla. Se valora exposición, no defecto de producción probado.
cross_domain_coupling: Exposición de contratos con 7 fuentes y 5 consumidores; no se interpreta como acoplamiento de tablas autorizado.
strategic_integration_importance: Frontera upstream: Consume interfaces/assumptions heredadas y mantiene su origen; no modifica acuerdos estratégicos sin autorización.
owner_applicability: CAPITAL_OWNER CONDITIONAL: Activa cuando múltiples paquetes/partes requieren coordinación formal; no nuevo módulo obligatorio universal. No significa política vigente.
contractor_applicability: CONTRACTOR_DELIVERY CONDITIONAL: Activa cuando múltiples paquetes/partes requieren coordinación formal; no nuevo módulo obligatorio universal. No exige ruta FID completa.
reporting_value: Salidas propuestas: Interface agreement y acciones; Readiness dependencies/escalations; Cierre con evidencia de contrapartes. Valor de visibilidad, no reporte ya implementado.
user_urgency: Neutral 3 para todos: el usuario no priorizó dominios específicos ni comunicó fechas. No se inventa urgencia ni preferencia.</x:t>
        </x:r>
      </x:text>
    </x:comment>
    <x:comment ref="T25" authorId="0">
      <x:text>
        <x:r>
          <x:t>business_value: Juicio arquitectónico: Coordinar workfronts, ejecución, diario de campo, recursos y cantidades fuente con release/constraints y referencias a controles aprobados. No representa valor económico cuantificado ni aprobación de negocio.
dependency_centrality: Juicio de centralidad: 10 fuentes y 8 consumidores declarados (18 conexiones); no mide popularidad ni prioridad aprobada.
existing_capability_reuse: Base observada: AWP paquetes/constraints/drafts reales parciales; no diario/field suite completa. CWP/IWP/TWP/TOP actuales no prueban toda jerarquía CWA/EWP/PWP deseada. La puntuación estima reutilización, no cobertura completa.
implementation_complexity: Complejidad relativa VERY_HIGH: Extender AWP y field facts con QA/HSE prerequisitos; no construir módulo aislado que posea alcance, schedule y costo. Sin estimación de horas ni compromiso de entrega.
data_model_risk: Riesgo de autoridad/versionado: Field posee hechos de ejecución y release operacional del workfront; D02 posee alcance/definición de Work Package, D06 aprobación de medición, D17 calidad y D18 seguridad. Se valora exposición, no defecto de producción probado.
cross_domain_coupling: Exposición de contratos con 10 fuentes y 8 consumidores; no se interpreta como acoplamiento de tablas autorizado.
strategic_integration_importance: Frontera upstream: Ejecuta solo alcance y autoridad vigente. No usa inversión aprobada como permiso irrestricto de trabajo/compromiso.
owner_applicability: CAPITAL_OWNER CONDITIONAL: Owner supervisor puede consumir reportes sin controlar crews; Contractor con construcción requiere ejecución; AWP siempre opcional por política. No significa política vigente.
contractor_applicability: CONTRACTOR_DELIVERY MANDATORY: Owner supervisor puede consumir reportes sin controlar crews; Contractor con construcción requiere ejecución; AWP siempre opcional por política. No exige ruta FID completa.
reporting_value: Salidas propuestas: Daily facts/installed quantities para Progress; Workfront/package release con checklist; Field issues/inspection requests. Valor de visibilidad, no reporte ya implementado.
user_urgency: Neutral 3 para todos: el usuario no priorizó dominios específicos ni comunicó fechas. No se inventa urgencia ni preferencia.</x:t>
        </x:r>
      </x:text>
    </x:comment>
    <x:comment ref="T26" authorId="0">
      <x:text>
        <x:r>
          <x:t>business_value: Juicio arquitectónico: Controlar ITP, inspecciones, tests, NCR/corrective actions y punch/quality dossiers para release y entrega. No representa valor económico cuantificado ni aprobación de negocio.
dependency_centrality: Juicio de centralidad: 5 fuentes y 6 consumidores declarados (11 conexiones); no mide popularidad ni prioridad aprobada.
existing_capability_reuse: Base observada: Punch List title-only; schedule/IFC quality checks no son dominio QA/QC de construcción. La puntuación estima reutilización, no cobertura completa.
implementation_complexity: Complejidad relativa HIGH: Dominio propio por autoridad de aceptación técnica; usar contratos de calidad mínimos antes de field release. Sin estimación de horas ni compromiso de entrega.
data_model_risk: Riesgo de autoridad/versionado: Quality posee aceptación técnica QA/QC y cierre de NCR/punch; documentos/evidencias en D14 y commissioning tests específicos en D21 por referencia. Se valora exposición, no defecto de producción probado.
cross_domain_coupling: Exposición de contratos con 5 fuentes y 6 consumidores; no se interpreta como acoplamiento de tablas autorizado.
strategic_integration_importance: Frontera upstream: Consume estándares/requisitos autorizados; no determina readiness estratégica ni aceptación de inversión.
owner_applicability: CAPITAL_OWNER CONDITIONAL: Aplica al alcance técnico y contractual; puede integrarse sistema QA externo. Gate de calidad de datos no sustituye QA/QC. No significa política vigente.
contractor_applicability: CONTRACTOR_DELIVERY CONDITIONAL: Aplica al alcance técnico y contractual; puede integrarse sistema QA externo. Gate de calidad de datos no sustituye QA/QC. No exige ruta FID completa.
reporting_value: Salidas propuestas: Inspection acceptance/rejection; NCR/punch y acciones; Quality readiness/dossier para turnover. Valor de visibilidad, no reporte ya implementado.
user_urgency: Neutral 3 para todos: el usuario no priorizó dominios específicos ni comunicó fechas. No se inventa urgencia ni preferencia.</x:t>
        </x:r>
      </x:text>
    </x:comment>
    <x:comment ref="T27" authorId="0">
      <x:text>
        <x:r>
          <x:t>business_value: Juicio arquitectónico: Definir integración/control de observaciones, incidentes, permits-to-work y acciones HSE sin afirmar cumplimiento ni sustituir sistema especializado. No representa valor económico cuantificado ni aprobación de negocio.
dependency_centrality: Juicio de centralidad: 4 fuentes y 5 consumidores declarados (9 conexiones); no mide popularidad ni prioridad aprobada.
existing_capability_reuse: Base observada: No dominio HSE operacional dedicado identificado; no inferirlo de permit-readiness estratégico. La puntuación estima reutilización, no cobertura completa.
implementation_complexity: Complejidad relativa HIGH: Frontera especializada/externa primero; contract mínimo de blocker/readiness antes de autorizar Field release. Sin estimación de horas ni compromiso de entrega.
data_model_risk: Riesgo de autoridad/versionado: Sistema HSE autorizado —externo si existe— posee incidentes/work permits y decisión safety; P&amp;Pmis solo referencias/readiness bajo contrato explícito hasta implementación autorizada. Se valora exposición, no defecto de producción probado.
cross_domain_coupling: Exposición de contratos con 4 fuentes y 5 consumidores; no se interpreta como acoplamiento de tablas autorizado.
strategic_integration_importance: Frontera upstream: Strategic permit/risk readiness no es permiso de trabajo ni HSE clearance vigente.
owner_applicability: CAPITAL_OWNER CONDITIONAL: Requisitos según actividad/jurisdicción/sistema corporativo; no decisión de cumplimiento normativo nueva en este diseño. No significa política vigente.
contractor_applicability: CONTRACTOR_DELIVERY CONDITIONAL: Requisitos según actividad/jurisdicción/sistema corporativo; no decisión de cumplimiento normativo nueva en este diseño. No exige ruta FID completa.
reporting_value: Salidas propuestas: Clearance/blocker reference para Field; Acciones/escalaciones; Indicadores con fuente/corte. Valor de visibilidad, no reporte ya implementado.
user_urgency: Neutral 3 para todos: el usuario no priorizó dominios específicos ni comunicó fechas. No se inventa urgencia ni preferencia.</x:t>
        </x:r>
      </x:text>
    </x:comment>
    <x:comment ref="T28" authorId="0">
      <x:text>
        <x:r>
          <x:t>business_value: Juicio arquitectónico: Integrar fuentes operacionales mediante período/corte, baseline bundle, reconciliación, forecast/performance y reporting sin poseer todos los datos. No representa valor económico cuantificado ni aprobación de negocio.
dependency_centrality: Juicio de centralidad: 13 fuentes y 0 consumidores declarados (13 conexiones); no mide popularidad ni prioridad aprobada.
existing_capability_reuse: Base observada: EVM/reconciliation/dashboard/audit/exports reales parciales; GET dashboard puede escribir KPI/cache y no debe asumirse query inocua. Falta common period y reporting history plenamente gobernado. La puntuación estima reutilización, no cobertura completa.
implementation_complexity: Complejidad relativa VERY_HIGH: Project Controls es núcleo de integración pero no megadominio dueño de fuentes; separar read models de efectos laterales. Sin estimación de horas ni compromiso de entrega.
data_model_risk: Riesgo de autoridad/versionado: Integración posee contratos de período, lineage y snapshots/reportes emitidos. Scope/Schedule/Cost/Progress/Change/Risk/Issue/Contract conservan sus datos y aprobaciones. Dashboards no ejecutan reglas transaccionales ocultas. Se valora exposición, no defecto de producción probado.
cross_domain_coupling: Exposición de contratos con 13 fuentes y 0 consumidores; no se interpreta como acoplamiento de tablas autorizado.
strategic_integration_importance: Frontera upstream: Refleja baseline autorizada vs ejecución; upstream Portfolio/benefits consume reportes, nunca recibe reescritura tácita de su decisión.
owner_applicability: CAPITAL_OWNER MANDATORY: Core de integración mínimo; profundidad EVM/Power BI/AWP según tipo de proyecto. No significa política vigente.
contractor_applicability: CONTRACTOR_DELIVERY MANDATORY: Core de integración mínimo; profundidad EVM/Power BI/AWP según tipo de proyecto. No exige ruta FID completa.
reporting_value: Salidas propuestas: Performance/reporting al corte con fuentes explícitas; Reconciliación y alertas; Executive/controls/domain dashboards y export para analytics. Valor de visibilidad, no reporte ya implementado.
user_urgency: Neutral 3 para todos: el usuario no priorizó dominios específicos ni comunicó fechas. No se inventa urgencia ni preferencia.</x:t>
        </x:r>
      </x:text>
    </x:comment>
    <x:comment ref="T29" authorId="0">
      <x:text>
        <x:r>
          <x:t>business_value: Juicio arquitectónico: Especializar análisis de entitlement/causa/efecto/delay/daño y expediente contractual sin contaminar transacciones normales de control. No representa valor económico cuantificado ni aprobación de negocio.
dependency_centrality: Juicio de centralidad: 7 fuentes y 1 consumidores declarados (8 conexiones); no mide popularidad ni prioridad aprobada.
existing_capability_reuse: Base observada: Dossier y ventanas MIP3.7 implementados parciales; no todos métodos TIA/but-for/settlement ni aceptación legal demostrados. La puntuación estima reutilización, no cobertura completa.
implementation_complexity: Complejidad relativa VERY_HIGH: Conservar motores y fuente bajo Contract Administration; especialización navegable no equivale a otra autoridad de cambios/contratos. Sin estimación de horas ni compromiso de entrega.
data_model_risk: Riesgo de autoridad/versionado: Subdominio de D12 posee expediente/posición/revisión del claim; experto/autoridad contractual decide aceptación. P6/source schedules y hechos de Cost/Progress permanecen inmutables por referencia. Se valora exposición, no defecto de producción probado.
cross_domain_coupling: Exposición de contratos con 7 fuentes y 1 consumidores; no se interpreta como acoplamiento de tablas autorizado.
strategic_integration_importance: Frontera upstream: Preserva límites comerciales/autorización upstream; no altera Funding/FID para cubrir claim.
owner_applicability: CAPITAL_OWNER CONDITIONAL: Aplica ante reclamación/obligación contractual; DIRECT_INTERNAL solo si exposición externa lo justifica. No significa política vigente.
contractor_applicability: CONTRACTOR_DELIVERY CONDITIONAL: Aplica ante reclamación/obligación contractual; DIRECT_INTERNAL solo si exposición externa lo justifica. No exige ruta FID completa.
reporting_value: Salidas propuestas: Análisis trazable y limitaciones; Claim submission/status por autoridad; Referencias a mitigación/negociación/settlement future. Valor de visibilidad, no reporte ya implementado.
user_urgency: Neutral 3 para todos: el usuario no priorizó dominios específicos ni comunicó fechas. No se inventa urgencia ni preferencia.</x:t>
        </x:r>
      </x:text>
    </x:comment>
    <x:comment ref="T30" authorId="0">
      <x:text>
        <x:r>
          <x:t>business_value: Juicio arquitectónico: Controlar systemization, mechanical completion, pre-commissioning, pruebas y readiness técnica de entrega de sistemas. No representa valor económico cuantificado ni aprobación de negocio.
dependency_centrality: Juicio de centralidad: 6 fuentes y 2 consumidores declarados (8 conexiones); no mide popularidad ni prioridad aprobada.
existing_capability_reuse: Base observada: TWP/TOP en taxonomía AWP, sin lifecycle dedicado de sistemas/tests probado. La puntuación estima reutilización, no cobertura completa.
implementation_complexity: Complejidad relativa VERY_HIGH: Separar prueba de sistema de Field completion y Handover; reutilizar dossiers y packages. Sin estimación de horas ni compromiso de entrega.
data_model_risk: Riesgo de autoridad/versionado: Commissioning posee secuencia/prueba y aceptación de sistema; Quality mantiene NCR/inspección y documento D14 contiene evidencia; no es asset master. Se valora exposición, no defecto de producción probado.
cross_domain_coupling: Exposición de contratos con 6 fuentes y 2 consumidores; no se interpreta como acoplamiento de tablas autorizado.
strategic_integration_importance: Frontera upstream: Consume requisitos de activo autorizados; cierre técnico no decide nueva inversión.
owner_applicability: CAPITAL_OWNER CONDITIONAL: Solo activos/sistemas que exijan pruebas/puesta en servicio; no forzar proyecto administrativo. No significa política vigente.
contractor_applicability: CONTRACTOR_DELIVERY CONDITIONAL: Solo activos/sistemas que exijan pruebas/puesta en servicio; no forzar proyecto administrativo. No exige ruta FID completa.
reporting_value: Salidas propuestas: Sistema probado/aceptado o bloqueado; Mechanical completion/commissioning records; Turnover evidence para Handover. Valor de visibilidad, no reporte ya implementado.
user_urgency: Neutral 3 para todos: el usuario no priorizó dominios específicos ni comunicó fechas. No se inventa urgencia ni preferencia.</x:t>
        </x:r>
      </x:text>
    </x:comment>
    <x:comment ref="T31" authorId="0">
      <x:text>
        <x:r>
          <x:t>business_value: Juicio arquitectónico: Orquestar aceptación de entrega/custodia de alcance completado con dossier, punch y condiciones explícitas entre emisor/receptor. No representa valor económico cuantificado ni aprobación de negocio.
dependency_centrality: Juicio de centralidad: 5 fuentes y 2 consumidores declarados (7 conexiones); no mide popularidad ni prioridad aprobada.
existing_capability_reuse: Base observada: Referencias TOP/evidence parciales; no workflow de aceptación/custodia completo demostrado. La puntuación estima reutilización, no cobertura completa.
implementation_complexity: Complejidad relativa HIGH: Workflow de varios dominios, no módulo fuente dueño de todo; gate configurable y sin firma ficticia. Sin estimación de horas ni compromiso de entrega.
data_model_risk: Riesgo de autoridad/versionado: Workflow posee acta/decisión de entrega y condiciones; D21 posee prueba técnica, D23 readiness operativa, D25 transición de datos/activos y fuentes conservan sus evidencias. Se valora exposición, no defecto de producción probado.
cross_domain_coupling: Exposición de contratos con 5 fuentes y 2 consumidores; no se interpreta como acoplamiento de tablas autorizado.
strategic_integration_importance: Frontera upstream: Es entrega operacional, no firma UAT estratégica ni FID; no presume aceptación humana por estado técnico.
owner_applicability: CAPITAL_OWNER CONDITIONAL: Contractor necesita entrega de su alcance; Owner/direct según producto/activo. No toda entrega exige Commissioning. No significa política vigente.
contractor_applicability: CONTRACTOR_DELIVERY MANDATORY: Contractor necesita entrega de su alcance; Owner/direct según producto/activo. No toda entrega exige Commissioning. No exige ruta FID completa.
reporting_value: Salidas propuestas: Handover acceptance/conditions/rejection; Transfer reference para Asset Transition; Open obligation register para closeout. Valor de visibilidad, no reporte ya implementado.
user_urgency: Neutral 3 para todos: el usuario no priorizó dominios específicos ni comunicó fechas. No se inventa urgencia ni preferencia.</x:t>
        </x:r>
      </x:text>
    </x:comment>
    <x:comment ref="T32" authorId="0">
      <x:text>
        <x:r>
          <x:t>business_value: Juicio arquitectónico: Verificar preparación real para operar el resultado/activo, distinta del setup inicial del Project Workspace. No representa valor económico cuantificado ni aprobación de negocio.
dependency_centrality: Juicio de centralidad: 5 fuentes y 2 consumidores declarados (7 conexiones); no mide popularidad ni prioridad aprobada.
existing_capability_reuse: Base observada: Legacy operational setup gate existe, pero readiness de operaciones/activos no implementada como workflow. La puntuación estima reutilización, no cobertura completa.
implementation_complexity: Complejidad relativa HIGH: Prevenir falsa equivalencia ready flags = operación segura; evidencia y dueño de aceptación explícitos. Sin estimación de horas ni compromiso de entrega.
data_model_risk: Riesgo de autoridad/versionado: Workflow agrega readiness pero cada área fuente conserva aprobación (operación, HSE, QA, commissioning, asset owner). Setup flags legacy no son autorización de operación. Se valora exposición, no defecto de producción probado.
cross_domain_coupling: Exposición de contratos con 5 fuentes y 2 consumidores; no se interpreta como acoplamiento de tablas autorizado.
strategic_integration_importance: Frontera upstream: No confundir canonical Workspace ACTIVE, FID ni strategic permit readiness con operational go-live.
owner_applicability: CAPITAL_OWNER CONDITIONAL: Solo cuando hay operación posterior; Contractor aporta alcance contratado y receptor confirma operación. No significa política vigente.
contractor_applicability: CONTRACTOR_DELIVERY CONDITIONAL: Solo cuando hay operación posterior; Contractor aporta alcance contratado y receptor confirma operación. No exige ruta FID completa.
reporting_value: Salidas propuestas: Readiness decision/conditions con fuente; Blockers/acciones y cierre verificable; Input a Handover/Asset Transition. Valor de visibilidad, no reporte ya implementado.
user_urgency: Neutral 3 para todos: el usuario no priorizó dominios específicos ni comunicó fechas. No se inventa urgencia ni preferencia.</x:t>
        </x:r>
      </x:text>
    </x:comment>
    <x:comment ref="T33" authorId="0">
      <x:text>
        <x:r>
          <x:t>business_value: Juicio arquitectónico: Cerrar obligaciones comerciales/financieras/técnicas/documentales y operación del Project Workspace manteniendo identidad e historia. No representa valor económico cuantificado ni aprobación de negocio.
dependency_centrality: Juicio de centralidad: 7 fuentes y 0 consumidores declarados (7 conexiones); no mide popularidad ni prioridad aprobada.
existing_capability_reuse: Base observada: Closeout report/financial-closeout existentes parciales no equivalen a cierre integral del proyecto. La puntuación estima reutilización, no cobertura completa.
implementation_complexity: Complejidad relativa HIGH: Extender reporte/cierre financiero como componentes de workflow integral, sin otro dueño de saldos ni delete del Project. Sin estimación de horas ni compromiso de entrega.
data_model_risk: Riesgo de autoridad/versionado: Closeout posee agregación/checklist y decisión de cierre operacional. D12/Cost/Schedule/Docs/Claims conservan cierre de fuente; Enterprise conserva identidad y lifecycle canónico. Se valora exposición, no defecto de producción probado.
cross_domain_coupling: Exposición de contratos con 7 fuentes y 0 consumidores; no se interpreta como acoplamiento de tablas autorizado.
strategic_integration_importance: Frontera upstream: Devuelve reporte/evidencia a Portfolio/benefits por referencia, no reescribe BC/FID/financiación.
owner_applicability: CAPITAL_OWNER MANDATORY: Cierre proporcional a alcance; inexistencia de commissioning/claims se marca no aplicable con razón, no fuerza workflow. No significa política vigente.
contractor_applicability: CONTRACTOR_DELIVERY MANDATORY: Cierre proporcional a alcance; inexistencia de commissioning/claims se marca no aplicable con razón, no fuerza workflow. No exige ruta FID completa.
reporting_value: Salidas propuestas: Cierre operacional autorizado con pendientes explícitos; Read-only final control/report package; Solicitud gobernada al lifecycle canónico, nunca delete automático. Valor de visibilidad, no reporte ya implementado.
user_urgency: Neutral 3 para todos: el usuario no priorizó dominios específicos ni comunicó fechas. No se inventa urgencia ni preferencia.</x:t>
        </x:r>
      </x:text>
    </x:comment>
    <x:comment ref="T34" authorId="0">
      <x:text>
        <x:r>
          <x:t>business_value: Juicio arquitectónico: Transferir datos/deliverables y responsabilidad hacia Facility/Property/asset operations por referencias canónicas y aceptación explícita. No representa valor económico cuantificado ni aprobación de negocio.
dependency_centrality: Juicio de centralidad: 4 fuentes y 1 consumidores declarados (5 conexiones); no mide popularidad ni prioridad aprobada.
existing_capability_reuse: Base observada: Physical Workspace infrastructure real; Asset inventory/warranty/meter placeholders y Asset Creator/Receipt es label de setup legacy, no transición implementada. La puntuación estima reutilización, no cobertura completa.
implementation_complexity: Complejidad relativa HIGH: Workflow fronterizo a Facility/Property, no convertir macroproceso operacional en mantenimiento ni duplicar identidad física. Sin estimación de horas ni compromiso de entrega.
data_model_risk: Riesgo de autoridad/versionado: Workflow posee transferencia y mapping aceptado; Facility/Property/asset owner posee destino/master de operación, no se crea otro Project ni se usa setup label como asset receipt. Se valora exposición, no defecto de producción probado.
cross_domain_coupling: Exposición de contratos con 4 fuentes y 1 consumidores; no se interpreta como acoplamiento de tablas autorizado.
strategic_integration_importance: Frontera upstream: Identidad física reutiliza Enterprise/physical Workspaces y receptor autorizado; no nuevo asset master por conveniencia operacional.
owner_applicability: CAPITAL_OWNER CONDITIONAL: Aplica si se entrega activo/infraestructura; Contractor entrega datos contratados, no crea master operativo del Owner unilateralmente. No significa política vigente.
contractor_applicability: CONTRACTOR_DELIVERY CONDITIONAL: Aplica si se entrega activo/infraestructura; Contractor entrega datos contratados, no crea master operativo del Owner unilateralmente. No exige ruta FID completa.
reporting_value: Salidas propuestas: Transfer mapping/receipt con aceptación; Open warranty/spares obligations; Links persistentes Project–Facility/Property sin duplicación. Valor de visibilidad, no reporte ya implementado.
user_urgency: Neutral 3 para todos: el usuario no priorizó dominios específicos ni comunicó fechas. No se inventa urgencia ni preferencia.</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
    <x:numFmt numFmtId="202" formatCode="0.00"/>
  </x:numFmts>
  <x:fonts count="5">
    <x:font>
      <x:sz val="11"/>
      <x:name val="Carlito"/>
    </x:font>
    <x:font>
      <x:sz val="10"/>
      <x:color rgb="FF243547"/>
      <x:name val="Arial"/>
    </x:font>
    <x:font>
      <x:b/>
      <x:sz val="14"/>
      <x:color rgb="FF17324D"/>
      <x:name val="Arial"/>
    </x:font>
    <x:font>
      <x:i/>
      <x:sz val="10"/>
      <x:color rgb="FF64748B"/>
      <x:name val="Arial"/>
    </x:font>
    <x:font>
      <x:b/>
      <x:sz val="10"/>
      <x:color rgb="FFFFFFFF"/>
      <x:name val="Arial"/>
    </x:font>
  </x:fonts>
  <x:fills count="4">
    <x:fill>
      <x:patternFill patternType="none"/>
    </x:fill>
    <x:fill>
      <x:patternFill patternType="gray125"/>
    </x:fill>
    <x:fill>
      <x:patternFill patternType="solid">
        <x:fgColor rgb="FF17324D"/>
      </x:patternFill>
    </x:fill>
    <x:fill>
      <x:patternFill patternType="solid">
        <x:fgColor rgb="FFFFF3CD"/>
      </x:patternFill>
    </x:fill>
  </x:fills>
  <x:borders count="2">
    <x:border>
      <x:left/>
      <x:right/>
      <x:top/>
      <x:bottom/>
      <x:diagonal/>
    </x:border>
    <x:border>
      <x:left/>
      <x:right/>
      <x:top/>
      <x:bottom style="thin">
        <x:color rgb="FF17324D"/>
      </x:bottom>
      <x:diagonal/>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1" fontId="1" fillId="3" borderId="0" xfId="0" applyNumberFormat="1" applyFont="1" applyFill="1" applyBorder="1" applyAlignment="1">
      <x:alignment vertical="center" wrapText="1"/>
    </x:xf>
    <x:xf numFmtId="201" fontId="1" fillId="3"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cellXfs>
  <x:cellStyles count="1">
    <x:cellStyle name="Normal" xfId="0"/>
  </x:cellStyles>
  <x:dxfs count="2">
    <x:dxf>
      <x:font>
        <x:b/>
        <x:color rgb="FF9C2020"/>
      </x:font>
      <x:fill>
        <x:patternFill patternType="solid">
          <x:bgColor rgb="FFFCE8E6"/>
        </x:patternFill>
      </x:fill>
    </x:dxf>
    <x:dxf>
      <x:font>
        <x:color rgb="FF7A5100"/>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ce3df8c62b4b7d" /><Relationship Type="http://schemas.openxmlformats.org/officeDocument/2006/relationships/theme" Target="/xl/theme/theme1.xml" Id="R65f84d25968c414a" /><Relationship Type="http://schemas.openxmlformats.org/officeDocument/2006/relationships/sharedStrings" Target="/xl/sharedStrings.xml" Id="R96bafd8804b84d1c" /><Relationship Type="http://schemas.openxmlformats.org/officeDocument/2006/relationships/worksheet" Target="/xl/worksheets/sheet1.xml" Id="R941367d386374be1" /><Relationship Type="http://schemas.openxmlformats.org/officeDocument/2006/relationships/worksheet" Target="/xl/worksheets/sheet2.xml" Id="R81bbbff422c24bea" /><Relationship Type="http://schemas.openxmlformats.org/officeDocument/2006/relationships/worksheet" Target="/xl/worksheets/sheet3.xml" Id="R011f717f97604ccc" /><Relationship Type="http://schemas.openxmlformats.org/officeDocument/2006/relationships/worksheet" Target="/xl/worksheets/sheet4.xml" Id="R4720e57e4d934fa5" /><Relationship Type="http://schemas.openxmlformats.org/officeDocument/2006/relationships/worksheet" Target="/xl/worksheets/sheet5.xml" Id="R04a218ab77554afa" /><Relationship Type="http://schemas.openxmlformats.org/officeDocument/2006/relationships/worksheet" Target="/xl/worksheets/sheet6.xml" Id="Rfcf17fea2ead4a62" /><Relationship Type="http://schemas.openxmlformats.org/officeDocument/2006/relationships/worksheet" Target="/xl/worksheets/sheet7.xml" Id="R78aa1ebdefe74fb0" /><Relationship Type="http://schemas.openxmlformats.org/officeDocument/2006/relationships/worksheet" Target="/xl/worksheets/sheet8.xml" Id="R42ee3cf4b7b24d9e" /><Relationship Type="http://schemas.openxmlformats.org/officeDocument/2006/relationships/worksheet" Target="/xl/worksheets/sheet9.xml" Id="R022807fedc794bc9" /><Relationship Type="http://schemas.openxmlformats.org/officeDocument/2006/relationships/worksheet" Target="/xl/worksheets/sheet10.xml" Id="Rdac658cc0c8b4430" /><Relationship Type="http://schemas.openxmlformats.org/officeDocument/2006/relationships/worksheet" Target="/xl/worksheets/sheet11.xml" Id="Re4e8ec5b9e464b2d" /><Relationship Type="http://schemas.openxmlformats.org/officeDocument/2006/relationships/worksheet" Target="/xl/worksheets/sheet12.xml" Id="R254f62fa29e34c05" /></Relationships>
</file>

<file path=xl/tables/table1.xml><?xml version="1.0" encoding="utf-8"?>
<x:table xmlns:x="http://schemas.openxmlformats.org/spreadsheetml/2006/main" id="1" name="OperationalArchitecture1" displayName="OperationalArchitecture1" ref="A7:R32" headerRowCount="1" totalsRowCount="0" totalsRowShown="0">
  <x:tableColumns count="18">
    <x:tableColumn id="1" name="ID"/>
    <x:tableColumn id="2" name="Capacidad"/>
    <x:tableColumn id="3" name="Clasificación"/>
    <x:tableColumn id="4" name="Propósito"/>
    <x:tableColumn id="5" name="Objetos"/>
    <x:tableColumn id="6" name="Autoridad fuente"/>
    <x:tableColumn id="7" name="Entradas"/>
    <x:tableColumn id="8" name="Salidas"/>
    <x:tableColumn id="9" name="Upstream"/>
    <x:tableColumn id="10" name="Downstream"/>
    <x:tableColumn id="11" name="Handoff"/>
    <x:tableColumn id="12" name="Relación P6"/>
    <x:tableColumn id="13" name="Estado actual"/>
    <x:tableColumn id="14" name="Acción futura"/>
    <x:tableColumn id="15" name="Ola"/>
    <x:tableColumn id="16" name="Complejidad"/>
    <x:tableColumn id="17" name="Justificación"/>
    <x:tableColumn id="18" name="Evidencia"/>
  </x:tableColumns>
  <x:tableStyleInfo name="TableStyleMedium2" showFirstColumn="0" showLastColumn="0" showRowStripes="1" showColumnStripes="0"/>
</x:table>
</file>

<file path=xl/tables/table2.xml><?xml version="1.0" encoding="utf-8"?>
<x:table xmlns:x="http://schemas.openxmlformats.org/spreadsheetml/2006/main" id="2" name="OperationalArchitecture2" displayName="OperationalArchitecture2" ref="A7:F27" headerRowCount="1" totalsRowCount="0" totalsRowShown="0">
  <x:tableColumns count="6">
    <x:tableColumn id="1" name="ID"/>
    <x:tableColumn id="2" name="Tipo"/>
    <x:tableColumn id="3" name="Paso / checkpoint"/>
    <x:tableColumn id="4" name="Dominios"/>
    <x:tableColumn id="5" name="Descripción / criterios"/>
    <x:tableColumn id="6" name="Límite"/>
  </x:tableColumns>
  <x:tableStyleInfo name="TableStyleMedium2" showFirstColumn="0" showLastColumn="0" showRowStripes="1" showColumnStripes="0"/>
</x:table>
</file>

<file path=xl/tables/table3.xml><?xml version="1.0" encoding="utf-8"?>
<x:table xmlns:x="http://schemas.openxmlformats.org/spreadsheetml/2006/main" id="3" name="OperationalArchitecture3" displayName="OperationalArchitecture3" ref="A7:F32" headerRowCount="1" totalsRowCount="0" totalsRowShown="0">
  <x:tableColumns count="6">
    <x:tableColumn id="1" name="ID"/>
    <x:tableColumn id="2" name="Capacidad"/>
    <x:tableColumn id="3" name="ADMIN MODE"/>
    <x:tableColumn id="4" name="USER MODE"/>
    <x:tableColumn id="5" name="Compartido lectura"/>
    <x:tableColumn id="6" name="Regla de SoD"/>
  </x:tableColumns>
  <x:tableStyleInfo name="TableStyleMedium2" showFirstColumn="0" showLastColumn="0" showRowStripes="1" showColumnStripes="0"/>
</x:table>
</file>

<file path=xl/tables/table4.xml><?xml version="1.0" encoding="utf-8"?>
<x:table xmlns:x="http://schemas.openxmlformats.org/spreadsheetml/2006/main" id="4" name="OperationalArchitecture4" displayName="OperationalArchitecture4" ref="A7:F32" headerRowCount="1" totalsRowCount="0" totalsRowShown="0">
  <x:tableColumns count="6">
    <x:tableColumn id="1" name="ID"/>
    <x:tableColumn id="2" name="Capacidad"/>
    <x:tableColumn id="3" name="CAPITAL_OWNER"/>
    <x:tableColumn id="4" name="CONTRACTOR_DELIVERY"/>
    <x:tableColumn id="5" name="DIRECT_INTERNAL"/>
    <x:tableColumn id="6" name="Condición / tailoring"/>
  </x:tableColumns>
  <x:tableStyleInfo name="TableStyleMedium2" showFirstColumn="0" showLastColumn="0" showRowStripes="1" showColumnStripes="0"/>
</x:table>
</file>

<file path=xl/tables/table5.xml><?xml version="1.0" encoding="utf-8"?>
<x:table xmlns:x="http://schemas.openxmlformats.org/spreadsheetml/2006/main" id="5" name="OperationalArchitecture5" displayName="OperationalArchitecture5" ref="A7:H33" headerRowCount="1" totalsRowCount="0" totalsRowShown="0">
  <x:tableColumns count="8">
    <x:tableColumn id="1" name="ID"/>
    <x:tableColumn id="2" name="Objeto / faceta"/>
    <x:tableColumn id="3" name="Dominio fuente"/>
    <x:tableColumn id="4" name="Propietario"/>
    <x:tableColumn id="5" name="Límite actual"/>
    <x:tableColumn id="6" name="Escritura externa"/>
    <x:tableColumn id="7" name="Consumidores snapshot"/>
    <x:tableColumn id="8" name="Regla de comando"/>
  </x:tableColumns>
  <x:tableStyleInfo name="TableStyleMedium2" showFirstColumn="0" showLastColumn="0" showRowStripes="1" showColumnStripes="0"/>
</x:table>
</file>

<file path=xl/tables/table6.xml><?xml version="1.0" encoding="utf-8"?>
<x:table xmlns:x="http://schemas.openxmlformats.org/spreadsheetml/2006/main" id="6" name="OperationalArchitecture6" displayName="OperationalArchitecture6" ref="A7:J33" headerRowCount="1" totalsRowCount="0" totalsRowShown="0">
  <x:tableColumns count="10">
    <x:tableColumn id="1" name="ID"/>
    <x:tableColumn id="2" name="Fuente"/>
    <x:tableColumn id="3" name="Destino"/>
    <x:tableColumn id="4" name="Datos / evento"/>
    <x:tableColumn id="5" name="Dirección"/>
    <x:tableColumn id="6" name="Modalidad"/>
    <x:tableColumn id="7" name="Autoridad"/>
    <x:tableColumn id="8" name="Prerrequisitos"/>
    <x:tableColumn id="9" name="Escritura tabla ajena"/>
    <x:tableColumn id="10" name="Estado"/>
  </x:tableColumns>
  <x:tableStyleInfo name="TableStyleMedium2" showFirstColumn="0" showLastColumn="0" showRowStripes="1" showColumnStripes="0"/>
</x:table>
</file>

<file path=xl/tables/table7.xml><?xml version="1.0" encoding="utf-8"?>
<x:table xmlns:x="http://schemas.openxmlformats.org/spreadsheetml/2006/main" id="7" name="OperationalArchitecture7" displayName="OperationalArchitecture7" ref="A7:K63" headerRowCount="1" totalsRowCount="0" totalsRowShown="0">
  <x:tableColumns count="11">
    <x:tableColumn id="1" name="ID evidencia"/>
    <x:tableColumn id="2" name="Capa"/>
    <x:tableColumn id="3" name="Área"/>
    <x:tableColumn id="4" name="Clasificación"/>
    <x:tableColumn id="5" name="Estado / vistas"/>
    <x:tableColumn id="6" name="Observación"/>
    <x:tableColumn id="7" name="Limitaciones"/>
    <x:tableColumn id="8" name="Reutilización / autoridad"/>
    <x:tableColumn id="9" name="Fuente path:line"/>
    <x:tableColumn id="10" name="Tests definidos"/>
    <x:tableColumn id="11" name="Verificación"/>
  </x:tableColumns>
  <x:tableStyleInfo name="TableStyleMedium2" showFirstColumn="0" showLastColumn="0" showRowStripes="1" showColumnStripes="0"/>
</x:table>
</file>

<file path=xl/tables/table8.xml><?xml version="1.0" encoding="utf-8"?>
<x:table xmlns:x="http://schemas.openxmlformats.org/spreadsheetml/2006/main" id="8" name="OperationalArchitecture8" displayName="OperationalArchitecture8" ref="A7:H25" headerRowCount="1" totalsRowCount="0" totalsRowShown="0">
  <x:tableColumns count="8">
    <x:tableColumn id="1" name="ID"/>
    <x:tableColumn id="2" name="Severidad de diseño"/>
    <x:tableColumn id="3" name="Área"/>
    <x:tableColumn id="4" name="Estado observado"/>
    <x:tableColumn id="5" name="Objetivo"/>
    <x:tableColumn id="6" name="Ola"/>
    <x:tableColumn id="7" name="Evidencia"/>
    <x:tableColumn id="8" name="Guardrail"/>
  </x:tableColumns>
  <x:tableStyleInfo name="TableStyleMedium2" showFirstColumn="0" showLastColumn="0" showRowStripes="1" showColumnStripes="0"/>
</x:table>
</file>

<file path=xl/tables/table9.xml><?xml version="1.0" encoding="utf-8"?>
<x:table xmlns:x="http://schemas.openxmlformats.org/spreadsheetml/2006/main" id="9" name="OperationalWavePriorities" displayName="OperationalWavePriorities" ref="A9:U34" headerRowCount="1" totalsRowCount="0" totalsRowShown="0">
  <x:tableColumns count="21">
    <x:tableColumn id="1" name="Dominio ID"/>
    <x:tableColumn id="2" name="Dominio"/>
    <x:tableColumn id="3" name="Valor de negocio"/>
    <x:tableColumn id="4" name="Centralidad"/>
    <x:tableColumn id="5" name="Reutilización"/>
    <x:tableColumn id="6" name="Complejidad"/>
    <x:tableColumn id="7" name="Riesgo del modelo"/>
    <x:tableColumn id="8" name="Acoplamiento"/>
    <x:tableColumn id="9" name="Integración estratégica"/>
    <x:tableColumn id="10" name="Aplicabilidad Owner"/>
    <x:tableColumn id="11" name="Aplicabilidad Contractor"/>
    <x:tableColumn id="12" name="Valor de reporting"/>
    <x:tableColumn id="13" name="Urgencia declarada"/>
    <x:tableColumn id="14" name="Validación de puntuaciones"/>
    <x:tableColumn id="15" name="Beneficio ponderado"/>
    <x:tableColumn id="16" name="Penalización ponderada"/>
    <x:tableColumn id="17" name="Score normalizado 0–100"/>
    <x:tableColumn id="18" name="Ranking"/>
    <x:tableColumn id="19" name="Wave propuesta"/>
    <x:tableColumn id="20" name="Justificación"/>
    <x:tableColumn id="21" name="Fuentes"/>
  </x:tableColumns>
  <x:tableStyleInfo name="TableStyleMedium2" showFirstColumn="0" showLastColumn="0" showRowStripes="1" showColumnStripes="0"/>
</x:table>
</file>

<file path=xl/tables/table10.xml><?xml version="1.0" encoding="utf-8"?>
<x:table xmlns:x="http://schemas.openxmlformats.org/spreadsheetml/2006/main" id="10" name="OperationalArchitecture10" displayName="OperationalArchitecture10" ref="A7:F32" headerRowCount="1" totalsRowCount="0" totalsRowShown="0">
  <x:tableColumns count="6">
    <x:tableColumn id="1" name="ID"/>
    <x:tableColumn id="2" name="Capacidad"/>
    <x:tableColumn id="3" name="Ola"/>
    <x:tableColumn id="4" name="Prerrequisitos"/>
    <x:tableColumn id="5" name="Orden topológico"/>
    <x:tableColumn id="6" name="Alcance mínimo / excepción"/>
  </x:tableColumns>
  <x:tableStyleInfo name="TableStyleMedium2" showFirstColumn="0" showLastColumn="0" showRowStripes="1" showColumnStripes="0"/>
</x:table>
</file>

<file path=xl/tables/table11.xml><?xml version="1.0" encoding="utf-8"?>
<x:table xmlns:x="http://schemas.openxmlformats.org/spreadsheetml/2006/main" id="11" name="OperationalArchitecture11" displayName="OperationalArchitecture11" ref="A7:G35" headerRowCount="1" totalsRowCount="0" totalsRowShown="0">
  <x:tableColumns count="7">
    <x:tableColumn id="1" name="ID"/>
    <x:tableColumn id="2" name="Componente"/>
    <x:tableColumn id="3" name="Decisión"/>
    <x:tableColumn id="4" name="Razón / estado"/>
    <x:tableColumn id="5" name="Evidencia"/>
    <x:tableColumn id="6" name="Acción ejecutada"/>
    <x:tableColumn id="7" name="Condición futura"/>
  </x:tableColumns>
  <x:tableStyleInfo name="TableStyleMedium2" showFirstColumn="0" showLastColumn="0" showRowStripes="1" showColumnStripes="0"/>
</x:table>
</file>

<file path=xl/tables/table12.xml><?xml version="1.0" encoding="utf-8"?>
<x:table xmlns:x="http://schemas.openxmlformats.org/spreadsheetml/2006/main" id="12" name="OperationalArchitecture12" displayName="OperationalArchitecture12" ref="A7:I35" headerRowCount="1" totalsRowCount="0" totalsRowShown="0">
  <x:tableColumns count="9">
    <x:tableColumn id="1" name="ID"/>
    <x:tableColumn id="2" name="Alias / tipo"/>
    <x:tableColumn id="3" name="Decisión"/>
    <x:tableColumn id="4" name="Estado"/>
    <x:tableColumn id="5" name="Definición"/>
    <x:tableColumn id="6" name="Razón"/>
    <x:tableColumn id="7" name="Consecuencias"/>
    <x:tableColumn id="8" name="Evidencia"/>
    <x:tableColumn id="9" name="Registr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9ff99d585b74fe9" /></Relationships>
</file>

<file path=xl/worksheets/_rels/sheet2.xml.rels>&#65279;<?xml version="1.0" encoding="utf-8"?><Relationships xmlns="http://schemas.openxmlformats.org/package/2006/relationships"><Relationship Type="http://schemas.openxmlformats.org/officeDocument/2006/relationships/table" Target="/xl/tables/table2.xml" Id="Rf77d7e50f77f4329" /></Relationships>
</file>

<file path=xl/worksheets/_rels/sheet3.xml.rels>&#65279;<?xml version="1.0" encoding="utf-8"?><Relationships xmlns="http://schemas.openxmlformats.org/package/2006/relationships"><Relationship Type="http://schemas.openxmlformats.org/officeDocument/2006/relationships/table" Target="/xl/tables/table3.xml" Id="R1a246eb53cb14349" /></Relationships>
</file>

<file path=xl/worksheets/_rels/sheet4.xml.rels>&#65279;<?xml version="1.0" encoding="utf-8"?><Relationships xmlns="http://schemas.openxmlformats.org/package/2006/relationships"><Relationship Type="http://schemas.openxmlformats.org/officeDocument/2006/relationships/table" Target="/xl/tables/table4.xml" Id="R7ff3f8ba93214d7c" /></Relationships>
</file>

<file path=xl/worksheets/_rels/sheet5.xml.rels>&#65279;<?xml version="1.0" encoding="utf-8"?><Relationships xmlns="http://schemas.openxmlformats.org/package/2006/relationships"><Relationship Type="http://schemas.openxmlformats.org/officeDocument/2006/relationships/table" Target="/xl/tables/table5.xml" Id="Re428a9aef5bb4ea6" /></Relationships>
</file>

<file path=xl/worksheets/_rels/sheet6.xml.rels>&#65279;<?xml version="1.0" encoding="utf-8"?><Relationships xmlns="http://schemas.openxmlformats.org/package/2006/relationships"><Relationship Type="http://schemas.openxmlformats.org/officeDocument/2006/relationships/table" Target="/xl/tables/table6.xml" Id="Rf944679df8cb4962" /></Relationships>
</file>

<file path=xl/worksheets/_rels/sheet7.xml.rels>&#65279;<?xml version="1.0" encoding="utf-8"?><Relationships xmlns="http://schemas.openxmlformats.org/package/2006/relationships"><Relationship Type="http://schemas.openxmlformats.org/officeDocument/2006/relationships/table" Target="/xl/tables/table7.xml" Id="Ra9fd0d7bed9e417d" /></Relationships>
</file>

<file path=xl/worksheets/_rels/sheet8.xml.rels>&#65279;<?xml version="1.0" encoding="utf-8"?><Relationships xmlns="http://schemas.openxmlformats.org/package/2006/relationships"><Relationship Type="http://schemas.openxmlformats.org/officeDocument/2006/relationships/table" Target="/xl/tables/table8.xml" Id="R93dedc7183094b1a" /></Relationships>
</file>

<file path=xl/worksheets/_rels/sheet9.xml.rels>&#65279;<?xml version="1.0" encoding="utf-8"?><Relationships xmlns="http://schemas.openxmlformats.org/package/2006/relationships"><Relationship Type="http://schemas.openxmlformats.org/officeDocument/2006/relationships/comments" Target="/xl/comments1.xml" Id="R278c23e1ca4f4cb4" /><Relationship Type="http://schemas.openxmlformats.org/officeDocument/2006/relationships/vmlDrawing" Target="/xl/drawings/vmldrawing.vml" Id="Re1a1f8cce6aa4677" /><Relationship Type="http://schemas.openxmlformats.org/officeDocument/2006/relationships/table" Target="/xl/tables/table9.xml" Id="Raac2f98a4ea14fea" /></Relationships>
</file>

<file path=xl/worksheets/_rels/sheet10.xml.rels>&#65279;<?xml version="1.0" encoding="utf-8"?><Relationships xmlns="http://schemas.openxmlformats.org/package/2006/relationships"><Relationship Type="http://schemas.openxmlformats.org/officeDocument/2006/relationships/table" Target="/xl/tables/table10.xml" Id="Ra9a33ab689274629" /></Relationships>
</file>

<file path=xl/worksheets/_rels/sheet11.xml.rels>&#65279;<?xml version="1.0" encoding="utf-8"?><Relationships xmlns="http://schemas.openxmlformats.org/package/2006/relationships"><Relationship Type="http://schemas.openxmlformats.org/officeDocument/2006/relationships/table" Target="/xl/tables/table11.xml" Id="Rf19556882ebd438a" /></Relationships>
</file>

<file path=xl/worksheets/_rels/sheet12.xml.rels>&#65279;<?xml version="1.0" encoding="utf-8"?><Relationships xmlns="http://schemas.openxmlformats.org/package/2006/relationships"><Relationship Type="http://schemas.openxmlformats.org/officeDocument/2006/relationships/table" Target="/xl/tables/table12.xml" Id="R5beebf7b844946fc" /></Relationships>
</file>

<file path=xl/worksheets/sheet1.xml><?xml version="1.0" encoding="utf-8"?>
<x:worksheet xmlns:x="http://schemas.openxmlformats.org/spreadsheetml/2006/main">
  <x:sheetPr>
    <x:tabColor rgb="FF17324D"/>
  </x:sheetPr>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 min="12" max="12" width="36" hidden="0" customWidth="1"/>
    <x:col min="13" max="13" width="36" hidden="0" customWidth="1"/>
    <x:col min="14" max="14" width="36" hidden="0" customWidth="1"/>
    <x:col min="15" max="15" width="36" hidden="0" customWidth="1"/>
    <x:col min="16" max="16" width="36" hidden="0" customWidth="1"/>
    <x:col min="17" max="17" width="36" hidden="0" customWidth="1"/>
    <x:col min="18" max="18" width="36" hidden="0" customWidth="1"/>
  </x:cols>
  <x:sheetData>
    <x:row r="1" ht="24" customHeight="1">
      <x:c r="A1" s="2"/>
      <x:c r="B1" s="2"/>
      <x:c r="C1" s="2"/>
      <x:c r="D1" s="2"/>
      <x:c r="E1" s="2"/>
      <x:c r="F1" s="2"/>
      <x:c r="G1" s="2"/>
      <x:c r="H1" s="2"/>
      <x:c r="I1" s="2"/>
      <x:c r="J1" s="2"/>
      <x:c r="K1" s="2"/>
      <x:c r="L1" s="2"/>
      <x:c r="M1" s="2"/>
      <x:c r="N1" s="2"/>
      <x:c r="O1" s="2"/>
      <x:c r="P1" s="2"/>
      <x:c r="Q1" s="2"/>
      <x:c r="R1" s="2"/>
    </x:row>
    <x:row r="2" ht="24" customHeight="1">
      <x:c r="A2" s="3" t="str">
        <x:v>Mapa de dominios · autoridad y límites propuestos</x:v>
      </x:c>
      <x:c r="B2" s="2"/>
      <x:c r="C2" s="2"/>
      <x:c r="D2" s="2"/>
      <x:c r="E2" s="2"/>
      <x:c r="F2" s="2"/>
      <x:c r="G2" s="2"/>
      <x:c r="H2" s="2"/>
      <x:c r="I2" s="2"/>
      <x:c r="J2" s="2"/>
      <x:c r="K2" s="2"/>
      <x:c r="L2" s="2"/>
      <x:c r="M2" s="2"/>
      <x:c r="N2" s="2"/>
      <x:c r="O2" s="2"/>
      <x:c r="P2" s="2"/>
      <x:c r="Q2" s="2"/>
      <x:c r="R2" s="2"/>
    </x:row>
    <x:row r="3" ht="24" customHeight="1">
      <x:c r="A3" s="4"/>
      <x:c r="B3" s="4"/>
      <x:c r="C3" s="4"/>
      <x:c r="D3" s="4"/>
      <x:c r="E3" s="4"/>
      <x:c r="F3" s="4"/>
      <x:c r="G3" s="4"/>
      <x:c r="H3" s="4"/>
      <x:c r="I3" s="4"/>
      <x:c r="J3" s="4"/>
      <x:c r="K3" s="4"/>
      <x:c r="L3" s="4"/>
      <x:c r="M3" s="4"/>
      <x:c r="N3" s="4"/>
      <x:c r="O3" s="4"/>
      <x:c r="P3" s="4"/>
      <x:c r="Q3" s="4"/>
      <x:c r="R3" s="4"/>
    </x:row>
    <x:row r="4" ht="24" customHeight="1">
      <x:c r="A4" s="5" t="str">
        <x:v>Corte 19 oct 2026 · Inspección estática; propuestas no aprobadas ni desplegadas. Referencias path:line locales.</x:v>
      </x:c>
      <x:c r="B4" s="2"/>
      <x:c r="C4" s="2"/>
      <x:c r="D4" s="2"/>
      <x:c r="E4" s="2"/>
      <x:c r="F4" s="2"/>
      <x:c r="G4" s="2"/>
      <x:c r="H4" s="2"/>
      <x:c r="I4" s="2"/>
      <x:c r="J4" s="2"/>
      <x:c r="K4" s="2"/>
      <x:c r="L4" s="2"/>
      <x:c r="M4" s="2"/>
      <x:c r="N4" s="2"/>
      <x:c r="O4" s="2"/>
      <x:c r="P4" s="2"/>
      <x:c r="Q4" s="2"/>
      <x:c r="R4" s="2"/>
    </x:row>
    <x:row r="5" ht="24" customHeight="1">
      <x:c r="A5" s="2"/>
      <x:c r="B5" s="2"/>
      <x:c r="C5" s="2"/>
      <x:c r="D5" s="2"/>
      <x:c r="E5" s="2"/>
      <x:c r="F5" s="2"/>
      <x:c r="G5" s="2"/>
      <x:c r="H5" s="2"/>
      <x:c r="I5" s="2"/>
      <x:c r="J5" s="2"/>
      <x:c r="K5" s="2"/>
      <x:c r="L5" s="2"/>
      <x:c r="M5" s="2"/>
      <x:c r="N5" s="2"/>
      <x:c r="O5" s="2"/>
      <x:c r="P5" s="2"/>
      <x:c r="Q5" s="2"/>
      <x:c r="R5" s="2"/>
    </x:row>
    <x:row r="6" ht="24" customHeight="1">
      <x:c r="A6" s="2"/>
      <x:c r="B6" s="2"/>
      <x:c r="C6" s="2"/>
      <x:c r="D6" s="2"/>
      <x:c r="E6" s="2"/>
      <x:c r="F6" s="2"/>
      <x:c r="G6" s="2"/>
      <x:c r="H6" s="2"/>
      <x:c r="I6" s="2"/>
      <x:c r="J6" s="2"/>
      <x:c r="K6" s="2"/>
      <x:c r="L6" s="2"/>
      <x:c r="M6" s="2"/>
      <x:c r="N6" s="2"/>
      <x:c r="O6" s="2"/>
      <x:c r="P6" s="2"/>
      <x:c r="Q6" s="2"/>
      <x:c r="R6" s="2"/>
    </x:row>
    <x:row r="7" ht="48" customHeight="1">
      <x:c r="A7" s="9" t="str">
        <x:v>ID</x:v>
      </x:c>
      <x:c r="B7" s="9" t="str">
        <x:v>Capacidad</x:v>
      </x:c>
      <x:c r="C7" s="9" t="str">
        <x:v>Clasificación</x:v>
      </x:c>
      <x:c r="D7" s="9" t="str">
        <x:v>Propósito</x:v>
      </x:c>
      <x:c r="E7" s="9" t="str">
        <x:v>Objetos</x:v>
      </x:c>
      <x:c r="F7" s="9" t="str">
        <x:v>Autoridad fuente</x:v>
      </x:c>
      <x:c r="G7" s="9" t="str">
        <x:v>Entradas</x:v>
      </x:c>
      <x:c r="H7" s="9" t="str">
        <x:v>Salidas</x:v>
      </x:c>
      <x:c r="I7" s="9" t="str">
        <x:v>Upstream</x:v>
      </x:c>
      <x:c r="J7" s="9" t="str">
        <x:v>Downstream</x:v>
      </x:c>
      <x:c r="K7" s="9" t="str">
        <x:v>Handoff</x:v>
      </x:c>
      <x:c r="L7" s="9" t="str">
        <x:v>Relación P6</x:v>
      </x:c>
      <x:c r="M7" s="9" t="str">
        <x:v>Estado actual</x:v>
      </x:c>
      <x:c r="N7" s="9" t="str">
        <x:v>Acción futura</x:v>
      </x:c>
      <x:c r="O7" s="9" t="str">
        <x:v>Ola</x:v>
      </x:c>
      <x:c r="P7" s="9" t="str">
        <x:v>Complejidad</x:v>
      </x:c>
      <x:c r="Q7" s="9" t="str">
        <x:v>Justificación</x:v>
      </x:c>
      <x:c r="R7" s="9" t="str">
        <x:v>Evidencia</x:v>
      </x:c>
    </x:row>
    <x:row r="8" ht="162" customHeight="1">
      <x:c r="A8" s="11" t="str">
        <x:v>D01</x:v>
      </x:c>
      <x:c r="B8" s="11" t="str">
        <x:v>Project Governance &amp; Operational Setup</x:v>
      </x:c>
      <x:c r="C8" s="11" t="str">
        <x:v>CONFIGURATION AREA</x:v>
      </x:c>
      <x:c r="D8" s="11" t="str">
        <x:v>Preparar un Project Workspace activado para control operacional sin crear otra identidad maestra.</x:v>
      </x:c>
      <x:c r="E8" s="11" t="str">
        <x:v>Canonical Project Workspace reference
Operational context binding
Governance applicability profile
Published setup version
Project Controls reporting period</x:v>
      </x:c>
      <x:c r="F8" s="11" t="str">
        <x:v>Enterprise Structure &amp; Workspace conserva identidad; Project Creation/Initialization/Activation conserva elegibilidad. La configuración operacional solo posee su perfil y vinculación explícita a registros legacy.</x:v>
      </x:c>
      <x:c r="G8" s="11" t="str">
        <x:v>Canonical Workspace ACTIVE y contexto tenant/membresía
CAPITAL_OWNER: autorización/FID y condiciones actuales cuando apliquen
CONTRACTOR_DELIVERY / DIRECT_INTERNAL: autorización legítima por su ruta
Catálogos y configuración publicada</x:v>
      </x:c>
      <x:c r="H8" s="11" t="str">
        <x:v>Contexto operacional validado y trazable
Perfil de controles y calendario de períodos
Referencia explícita, única y tenant-scoped a registros legacy cuando exista</x:v>
      </x:c>
      <x:c r="I8" s="11" t="str"/>
      <x:c r="J8" s="11" t="str">
        <x:v>D02, D03, D04, D05, D06, D08, D09, D10, D11, D12, D13, D14, D16, D17, D18, D19, D23, D25</x:v>
      </x:c>
      <x:c r="K8" s="11" t="str">
        <x:v>Referencia a identidad y snapshot de autorización/currentness. No copiar FID ni asumir igualdad enterprise_workspaces.id = projects.id; binding universal aún no demostrado.</x:v>
      </x:c>
      <x:c r="L8" s="11" t="str">
        <x:v>Define adaptador/import profile y responsable; no configura ni ejecuta CPM P6.</x:v>
      </x:c>
      <x:c r="M8" s="11" t="str">
        <x:v>Setup legacy y canonical activation existen separados. Adaptador explícito de lectura localizado; falta contrato universal de onboarding/binding y no se implementa aquí.</x:v>
      </x:c>
      <x:c r="N8" s="11" t="str">
        <x:v>EXTEND_EXISTING</x:v>
      </x:c>
      <x:c r="O8" s="11" t="str">
        <x:v>O1</x:v>
      </x:c>
      <x:c r="P8" s="11" t="str">
        <x:v>VERY_HIGH</x:v>
      </x:c>
      <x:c r="Q8" s="11" t="str">
        <x:v>Resolver identidad, membresía y límites de autorización antes de exponer fuentes operacionales; protege reutilización sin nuevo Project master.</x:v>
      </x:c>
      <x:c r="R8" s="11" t="str">
        <x:v>backend/app/modules/qra_foundation/adapters.py:31
backend/tests/test_project_creation_process.py:642
frontend/src/App.tsx:4505</x:v>
      </x:c>
    </x:row>
    <x:row r="9" ht="117" customHeight="1">
      <x:c r="A9" s="11" t="str">
        <x:v>D02</x:v>
      </x:c>
      <x:c r="B9" s="11" t="str">
        <x:v>Scope Management</x:v>
      </x:c>
      <x:c r="C9" s="11" t="str">
        <x:v>DOMAIN</x:v>
      </x:c>
      <x:c r="D9" s="11" t="str">
        <x:v>Controlar alcance, entregables, cantidades y paquetes con baseline/revisiones autorizadas y trazabilidad BIM opcional.</x:v>
      </x:c>
      <x:c r="E9" s="11" t="str">
        <x:v>Scope Item
Scope hierarchy / deliverable
Quantity and measurement source
Scope baseline/revision
Work Package definition
BIM object/model version reference</x:v>
      </x:c>
      <x:c r="F9" s="11" t="str">
        <x:v>Scope posee alcance/cantidad controlada y definición de paquetes; BIM conserva geometría/modelo fuente; WBS/PBS son referencias coherentes, no copias competidoras.</x:v>
      </x:c>
      <x:c r="G9" s="11" t="str">
        <x:v>Authorized scope handoff
IFC/CSV/OOXML y mediciones verificadas
WBS y códigos de control
Cambios aprobados</x:v>
      </x:c>
      <x:c r="H9" s="11" t="str">
        <x:v>Baseline de alcance y revisión
Cantidades con método/unidad/source hash
Relaciones many-to-many Scope–WBS–Activity–CBS–Package</x:v>
      </x:c>
      <x:c r="I9" s="11" t="str">
        <x:v>D01, D08</x:v>
      </x:c>
      <x:c r="J9" s="11" t="str">
        <x:v>D03, D04, D05, D06, D08, D09, D11, D12, D13, D15, D16, D17, D19, D21</x:v>
      </x:c>
      <x:c r="K9" s="11" t="str">
        <x:v>Transforma alcance autorizado en baseline operacional manteniendo referencia a origen; no reescribe Business Case aprobado.</x:v>
      </x:c>
      <x:c r="L9" s="11" t="str">
        <x:v>Mapea Scope/WBS/Package a activities mediante IDs de versión y relaciones many-to-many; BIM 4D es consumidor opcional, no CPM.</x:v>
      </x:c>
      <x:c r="M9" s="11" t="str">
        <x:v>Cantidades IFC/Excel, viewer, reglas, geometría/APU y paquetes son reales parciales. Scope Items/Plan Items y gobernanza completa de baseline siguen pendientes; 4D es placeholder.</x:v>
      </x:c>
      <x:c r="N9" s="11" t="str">
        <x:v>EXTEND_EXISTING</x:v>
      </x:c>
      <x:c r="O9" s="11" t="str">
        <x:v>O1</x:v>
      </x:c>
      <x:c r="P9" s="11" t="str">
        <x:v>HIGH</x:v>
      </x:c>
      <x:c r="Q9" s="11" t="str">
        <x:v>Reutilizar BIM/cantidades/APU sin construir otro motor; completar identidad de Scope Item y sus revisiones en un incremento posterior.</x:v>
      </x:c>
      <x:c r="R9" s="11" t="str">
        <x:v>frontend/src/App.tsx:5654
frontend/src/navigation/applicationNavigation.ts:637
backend/app/services/quantity_takeoff.py:206</x:v>
      </x:c>
    </x:row>
    <x:row r="10" ht="117" customHeight="1">
      <x:c r="A10" s="11" t="str">
        <x:v>D03</x:v>
      </x:c>
      <x:c r="B10" s="11" t="str">
        <x:v>Schedule Management</x:v>
      </x:c>
      <x:c r="C10" s="11" t="str">
        <x:v>DOMAIN</x:v>
      </x:c>
      <x:c r="D10" s="11" t="str">
        <x:v>Gestionar datos, versiones, baseline/current/update, data date y calidad del cronograma manteniendo Primavera P6 como autoridad CPM externa.</x:v>
      </x:c>
      <x:c r="E10" s="11" t="str">
        <x:v>Schedule Register/Version
WBS
Activity/Milestone
Calendar/Relationship/Constraint
Baseline/current dates
Imported criticality/float
Schedule import reconciliation</x:v>
      </x:c>
      <x:c r="F10" s="11" t="str">
        <x:v>P6 posee cálculo CPM, fechas recalculadas y critical/float importados. P&amp;Pmis posee registro de versión, source hash, validación, mappings y aceptación del corte, sin recalcular silenciosamente la ruta crítica.</x:v>
      </x:c>
      <x:c r="G10" s="11" t="str">
        <x:v>XML/XER manual y metadatos declarados
Baseline aprobada y current update
Progress aprobado como input a próximo intercambio
Scope/WBS y cambios autorizados</x:v>
      </x:c>
      <x:c r="H10" s="11" t="str">
        <x:v>Versión aceptada con data date y source lineage
Hallazgos/reconciliación entre versiones
Look-ahead de horizonte configurable basado en cronograma aceptado</x:v>
      </x:c>
      <x:c r="I10" s="11" t="str">
        <x:v>D01, D02, D06, D08</x:v>
      </x:c>
      <x:c r="J10" s="11" t="str">
        <x:v>D04, D05, D06, D07, D08, D09, D11, D13, D15, D16, D19, D20, D24</x:v>
      </x:c>
      <x:c r="K10" s="11" t="str">
        <x:v>Referencia a hitos/fechas autorizadas; baseline operacional no es una aprobación de inversión ni una modificación del plazo contractual.</x:v>
      </x:c>
      <x:c r="L10" s="11" t="str">
        <x:v>Manual export/import XML/XER como contrato objetivo; importación actual demostrada, exportación operacional P6 completa no demostrada. P6 API sync y CPM nativo fuera de alcance.</x:v>
      </x:c>
      <x:c r="M10" s="11" t="str">
        <x:v>Importación P6/WBS y metadatos son reales. Handbook calcula CPM básico y persiste controles locales, riesgo a aislar/no promover a fuente P6. Falta ciclo completo de versiones/exportación y 4D.</x:v>
      </x:c>
      <x:c r="N10" s="11" t="str">
        <x:v>EXTEND_EXISTING</x:v>
      </x:c>
      <x:c r="O10" s="11" t="str">
        <x:v>O1</x:v>
      </x:c>
      <x:c r="P10" s="11" t="str">
        <x:v>VERY_HIGH</x:v>
      </x:c>
      <x:c r="Q10" s="11" t="str">
        <x:v>Separar gestión de datos de cálculo externo; preservar semántica de calendarios/constraints y trazabilidad sin equivalencia funcional falsa.</x:v>
      </x:c>
      <x:c r="R10" s="11" t="str">
        <x:v>frontend/src/App.tsx:4290
frontend/src/components/ProjectControlsHandbook.tsx:407
frontend/src/components/ProjectControlsHandbook.tsx:625
backend/tests/test_qra_schedule_import_metadata.py:24</x:v>
      </x:c>
    </x:row>
    <x:row r="11" ht="132" customHeight="1">
      <x:c r="A11" s="11" t="str">
        <x:v>D04</x:v>
      </x:c>
      <x:c r="B11" s="11" t="str">
        <x:v>Cost Management</x:v>
      </x:c>
      <x:c r="C11" s="11" t="str">
        <x:v>DOMAIN</x:v>
      </x:c>
      <x:c r="D11" s="11" t="str">
        <x:v>Controlar presupuesto operacional, costos reales/accruals, codificación y cierre de períodos sin duplicar Funding estratégico ni obligación contractual.</x:v>
      </x:c>
      <x:c r="E11" s="11" t="str">
        <x:v>CBS/Cost Code/Control Account
Original/approved/current budget
Actual Cost/Accrual
Cost period
Cash-flow phasing
Commitment reference
Contingency/reserve classification</x:v>
      </x:c>
      <x:c r="F11" s="11" t="str">
        <x:v>Cost posee presupuesto de control, clasificación y costo operacional validado. D12 posee obligación legal/commitment; Strategic Funds posee cobertura y FIN modelo económico. Contabilidad/tesorería futura posee posting/pago.</x:v>
      </x:c>
      <x:c r="G11" s="11" t="str">
        <x:v>Presupuesto/capital autorizado con versión
Scope/WBS y cronograma aceptado
Obligaciones contractuales no duplicadas
Costos certificados/horas/recepciones y cambios aprobados</x:v>
      </x:c>
      <x:c r="H11" s="11" t="str">
        <x:v>Presupuesto/control cost period snapshot
Variaciones y fuente para Forecast/EVM
Conciliación presupuesto–compromiso–actual–funding</x:v>
      </x:c>
      <x:c r="I11" s="11" t="str">
        <x:v>D01, D02, D03, D08, D12</x:v>
      </x:c>
      <x:c r="J11" s="11" t="str">
        <x:v>D06, D07, D08, D09, D11, D12, D19, D20, D24</x:v>
      </x:c>
      <x:c r="K11" s="11" t="str">
        <x:v>Referencia/snapshot del monto autorizado y restricciones; operacionalizar presupuesto no muta capital envelope, Funding ni FIN.</x:v>
      </x:c>
      <x:c r="L11" s="11" t="str">
        <x:v>Consume cost/resource-load references por Activity/WBS cuando existan; P6 no se convierte automáticamente en contabilidad ni actual-cost master.</x:v>
      </x:c>
      <x:c r="M11" s="11" t="str">
        <x:v>Cost sheet, CBS/FBS, recost/reconciliation y BIM budget parciales. Riesgo de sumatoria Contract+PO y committed+executed no neteados requiere diseño; no se afirma doble conteo real en producción.</x:v>
      </x:c>
      <x:c r="N11" s="11" t="str">
        <x:v>EXTEND_EXISTING</x:v>
      </x:c>
      <x:c r="O11" s="11" t="str">
        <x:v>O1</x:v>
      </x:c>
      <x:c r="P11" s="11" t="str">
        <x:v>VERY_HIGH</x:v>
      </x:c>
      <x:c r="Q11" s="11" t="str">
        <x:v>Reutilizar core y resolver origen económico/semántica de costo antes de ampliar controles; evitar Funding/Commitment paralelo.</x:v>
      </x:c>
      <x:c r="R11" s="11" t="str">
        <x:v>frontend/src/App.tsx:7178
backend/app/services/integrated_control.py:392
backend/tests/test_integrated_control.py:40</x:v>
      </x:c>
    </x:row>
    <x:row r="12" ht="117" customHeight="1">
      <x:c r="A12" s="11" t="str">
        <x:v>D05</x:v>
      </x:c>
      <x:c r="B12" s="11" t="str">
        <x:v>Resource &amp; Productivity Management</x:v>
      </x:c>
      <x:c r="C12" s="11" t="str">
        <x:v>SUBDOMAIN</x:v>
      </x:c>
      <x:c r="D12" s="11" t="str">
        <x:v>Controlar recursos operacionales, crews/horas y productividad mediante cantidades aprobadas, separado de escenarios estratégicos de capacidad.</x:v>
      </x:c>
      <x:c r="E12" s="11" t="str">
        <x:v>Resource category/crew/labor/equipment
Planned/actual/remaining hours
Production rate
Productivity observation
Resource forecast/histogram</x:v>
      </x:c>
      <x:c r="F12" s="11" t="str">
        <x:v>Subdominio operacional de ejecución/costos posee asignaciones y horas verificadas; D06 posee cantidad aprobada por método; APU/rate sheet conserva su catálogo. Portfolio Resource Planning no posee asignación operacional.</x:v>
      </x:c>
      <x:c r="G12" s="11" t="str">
        <x:v>Quantities/Scope/Work Packages
Recursos y tarifas publicadas
Horas de campo verificadas
Schedule load references</x:v>
      </x:c>
      <x:c r="H12" s="11" t="str">
        <x:v>Productividad con unidad/método y corte
Demanda/horas restantes
Variancias e histogramas</x:v>
      </x:c>
      <x:c r="I12" s="11" t="str">
        <x:v>D01, D02, D03, D06, D16</x:v>
      </x:c>
      <x:c r="J12" s="11" t="str">
        <x:v>D07, D16, D19</x:v>
      </x:c>
      <x:c r="K12" s="11" t="str">
        <x:v>Referencia a capacidad/estrategia de recursos autorizada, no copia editable del escenario de Portfolio.</x:v>
      </x:c>
      <x:c r="L12" s="11" t="str">
        <x:v>Importa assignment/load references cuando sean explícitas; no ejecuta resource leveling ni cálculo de calendario P6.</x:v>
      </x:c>
      <x:c r="M12" s="11" t="str">
        <x:v>APU/tarifas y catálogo/resource primitives backend, horas/progress/productivity summary parciales; no asignación multiusuario completa demostrada.</x:v>
      </x:c>
      <x:c r="N12" s="11" t="str">
        <x:v>EXTEND_EXISTING</x:v>
      </x:c>
      <x:c r="O12" s="11" t="str">
        <x:v>O3</x:v>
      </x:c>
      <x:c r="P12" s="11" t="str">
        <x:v>HIGH</x:v>
      </x:c>
      <x:c r="Q12" s="11" t="str">
        <x:v>No convertir Master Rate Sheet en sistema completo de recursos ni duplicar escenario estratégico; extender desde hechos de campo y costo.</x:v>
      </x:c>
      <x:c r="R12" s="11" t="str">
        <x:v>frontend/src/App.tsx:4982
frontend/src/App.tsx:7151
backend/app/api/v1/router.py:788</x:v>
      </x:c>
    </x:row>
    <x:row r="13" ht="117" customHeight="1">
      <x:c r="A13" s="11" t="str">
        <x:v>D06</x:v>
      </x:c>
      <x:c r="B13" s="11" t="str">
        <x:v>Progress Management</x:v>
      </x:c>
      <x:c r="C13" s="11" t="str">
        <x:v>DOMAIN</x:v>
      </x:c>
      <x:c r="D13" s="11" t="str">
        <x:v>Mantener medición operacional por método, período y aprobación sin mezclar physical, schedule, cost y earned percentages.</x:v>
      </x:c>
      <x:c r="E13" s="11" t="str">
        <x:v>Progress record/measurement
Measurement method/version
Period/cumulative quantity
Approved progress cutoff
Milestone/weighted progress
Progress correction/supersession</x:v>
      </x:c>
      <x:c r="F13" s="11" t="str">
        <x:v>Progress posee aprobación y consolidación por método; fuente original permanece Quantity/Field/P6/Cost según método. Earned progress se deriva del presupuesto y regla aprobada, no de un porcentaje intercambiable.</x:v>
      </x:c>
      <x:c r="G13" s="11" t="str">
        <x:v>Scope quantities/baseline
Schedule/Cost baseline references
Field measurements y evidencia QA
Métodos/pesos publicados</x:v>
      </x:c>
      <x:c r="H13" s="11" t="str">
        <x:v>Progreso aprobado por método/unidad/corte
EV input con método explícito
Historial de correcciones y mediciones rechazadas</x:v>
      </x:c>
      <x:c r="I13" s="11" t="str">
        <x:v>D01, D02, D03, D04, D16, D17</x:v>
      </x:c>
      <x:c r="J13" s="11" t="str">
        <x:v>D03, D05, D07, D19, D20</x:v>
      </x:c>
      <x:c r="K13" s="11" t="str">
        <x:v>Consume entregables y baseline autorizada; no modifica decisión de inversión por registrar ejecución.</x:v>
      </x:c>
      <x:c r="L13" s="11" t="str">
        <x:v>Schedule percent complete conserva método P6; actual quantities/physical progress aprobado puede ser input al próximo intercambio manual, nunca recalcula CPM internamente.</x:v>
      </x:c>
      <x:c r="M13" s="11" t="str">
        <x:v>Capture endpoint y records reales; pantalla activa principalmente de lectura. Falta ciclo integral de método/aprobación/cutoff/supersession y UI de captura gobernada.</x:v>
      </x:c>
      <x:c r="N13" s="11" t="str">
        <x:v>EXTEND_EXISTING</x:v>
      </x:c>
      <x:c r="O13" s="11" t="str">
        <x:v>O1</x:v>
      </x:c>
      <x:c r="P13" s="11" t="str">
        <x:v>HIGH</x:v>
      </x:c>
      <x:c r="Q13" s="11" t="str">
        <x:v>Conservar registros y añadir semántica antes de alimentar Forecast/EVM; separar medición de aprobación y performance derivada.</x:v>
      </x:c>
      <x:c r="R13" s="11" t="str">
        <x:v>frontend/src/App.tsx:7151
backend/app/api/v1/router.py:788
frontend/tests/evm-dashboard.test.ts:128</x:v>
      </x:c>
    </x:row>
    <x:row r="14" ht="117" customHeight="1">
      <x:c r="A14" s="11" t="str">
        <x:v>D07</x:v>
      </x:c>
      <x:c r="B14" s="11" t="str">
        <x:v>Forecast / ETC / EAC</x:v>
      </x:c>
      <x:c r="C14" s="11" t="str">
        <x:v>SUBDOMAIN</x:v>
      </x:c>
      <x:c r="D14" s="11" t="str">
        <x:v>Consolidar pronósticos temporales/de costo/cantidad/recursos con supuestos, versión y aprobación sin reescribir baseline.</x:v>
      </x:c>
      <x:c r="E14" s="11" t="str">
        <x:v>Forecast version
ETC/EAC/VAC
Forecast finish/milestone
Quantity/resource forecast
Assumption set
Forecast approval snapshot</x:v>
      </x:c>
      <x:c r="F14" s="11" t="str">
        <x:v>Subdominio Forecast de Project Controls posee supuestos/revisión aprobada y reglas de consolidación. Cost/Schedule/Progress/Risk/Change conservan datos fuente.</x:v>
      </x:c>
      <x:c r="G14" s="11" t="str">
        <x:v>Actuals y progress aprobados al corte
Presupuesto/cronograma vigente
Cambios/riesgos/issues y supuestos
Contratos/commitments abiertos neteados</x:v>
      </x:c>
      <x:c r="H14" s="11" t="str">
        <x:v>Forecast aprobado con lineage y corte
ETC/EAC y finish forecast por método
Escenarios operacionales no confundidos con escenarios estratégicos</x:v>
      </x:c>
      <x:c r="I14" s="11" t="str">
        <x:v>D03, D04, D05, D06, D08, D09, D10, D12</x:v>
      </x:c>
      <x:c r="J14" s="11" t="str">
        <x:v>D19</x:v>
      </x:c>
      <x:c r="K14" s="11" t="str">
        <x:v>Contrasta ejecución con caso autorizado; no altera FIN, Business Case ni Funding upstream.</x:v>
      </x:c>
      <x:c r="L14" s="11" t="str">
        <x:v>Forecast dates se referencian a versión P6/supuesto explícito; forecast finish no es nueva ruta crítica nativa.</x:v>
      </x:c>
      <x:c r="M14" s="11" t="str">
        <x:v>EVM/EAC/VAC y forecast-vs-funding existen como reportes; no lifecycle completo de forecast aprobado/local revision UI.</x:v>
      </x:c>
      <x:c r="N14" s="11" t="str">
        <x:v>EXTEND_EXISTING</x:v>
      </x:c>
      <x:c r="O14" s="11" t="str">
        <x:v>O1</x:v>
      </x:c>
      <x:c r="P14" s="11" t="str">
        <x:v>HIGH</x:v>
      </x:c>
      <x:c r="Q14" s="11" t="str">
        <x:v>Consolidación bajo Project Controls sin otro dueño de actuals, contratos o baseline.</x:v>
      </x:c>
      <x:c r="R14" s="11" t="str">
        <x:v>frontend/src/App.tsx:3510
frontend/src/App.tsx:6202
backend/app/api/v1/router.py:4189</x:v>
      </x:c>
    </x:row>
    <x:row r="15" ht="102" customHeight="1">
      <x:c r="A15" s="11" t="str">
        <x:v>D08</x:v>
      </x:c>
      <x:c r="B15" s="11" t="str">
        <x:v>Change Management</x:v>
      </x:c>
      <x:c r="C15" s="11" t="str">
        <x:v>DOMAIN</x:v>
      </x:c>
      <x:c r="D15" s="11" t="str">
        <x:v>Gobernar un Change Event/Request transversal con evaluación de impactos y aplicación explícita por dueños de fuentes.</x:v>
      </x:c>
      <x:c r="E15" s="11" t="str">
        <x:v>Change Event/Request/Potential Change
Impact assessment
Approved/rejected change
Change Order reference
Implementation record/change log</x:v>
      </x:c>
      <x:c r="F15" s="11" t="str">
        <x:v>Change posee estado, aprobación y assessment consolidado; Scope/Schedule/Cost/D12 poseen modificación de sus propios registros. Una Change Order legal solo la autoriza Contract Administration.</x:v>
      </x:c>
      <x:c r="G15" s="11" t="str">
        <x:v>Scope/Schedule/Cost deviations
Risk/Issue escalation
Contract notices y proposals
Matrices de autoridad publicadas</x:v>
      </x:c>
      <x:c r="H15" s="11" t="str">
        <x:v>Decisión de cambio y límites aprobados
Órdenes/comandos explícitos a source owners
Trazabilidad implementación/no-implementación</x:v>
      </x:c>
      <x:c r="I15" s="11" t="str">
        <x:v>D01, D02, D03, D04, D09, D10, D12</x:v>
      </x:c>
      <x:c r="J15" s="11" t="str">
        <x:v>D02, D03, D04, D07, D12, D13, D19, D20</x:v>
      </x:c>
      <x:c r="K15" s="11" t="str">
        <x:v>Cambio que excede autorización se escala al upstream gobernado; no reabre/reescribe FID automáticamente.</x:v>
      </x:c>
      <x:c r="L15" s="11" t="str">
        <x:v>Cambio de plazo aprobado solicita próxima versión P6; no modifica fechas/criticality silenciosamente en P&amp;Pmis.</x:v>
      </x:c>
      <x:c r="M15" s="11" t="str">
        <x:v>ChangeRequest/create y vista Scope Changes de lectura parciales; schedule/budget/contract changes reservados, integración de impacto/aprobación incompleta.</x:v>
      </x:c>
      <x:c r="N15" s="11" t="str">
        <x:v>EXTEND_EXISTING</x:v>
      </x:c>
      <x:c r="O15" s="11" t="str">
        <x:v>O1</x:v>
      </x:c>
      <x:c r="P15" s="11" t="str">
        <x:v>HIGH</x:v>
      </x:c>
      <x:c r="Q15" s="11" t="str">
        <x:v>Unificar orquestación del cambio sin convertirla en dueño de todos los datos ni duplicar variaciones legales.</x:v>
      </x:c>
      <x:c r="R15" s="11" t="str">
        <x:v>frontend/src/App.tsx:7255
backend/app/api/v1/router.py:3401
frontend/src/navigation/applicationNavigation.ts:640</x:v>
      </x:c>
    </x:row>
    <x:row r="16" ht="102" customHeight="1">
      <x:c r="A16" s="11" t="str">
        <x:v>D09</x:v>
      </x:c>
      <x:c r="B16" s="11" t="str">
        <x:v>Risk Management</x:v>
      </x:c>
      <x:c r="C16" s="11" t="str">
        <x:v>DOMAIN</x:v>
      </x:c>
      <x:c r="D16" s="11" t="str">
        <x:v>Gestionar incertidumbre futura operacional, respuestas, riesgo residual y escalación con referencia a evidencia estratégica sin reutilizarla como registro operacional.</x:v>
      </x:c>
      <x:c r="E16" s="11" t="str">
        <x:v>Operational Risk
Risk assessment/response/residual
Risk owner/due date
Risk exposure/contingency reference
Operational SRA source reference</x:v>
      </x:c>
      <x:c r="F16" s="11" t="str">
        <x:v>Operational Risk posee registro y evaluaciones de ejecución. Strategic Risk Readiness/QRA conserva su evidencia/método/decisión; no se copia una aprobación como mitigación realizada.</x:v>
      </x:c>
      <x:c r="G16" s="11" t="str">
        <x:v>Authorized strategic risk snapshot
Scope/Schedule/Cost context
Field/contract/interface uncertainties
Issue realization feedback</x:v>
      </x:c>
      <x:c r="H16" s="11" t="str">
        <x:v>Registro y respuestas/escalaciones
Impact inputs para Forecast/Change
Riesgo realizado convertido en Issue por acción trazable</x:v>
      </x:c>
      <x:c r="I16" s="11" t="str">
        <x:v>D01, D02, D03, D04, D10, D15, D18</x:v>
      </x:c>
      <x:c r="J16" s="11" t="str">
        <x:v>D07, D08, D10, D18, D19</x:v>
      </x:c>
      <x:c r="K16" s="11" t="str">
        <x:v>Referenciar risks/QRA aceptados de definición; desarrollar registro de ejecución manteniendo owner y vigencia separados.</x:v>
      </x:c>
      <x:c r="L16" s="11" t="str">
        <x:v>Puede consumir schedule version/uncertainty para futura evaluación autorizada; no ejecutar SRA operacional ni recalcular P6 en esta fase.</x:v>
      </x:c>
      <x:c r="M16" s="11" t="str">
        <x:v>Operational risk menu placeholder. Strategic risk/QRA real aguas arriba, no registro de ejecución demostrado.</x:v>
      </x:c>
      <x:c r="N16" s="11" t="str">
        <x:v>BUILD_LATER</x:v>
      </x:c>
      <x:c r="O16" s="11" t="str">
        <x:v>O1</x:v>
      </x:c>
      <x:c r="P16" s="11" t="str">
        <x:v>HIGH</x:v>
      </x:c>
      <x:c r="Q16" s="11" t="str">
        <x:v>Nuevo comportamiento operacional cohesivo, pero solo diseño actual; evita contaminar políticas estratégicas ya gobernadas.</x:v>
      </x:c>
      <x:c r="R16" s="11" t="str">
        <x:v>frontend/src/navigation/applicationNavigation.ts:645
frontend/e2e/risk-readiness.spec.ts:1</x:v>
      </x:c>
    </x:row>
    <x:row r="17" ht="102" customHeight="1">
      <x:c r="A17" s="11" t="str">
        <x:v>D10</x:v>
      </x:c>
      <x:c r="B17" s="11" t="str">
        <x:v>Issue Management</x:v>
      </x:c>
      <x:c r="C17" s="11" t="str">
        <x:v>SUBDOMAIN</x:v>
      </x:c>
      <x:c r="D17" s="11" t="str">
        <x:v>Gestionar eventos/condiciones ya ocurridos con acciones, owner, vencimiento, escalación y referencias de impacto.</x:v>
      </x:c>
      <x:c r="E17" s="11" t="str">
        <x:v>Issue
Action
Escalation
Owner/due date
Closure evidence
Origin domain reference</x:v>
      </x:c>
      <x:c r="F17" s="11" t="str">
        <x:v>Issue posee resolución/escalación de condición actual; fuente técnica/legal permanece en dominio originador. No reemplaza AWP constraint, NCR, claim ni risk.</x:v>
      </x:c>
      <x:c r="G17" s="11" t="str">
        <x:v>Field/interface/contract findings
Risk realization
Schedule/cost deviation
Evidence references</x:v>
      </x:c>
      <x:c r="H17" s="11" t="str">
        <x:v>Acción y escalación trazable
Change request/risk feedback por referencia
Cierre de Issue con evidencia</x:v>
      </x:c>
      <x:c r="I17" s="11" t="str">
        <x:v>D01, D09, D15, D16, D17, D18</x:v>
      </x:c>
      <x:c r="J17" s="11" t="str">
        <x:v>D07, D08, D09, D15, D19</x:v>
      </x:c>
      <x:c r="K17" s="11" t="str">
        <x:v>Condiciones upstream abiertas se referencian, no se resuelven cerrando Issue local.</x:v>
      </x:c>
      <x:c r="L17" s="11" t="str">
        <x:v>Referencia Activity/ScheduleVersion cuando aplique; resolución de Issue no actualiza fechas P6 automáticamente.</x:v>
      </x:c>
      <x:c r="M17" s="11" t="str">
        <x:v>Issues placeholder; restricciones AWP reales no constituyen registro general de Issues.</x:v>
      </x:c>
      <x:c r="N17" s="11" t="str">
        <x:v>BUILD_LATER</x:v>
      </x:c>
      <x:c r="O17" s="11" t="str">
        <x:v>O1</x:v>
      </x:c>
      <x:c r="P17" s="11" t="str">
        <x:v>MEDIUM</x:v>
      </x:c>
      <x:c r="Q17" s="11" t="str">
        <x:v>Subdominio pequeño reutilizable; coordina acciones sin inventar otro registro de riesgos o restricciones.</x:v>
      </x:c>
      <x:c r="R17" s="11" t="str">
        <x:v>frontend/src/navigation/applicationNavigation.ts:658
frontend/src/api/integratedControl.ts:303</x:v>
      </x:c>
    </x:row>
    <x:row r="18" ht="102" customHeight="1">
      <x:c r="A18" s="11" t="str">
        <x:v>D11</x:v>
      </x:c>
      <x:c r="B18" s="11" t="str">
        <x:v>Procurement Management</x:v>
      </x:c>
      <x:c r="C18" s="11" t="str">
        <x:v>DOMAIN</x:v>
      </x:c>
      <x:c r="D18" s="11" t="str">
        <x:v>Gestionar sourcing: plan/paquete/requisición/RFQ-RFP/bids/evaluación y recomendación de adjudicación, sin poseer otra obligación legal.</x:v>
      </x:c>
      <x:c r="E18" s="11" t="str">
        <x:v>Procurement Plan/Package
Requisition
RFQ/RFP
Bid/Evaluation
Award Recommendation
Vendor party reference</x:v>
      </x:c>
      <x:c r="F18" s="11" t="str">
        <x:v>Procurement posee sourcing y recomendación; D12 posee Contract/PO y obligación después de aprobación autorizada; Party master futuro es compartido, no vendor string duplicado.</x:v>
      </x:c>
      <x:c r="G18" s="11" t="str">
        <x:v>Scope/technical requisition y long-lead dates
Budget/coding references
Commercial strategy snapshot
Published evaluation/authority policy</x:v>
      </x:c>
      <x:c r="H18" s="11" t="str">
        <x:v>Evaluación trazable y recomendación
Paquete de award aprobado para D12
Entrega/material status por referencia</x:v>
      </x:c>
      <x:c r="I18" s="11" t="str">
        <x:v>D01, D02, D03, D04, D13, D14, D15</x:v>
      </x:c>
      <x:c r="J18" s="11" t="str">
        <x:v>D12, D15, D16, D19</x:v>
      </x:c>
      <x:c r="K18" s="11" t="str">
        <x:v>Consume estrategia comercial conceptual; no duplica Commercial Strategy, Funds ni FIN. No nuevo Procurement Manager hasta resolver duplicación de menús/autoridad.</x:v>
      </x:c>
      <x:c r="L18" s="11" t="str">
        <x:v>Consume required-by/long-lead activities y publica status material como input; no calcula CPM.</x:v>
      </x:c>
      <x:c r="M18" s="11" t="str">
        <x:v>RFQ backend real con pesos hardcoded/summary; UI actual reservada y sin award gobernado completo. Vendors/Partners son placeholders.</x:v>
      </x:c>
      <x:c r="N18" s="11" t="str">
        <x:v>EXTEND_EXISTING</x:v>
      </x:c>
      <x:c r="O18" s="11" t="str">
        <x:v>O2</x:v>
      </x:c>
      <x:c r="P18" s="11" t="str">
        <x:v>HIGH</x:v>
      </x:c>
      <x:c r="Q18" s="11" t="str">
        <x:v>Reutilizar RFQ y configurar evaluación/autoridad antes de cualquier nueva pantalla; sourcing distinto de compromiso.</x:v>
      </x:c>
      <x:c r="R18" s="11" t="str">
        <x:v>backend/app/api/v1/routers/rfq.py:63
backend/app/api/v1/routers/rfq.py:190
frontend/src/navigation/applicationNavigation.ts:649</x:v>
      </x:c>
    </x:row>
    <x:row r="19" ht="132" customHeight="1">
      <x:c r="A19" s="11" t="str">
        <x:v>D12</x:v>
      </x:c>
      <x:c r="B19" s="11" t="str">
        <x:v>Commitments / Contract Administration</x:v>
      </x:c>
      <x:c r="C19" s="11" t="str">
        <x:v>DOMAIN</x:v>
      </x:c>
      <x:c r="D19" s="11" t="str">
        <x:v>Administrar registro legal Contract/PO/subcontract, SOV, notices, variaciones, certificación y cierre con una sola autoridad de obligaciones.</x:v>
      </x:c>
      <x:c r="E19" s="11" t="str">
        <x:v>Contract/PurchaseOrder/Subcontract
Original/current legal value
SOV
Contract notice/instruction
Change Order
Certificate/retention
Commitment source/economic event</x:v>
      </x:c>
      <x:c r="F19" s="11" t="str">
        <x:v>Reutilizar Contract y PurchaseOrder existentes como única autoridad contractual/commitment. Cost consume refs neteadas. Certificado/recepción no es pago bancario; invoice/payment posting queda en ERP/Treasury futuro.</x:v>
      </x:c>
      <x:c r="G19" s="11" t="str">
        <x:v>Award/legal authorization o contrato cliente legítimo
Scope/SOV/budget codes
Post-FID commitment-only conditions current where applicable
Notices/approved changes/certified measurements</x:v>
      </x:c>
      <x:c r="H19" s="11" t="str">
        <x:v>Obligación aprobada con dirección revenue/spend y versión
Open commitment neto/no doble conteo
Certificación/retention y closeout documental</x:v>
      </x:c>
      <x:c r="I19" s="11" t="str">
        <x:v>D01, D02, D04, D08, D11, D14</x:v>
      </x:c>
      <x:c r="J19" s="11" t="str">
        <x:v>D04, D07, D08, D15, D16, D19, D20, D22, D24</x:v>
      </x:c>
      <x:c r="K19" s="11" t="str">
        <x:v>Verificar autorización scope y condiciones de compromiso upstream por autoridad existente; activación no habilita compromiso automáticamente.</x:v>
      </x:c>
      <x:c r="L19" s="11" t="str">
        <x:v>Relaciona hitos/contract dates al schedule version; obligación legal y extensión de plazo requieren autoridad contractual, no importación P6.</x:v>
      </x:c>
      <x:c r="M19" s="11" t="str">
        <x:v>Contract/PO/SOV/notices/certificates/receipts reales parciales; menús reservados, doble conteo y gate commitment-only requieren hardening futuro. Sin inferir vendor master ni pagos.</x:v>
      </x:c>
      <x:c r="N19" s="11" t="str">
        <x:v>EXTEND_EXISTING</x:v>
      </x:c>
      <x:c r="O19" s="11" t="str">
        <x:v>O2</x:v>
      </x:c>
      <x:c r="P19" s="11" t="str">
        <x:v>VERY_HIGH</x:v>
      </x:c>
      <x:c r="Q19" s="11" t="str">
        <x:v>Separación cohesiva de sourcing por obligación legal; conservar APIs/datos y sustituir conceptos duplicados solo con deprecación aprobada.</x:v>
      </x:c>
      <x:c r="R19" s="11" t="str">
        <x:v>backend/app/domain/models.py:1400
backend/app/domain/models.py:1524
backend/app/api/v1/router.py:2379
backend/app/modules/post_fid_governance/service.py:492</x:v>
      </x:c>
    </x:row>
    <x:row r="20" ht="87" customHeight="1">
      <x:c r="A20" s="11" t="str">
        <x:v>D13</x:v>
      </x:c>
      <x:c r="B20" s="11" t="str">
        <x:v>Engineering &amp; Design Management</x:v>
      </x:c>
      <x:c r="C20" s="11" t="str">
        <x:v>DOMAIN</x:v>
      </x:c>
      <x:c r="D20" s="11" t="str">
        <x:v>Gestionar paquetes/deliverables técnicos, disciplina, estado IFA/IFC equivalente, revisión, comentarios y cambios de diseño.</x:v>
      </x:c>
      <x:c r="E20" s="11" t="str">
        <x:v>Design Package/Deliverable
Discipline/revision/status
Review/comment cycle
Technical query/RFI
Technical release reference</x:v>
      </x:c>
      <x:c r="F20" s="11" t="str">
        <x:v>Engineering posee madurez/liberación técnica del entregable; D14 posee documento/revisión/transmittal; Scope/Change/Contract mantienen sus autoridades.</x:v>
      </x:c>
      <x:c r="G20" s="11" t="str">
        <x:v>Scope/requirements
Schedule need dates y package interfaces
Design documents/reviews
Technical/contract constraints</x:v>
      </x:c>
      <x:c r="H20" s="11" t="str">
        <x:v>Entregable técnicamente liberado con revisión
Respuestas RFI/comentarios
Readiness inputs para sourcing/workfront</x:v>
      </x:c>
      <x:c r="I20" s="11" t="str">
        <x:v>D01, D02, D03, D08, D14, D15</x:v>
      </x:c>
      <x:c r="J20" s="11" t="str">
        <x:v>D11, D15, D16, D17, D21</x:v>
      </x:c>
      <x:c r="K20" s="11" t="str">
        <x:v>Consume bases de definición autorizadas sin apropiarse de FEL/Business Case; detalle técnico de ejecución gobernado separadamente.</x:v>
      </x:c>
      <x:c r="L20" s="11" t="str">
        <x:v>Deliverable/package dates y dependencias se vinculan al cronograma; P6 conserva CPM.</x:v>
      </x:c>
      <x:c r="M20" s="11" t="str">
        <x:v>No workspace operacional dedicado identificado; BIM/docs aportan primitivas, no lifecycle de diseño.</x:v>
      </x:c>
      <x:c r="N20" s="11" t="str">
        <x:v>BUILD_LATER</x:v>
      </x:c>
      <x:c r="O20" s="11" t="str">
        <x:v>O2</x:v>
      </x:c>
      <x:c r="P20" s="11" t="str">
        <x:v>HIGH</x:v>
      </x:c>
      <x:c r="Q20" s="11" t="str">
        <x:v>Separar estado técnico de archivo documental; diseñar antes de implementar sin otro DMS.</x:v>
      </x:c>
      <x:c r="R20" s="11" t="str">
        <x:v>frontend/src/navigation/applicationNavigation.ts:377
backend/app/api/v1/router.py:355</x:v>
      </x:c>
    </x:row>
    <x:row r="21" ht="117" customHeight="1">
      <x:c r="A21" s="11" t="str">
        <x:v>D14</x:v>
      </x:c>
      <x:c r="B21" s="11" t="str">
        <x:v>Document &amp; Information Management</x:v>
      </x:c>
      <x:c r="C21" s="11" t="str">
        <x:v>CROSS-CUTTING CAPABILITY</x:v>
      </x:c>
      <x:c r="D21" s="11" t="str">
        <x:v>Proveer registro/revisión/distribución/evidencia reutilizable a dominios sin construir un enterprise DMS innecesario.</x:v>
      </x:c>
      <x:c r="E21" s="11" t="str">
        <x:v>Document/Revision
Attachment/source hash
Transmittal/distribution
Review/approval record
External DMS reference
Access classification</x:v>
      </x:c>
      <x:c r="F21" s="11" t="str">
        <x:v>Reutilizar Document/revision/attachment/transmittal backend como autoridad documental. Dominio de negocio conserva decisión técnica/legal; DMS externo futuro conserva original cuando se use reference-only.</x:v>
      </x:c>
      <x:c r="G21" s="11" t="str">
        <x:v>Evidence/deliverable files de cualquier dominio
Metadata/clasificación y revisión
External DMS identifiers
Approval/distribution requirements</x:v>
      </x:c>
      <x:c r="H21" s="11" t="str">
        <x:v>Revisión/documento controlado y acceso scoped
Evidence reference inmutable por versión
Review/distribution audit</x:v>
      </x:c>
      <x:c r="I21" s="11" t="str">
        <x:v>D01</x:v>
      </x:c>
      <x:c r="J21" s="11" t="str">
        <x:v>D11, D12, D13, D15, D17, D18, D20, D21, D22, D23, D24, D25</x:v>
      </x:c>
      <x:c r="K21" s="11" t="str">
        <x:v>Referencias a evidencias upstream congeladas, sin reemisión ni aceptación tácita.</x:v>
      </x:c>
      <x:c r="L21" s="11" t="str">
        <x:v>Almacena archivo XML/XER fuente con hash y evidencia de aceptación; no modifica su contenido/semántica.</x:v>
      </x:c>
      <x:c r="M21" s="11" t="str">
        <x:v>Backend documents/transmittals/reviews/attachment security real; dedicated Document Approval/Submittals placeholder y Evidence live reachability por validar.</x:v>
      </x:c>
      <x:c r="N21" s="11" t="str">
        <x:v>CROSS_CUTTING</x:v>
      </x:c>
      <x:c r="O21" s="11" t="str">
        <x:v>O1</x:v>
      </x:c>
      <x:c r="P21" s="11" t="str">
        <x:v>HIGH</x:v>
      </x:c>
      <x:c r="Q21" s="11" t="str">
        <x:v>Mover evidencia mínima antes de baselines evita bloqueos; conservar autoridad documental y no confundir review documental con decisión del dominio.</x:v>
      </x:c>
      <x:c r="R21" s="11" t="str">
        <x:v>backend/app/api/v1/router.py:355
backend/tests/test_api_smoke.py:352
backend/tests/test_api_smoke.py:584
frontend/src/navigation/applicationNavigation.ts:662</x:v>
      </x:c>
    </x:row>
    <x:row r="22" ht="87" customHeight="1">
      <x:c r="A22" s="11" t="str">
        <x:v>D15</x:v>
      </x:c>
      <x:c r="B22" s="11" t="str">
        <x:v>Interface Management</x:v>
      </x:c>
      <x:c r="C22" s="11" t="str">
        <x:v>CROSS-CUTTING CAPABILITY</x:v>
      </x:c>
      <x:c r="D22" s="11" t="str">
        <x:v>Coordinar interfaces internas/externas técnicas, comerciales y temporales con owner, due date, dependencia y cierre.</x:v>
      </x:c>
      <x:c r="E22" s="11" t="str">
        <x:v>Interface Register/Agreement
Internal/external interface
Dependency/required-by
Owner/due date
Closure evidence</x:v>
      </x:c>
      <x:c r="F22" s="11" t="str">
        <x:v>Interface posee coordinación/acuerdo y closure; fuente técnica/legal/schedule permanece en su dominio. Issues/risk conservan sus casos si una interfaz falla.</x:v>
      </x:c>
      <x:c r="G22" s="11" t="str">
        <x:v>Scope boundaries y paquetes
Design/procurement dependencies
Workfront requirements
Risk/Issue references</x:v>
      </x:c>
      <x:c r="H22" s="11" t="str">
        <x:v>Interface agreement y acciones
Readiness dependencies/escalations
Cierre con evidencia de contrapartes</x:v>
      </x:c>
      <x:c r="I22" s="11" t="str">
        <x:v>D02, D03, D10, D11, D12, D13, D14</x:v>
      </x:c>
      <x:c r="J22" s="11" t="str">
        <x:v>D09, D10, D11, D13, D16</x:v>
      </x:c>
      <x:c r="K22" s="11" t="str">
        <x:v>Consume interfaces/assumptions heredadas y mantiene su origen; no modifica acuerdos estratégicos sin autorización.</x:v>
      </x:c>
      <x:c r="L22" s="11" t="str">
        <x:v>Dependencia de interfaz referencia activities; no agrega lógica P6 silenciosamente.</x:v>
      </x:c>
      <x:c r="M22" s="11" t="str">
        <x:v>Sin registro operacional dedicado identificado; communications/issues placeholders no prueban lifecycle.</x:v>
      </x:c>
      <x:c r="N22" s="11" t="str">
        <x:v>CROSS_CUTTING</x:v>
      </x:c>
      <x:c r="O22" s="11" t="str">
        <x:v>O2</x:v>
      </x:c>
      <x:c r="P22" s="11" t="str">
        <x:v>MEDIUM</x:v>
      </x:c>
      <x:c r="Q22" s="11" t="str">
        <x:v>Capacidad transversal ligera; coordina sin duplicar issue, riesgo, contrato o entregable técnico.</x:v>
      </x:c>
      <x:c r="R22" s="11" t="str">
        <x:v>frontend/src/navigation/applicationNavigation.ts:377
frontend/src/navigation/applicationNavigation.ts:387</x:v>
      </x:c>
    </x:row>
    <x:row r="23" ht="117" customHeight="1">
      <x:c r="A23" s="11" t="str">
        <x:v>D16</x:v>
      </x:c>
      <x:c r="B23" s="11" t="str">
        <x:v>Construction / Field Management</x:v>
      </x:c>
      <x:c r="C23" s="11" t="str">
        <x:v>DOMAIN</x:v>
      </x:c>
      <x:c r="D23" s="11" t="str">
        <x:v>Coordinar workfronts, ejecución, diario de campo, recursos y cantidades fuente con release/constraints y referencias a controles aprobados.</x:v>
      </x:c>
      <x:c r="E23" s="11" t="str">
        <x:v>Work Area/Workfront
Daily Report
Installed Quantity source
Labor/equipment/weather observation
AWP execution package/constraint
Inspection request/field issue</x:v>
      </x:c>
      <x:c r="F23" s="11" t="str">
        <x:v>Field posee hechos de ejecución y release operacional del workfront; D02 posee alcance/definición de Work Package, D06 aprobación de medición, D17 calidad y D18 seguridad.</x:v>
      </x:c>
      <x:c r="G23" s="11" t="str">
        <x:v>Released Scope/Engineering packages
Schedule look-ahead
Materials/procurement status
QA/HSE/permit readiness y constraints</x:v>
      </x:c>
      <x:c r="H23" s="11" t="str">
        <x:v>Daily facts/installed quantities para Progress
Workfront/package release con checklist
Field issues/inspection requests</x:v>
      </x:c>
      <x:c r="I23" s="11" t="str">
        <x:v>D01, D02, D03, D05, D11, D12, D13, D15, D17, D18</x:v>
      </x:c>
      <x:c r="J23" s="11" t="str">
        <x:v>D05, D06, D10, D17, D18, D19, D20, D21</x:v>
      </x:c>
      <x:c r="K23" s="11" t="str">
        <x:v>Ejecuta solo alcance y autoridad vigente. No usa inversión aprobada como permiso irrestricto de trabajo/compromiso.</x:v>
      </x:c>
      <x:c r="L23" s="11" t="str">
        <x:v>Consume accepted schedule/look-ahead y reporta actuals a ciclo manual; sin CPM local ni 4D obligatoria.</x:v>
      </x:c>
      <x:c r="M23" s="11" t="str">
        <x:v>AWP paquetes/constraints/drafts reales parciales; no diario/field suite completa. CWP/IWP/TWP/TOP actuales no prueban toda jerarquía CWA/EWP/PWP deseada.</x:v>
      </x:c>
      <x:c r="N23" s="11" t="str">
        <x:v>EXTEND_EXISTING</x:v>
      </x:c>
      <x:c r="O23" s="11" t="str">
        <x:v>O3</x:v>
      </x:c>
      <x:c r="P23" s="11" t="str">
        <x:v>VERY_HIGH</x:v>
      </x:c>
      <x:c r="Q23" s="11" t="str">
        <x:v>Extender AWP y field facts con QA/HSE prerequisitos; no construir módulo aislado que posea alcance, schedule y costo.</x:v>
      </x:c>
      <x:c r="R23" s="11" t="str">
        <x:v>frontend/src/App.tsx:7332
frontend/src/api/integratedControl.ts:272
backend/tests/test_api_smoke.py:927</x:v>
      </x:c>
    </x:row>
    <x:row r="24" ht="102" customHeight="1">
      <x:c r="A24" s="11" t="str">
        <x:v>D17</x:v>
      </x:c>
      <x:c r="B24" s="11" t="str">
        <x:v>Quality Management</x:v>
      </x:c>
      <x:c r="C24" s="11" t="str">
        <x:v>DOMAIN</x:v>
      </x:c>
      <x:c r="D24" s="11" t="str">
        <x:v>Controlar ITP, inspecciones, tests, NCR/corrective actions y punch/quality dossiers para release y entrega.</x:v>
      </x:c>
      <x:c r="E24" s="11" t="str">
        <x:v>ITP
Inspection/Test
NCR/Corrective Action
Punch Item
Quality dossier/turnover reference</x:v>
      </x:c>
      <x:c r="F24" s="11" t="str">
        <x:v>Quality posee aceptación técnica QA/QC y cierre de NCR/punch; documentos/evidencias en D14 y commissioning tests específicos en D21 por referencia.</x:v>
      </x:c>
      <x:c r="G24" s="11" t="str">
        <x:v>Specifications/design revision
Field inspection requests
Test evidence y criteria
Scope/Work Package/System references</x:v>
      </x:c>
      <x:c r="H24" s="11" t="str">
        <x:v>Inspection acceptance/rejection
NCR/punch y acciones
Quality readiness/dossier para turnover</x:v>
      </x:c>
      <x:c r="I24" s="11" t="str">
        <x:v>D01, D02, D13, D14, D16</x:v>
      </x:c>
      <x:c r="J24" s="11" t="str">
        <x:v>D06, D10, D16, D21, D22, D23</x:v>
      </x:c>
      <x:c r="K24" s="11" t="str">
        <x:v>Consume estándares/requisitos autorizados; no determina readiness estratégica ni aceptación de inversión.</x:v>
      </x:c>
      <x:c r="L24" s="11" t="str">
        <x:v>Referencia hitos/hold points sin alterar fechas P6; release técnico contribuye al workfront.</x:v>
      </x:c>
      <x:c r="M24" s="11" t="str">
        <x:v>Punch List title-only; schedule/IFC quality checks no son dominio QA/QC de construcción.</x:v>
      </x:c>
      <x:c r="N24" s="11" t="str">
        <x:v>BUILD_LATER</x:v>
      </x:c>
      <x:c r="O24" s="11" t="str">
        <x:v>O3</x:v>
      </x:c>
      <x:c r="P24" s="11" t="str">
        <x:v>HIGH</x:v>
      </x:c>
      <x:c r="Q24" s="11" t="str">
        <x:v>Dominio propio por autoridad de aceptación técnica; usar contratos de calidad mínimos antes de field release.</x:v>
      </x:c>
      <x:c r="R24" s="11" t="str">
        <x:v>frontend/src/navigation/applicationNavigation.ts:660
frontend/src/App.tsx:4320</x:v>
      </x:c>
    </x:row>
    <x:row r="25" ht="102" customHeight="1">
      <x:c r="A25" s="11" t="str">
        <x:v>D18</x:v>
      </x:c>
      <x:c r="B25" s="11" t="str">
        <x:v>HSE Management</x:v>
      </x:c>
      <x:c r="C25" s="11" t="str">
        <x:v>FUTURE DOMAIN</x:v>
      </x:c>
      <x:c r="D25" s="11" t="str">
        <x:v>Definir integración/control de observaciones, incidentes, permits-to-work y acciones HSE sin afirmar cumplimiento ni sustituir sistema especializado.</x:v>
      </x:c>
      <x:c r="E25" s="11" t="str">
        <x:v>HSE observation/incident reference
Permit-to-work reference
HSE action
Leading/lagging indicator
HSE clearance evidence</x:v>
      </x:c>
      <x:c r="F25" s="11" t="str">
        <x:v>Sistema HSE autorizado —externo si existe— posee incidentes/work permits y decisión safety; P&amp;Pmis solo referencias/readiness bajo contrato explícito hasta implementación autorizada.</x:v>
      </x:c>
      <x:c r="G25" s="11" t="str">
        <x:v>Field hazard/workfront context
Risk references y safety requirements
External HSE permit/incident status</x:v>
      </x:c>
      <x:c r="H25" s="11" t="str">
        <x:v>Clearance/blocker reference para Field
Acciones/escalaciones
Indicadores con fuente/corte</x:v>
      </x:c>
      <x:c r="I25" s="11" t="str">
        <x:v>D01, D09, D14, D16</x:v>
      </x:c>
      <x:c r="J25" s="11" t="str">
        <x:v>D09, D10, D16, D21, D23</x:v>
      </x:c>
      <x:c r="K25" s="11" t="str">
        <x:v>Strategic permit/risk readiness no es permiso de trabajo ni HSE clearance vigente.</x:v>
      </x:c>
      <x:c r="L25" s="11" t="str">
        <x:v>Permits/hold points se vinculan a activities/workfront sin modificar CPM.</x:v>
      </x:c>
      <x:c r="M25" s="11" t="str">
        <x:v>No dominio HSE operacional dedicado identificado; no inferirlo de permit-readiness estratégico.</x:v>
      </x:c>
      <x:c r="N25" s="11" t="str">
        <x:v>BUILD_LATER</x:v>
      </x:c>
      <x:c r="O25" s="11" t="str">
        <x:v>O3</x:v>
      </x:c>
      <x:c r="P25" s="11" t="str">
        <x:v>HIGH</x:v>
      </x:c>
      <x:c r="Q25" s="11" t="str">
        <x:v>Frontera especializada/externa primero; contract mínimo de blocker/readiness antes de autorizar Field release.</x:v>
      </x:c>
      <x:c r="R25" s="11" t="str">
        <x:v>frontend/src/navigation/applicationNavigation.ts:377
frontend/e2e/permit-readiness.spec.ts:1</x:v>
      </x:c>
    </x:row>
    <x:row r="26" ht="117" customHeight="1">
      <x:c r="A26" s="11" t="str">
        <x:v>D19</x:v>
      </x:c>
      <x:c r="B26" s="11" t="str">
        <x:v>Project Controls &amp; Reporting</x:v>
      </x:c>
      <x:c r="C26" s="11" t="str">
        <x:v>CROSS-CUTTING CAPABILITY</x:v>
      </x:c>
      <x:c r="D26" s="11" t="str">
        <x:v>Integrar fuentes operacionales mediante período/corte, baseline bundle, reconciliación, forecast/performance y reporting sin poseer todos los datos.</x:v>
      </x:c>
      <x:c r="E26" s="11" t="str">
        <x:v>Project Control Baseline bundle
Control period/cutoff
Read model/report snapshot
KPI/EVM result
Reconciliation finding
Source lineage/refresh status</x:v>
      </x:c>
      <x:c r="F26" s="11" t="str">
        <x:v>Integración posee contratos de período, lineage y snapshots/reportes emitidos. Scope/Schedule/Cost/Progress/Change/Risk/Issue/Contract conservan sus datos y aprobaciones. Dashboards no ejecutan reglas transaccionales ocultas.</x:v>
      </x:c>
      <x:c r="G26" s="11" t="str">
        <x:v>Baselines/revisiones aprobadas de fuentes
Period progress/actuals/commitments/forecast
Quality/currentness/security context</x:v>
      </x:c>
      <x:c r="H26" s="11" t="str">
        <x:v>Performance/reporting al corte con fuentes explícitas
Reconciliación y alertas
Executive/controls/domain dashboards y export para analytics</x:v>
      </x:c>
      <x:c r="I26" s="11" t="str">
        <x:v>D01, D02, D03, D04, D05, D06, D07, D08, D09, D10, D11, D12, D16</x:v>
      </x:c>
      <x:c r="J26" s="11" t="str"/>
      <x:c r="K26" s="11" t="str">
        <x:v>Refleja baseline autorizada vs ejecución; upstream Portfolio/benefits consume reportes, nunca recibe reescritura tácita de su decisión.</x:v>
      </x:c>
      <x:c r="L26" s="11" t="str">
        <x:v>Lee versión/calendario/data date/criticality P6 importados; no calcula ni sobrescribe CPM. Power BI es consumidor futuro, no API implementada asumida.</x:v>
      </x:c>
      <x:c r="M26" s="11" t="str">
        <x:v>EVM/reconciliation/dashboard/audit/exports reales parciales; GET dashboard puede escribir KPI/cache y no debe asumirse query inocua. Falta common period y reporting history plenamente gobernado.</x:v>
      </x:c>
      <x:c r="N26" s="11" t="str">
        <x:v>CROSS_CUTTING</x:v>
      </x:c>
      <x:c r="O26" s="11" t="str">
        <x:v>O1</x:v>
      </x:c>
      <x:c r="P26" s="11" t="str">
        <x:v>VERY_HIGH</x:v>
      </x:c>
      <x:c r="Q26" s="11" t="str">
        <x:v>Project Controls es núcleo de integración pero no megadominio dueño de fuentes; separar read models de efectos laterales.</x:v>
      </x:c>
      <x:c r="R26" s="11" t="str">
        <x:v>frontend/src/App.tsx:5755
frontend/src/App.tsx:5924
frontend/src/api/integratedControl.ts:257
backend/app/api/v1/router.py:4620</x:v>
      </x:c>
    </x:row>
    <x:row r="27" ht="102" customHeight="1">
      <x:c r="A27" s="11" t="str">
        <x:v>D20</x:v>
      </x:c>
      <x:c r="B27" s="11" t="str">
        <x:v>Claims / Delay / Forensic Analysis</x:v>
      </x:c>
      <x:c r="C27" s="11" t="str">
        <x:v>SUBDOMAIN</x:v>
      </x:c>
      <x:c r="D27" s="11" t="str">
        <x:v>Especializar análisis de entitlement/causa/efecto/delay/daño y expediente contractual sin contaminar transacciones normales de control.</x:v>
      </x:c>
      <x:c r="E27" s="11" t="str">
        <x:v>Claim/Event/Notice
Entitlement item
Impact/cause-effect analysis
Forensic window/TIA reference
Concurrency/mitigation
Evidence dossier/source schedules</x:v>
      </x:c>
      <x:c r="F27" s="11" t="str">
        <x:v>Subdominio de D12 posee expediente/posición/revisión del claim; experto/autoridad contractual decide aceptación. P6/source schedules y hechos de Cost/Progress permanecen inmutables por referencia.</x:v>
      </x:c>
      <x:c r="G27" s="11" t="str">
        <x:v>Contract/notices/changes
Versiones schedule originales y hechos de período
Cost/Field records y mitigación
Documentos del expediente</x:v>
      </x:c>
      <x:c r="H27" s="11" t="str">
        <x:v>Análisis trazable y limitaciones
Claim submission/status por autoridad
Referencias a mitigación/negociación/settlement future</x:v>
      </x:c>
      <x:c r="I27" s="11" t="str">
        <x:v>D03, D04, D06, D08, D12, D14, D16</x:v>
      </x:c>
      <x:c r="J27" s="11" t="str">
        <x:v>D24</x:v>
      </x:c>
      <x:c r="K27" s="11" t="str">
        <x:v>Preserva límites comerciales/autorización upstream; no altera Funding/FID para cubrir claim.</x:v>
      </x:c>
      <x:c r="L27" s="11" t="str">
        <x:v>Forensic consume copias inmutables de XER/XML; no recalcula/substituye el CPM operacional vigente ni afirma arbitraje/entitlement automático.</x:v>
      </x:c>
      <x:c r="M27" s="11" t="str">
        <x:v>Dossier y ventanas MIP3.7 implementados parciales; no todos métodos TIA/but-for/settlement ni aceptación legal demostrados.</x:v>
      </x:c>
      <x:c r="N27" s="11" t="str">
        <x:v>MERGE_WITH_ANOTHER_DOMAIN</x:v>
      </x:c>
      <x:c r="O27" s="11" t="str">
        <x:v>O4</x:v>
      </x:c>
      <x:c r="P27" s="11" t="str">
        <x:v>VERY_HIGH</x:v>
      </x:c>
      <x:c r="Q27" s="11" t="str">
        <x:v>Conservar motores y fuente bajo Contract Administration; especialización navegable no equivale a otra autoridad de cambios/contratos.</x:v>
      </x:c>
      <x:c r="R27" s="11" t="str">
        <x:v>frontend/src/App.tsx:5192
frontend/src/App.tsx:5374
backend/tests/test_forensic_window_analysis_api.py:11</x:v>
      </x:c>
    </x:row>
    <x:row r="28" ht="102" customHeight="1">
      <x:c r="A28" s="11" t="str">
        <x:v>D21</x:v>
      </x:c>
      <x:c r="B28" s="11" t="str">
        <x:v>Commissioning</x:v>
      </x:c>
      <x:c r="C28" s="11" t="str">
        <x:v>DOMAIN</x:v>
      </x:c>
      <x:c r="D28" s="11" t="str">
        <x:v>Controlar systemization, mechanical completion, pre-commissioning, pruebas y readiness técnica de entrega de sistemas.</x:v>
      </x:c>
      <x:c r="E28" s="11" t="str">
        <x:v>System/Subsystem
Mechanical completion
Test pack/procedure/result
TWP/Turnover package reference
Punch classification
Commissioning acceptance</x:v>
      </x:c>
      <x:c r="F28" s="11" t="str">
        <x:v>Commissioning posee secuencia/prueba y aceptación de sistema; Quality mantiene NCR/inspección y documento D14 contiene evidencia; no es asset master.</x:v>
      </x:c>
      <x:c r="G28" s="11" t="str">
        <x:v>Field completion y QA dossiers
Design/system boundaries
HSE/permit clearance
Test procedures y punch status</x:v>
      </x:c>
      <x:c r="H28" s="11" t="str">
        <x:v>Sistema probado/aceptado o bloqueado
Mechanical completion/commissioning records
Turnover evidence para Handover</x:v>
      </x:c>
      <x:c r="I28" s="11" t="str">
        <x:v>D02, D13, D14, D16, D17, D18</x:v>
      </x:c>
      <x:c r="J28" s="11" t="str">
        <x:v>D22, D23</x:v>
      </x:c>
      <x:c r="K28" s="11" t="str">
        <x:v>Consume requisitos de activo autorizados; cierre técnico no decide nueva inversión.</x:v>
      </x:c>
      <x:c r="L28" s="11" t="str">
        <x:v>Commissioning milestones y secuencia se referencian a P6; tests no recalculan critical path.</x:v>
      </x:c>
      <x:c r="M28" s="11" t="str">
        <x:v>TWP/TOP en taxonomía AWP, sin lifecycle dedicado de sistemas/tests probado.</x:v>
      </x:c>
      <x:c r="N28" s="11" t="str">
        <x:v>BUILD_LATER</x:v>
      </x:c>
      <x:c r="O28" s="11" t="str">
        <x:v>O4</x:v>
      </x:c>
      <x:c r="P28" s="11" t="str">
        <x:v>VERY_HIGH</x:v>
      </x:c>
      <x:c r="Q28" s="11" t="str">
        <x:v>Separar prueba de sistema de Field completion y Handover; reutilizar dossiers y packages.</x:v>
      </x:c>
      <x:c r="R28" s="11" t="str">
        <x:v>frontend/src/App.tsx:7339
backend/tests/test_api_smoke.py:927</x:v>
      </x:c>
    </x:row>
    <x:row r="29" ht="117" customHeight="1">
      <x:c r="A29" s="11" t="str">
        <x:v>D22</x:v>
      </x:c>
      <x:c r="B29" s="11" t="str">
        <x:v>Handover</x:v>
      </x:c>
      <x:c r="C29" s="11" t="str">
        <x:v>WORKFLOW</x:v>
      </x:c>
      <x:c r="D29" s="11" t="str">
        <x:v>Orquestar aceptación de entrega/custodia de alcance completado con dossier, punch y condiciones explícitas entre emisor/receptor.</x:v>
      </x:c>
      <x:c r="E29" s="11" t="str">
        <x:v>Handover package/dossier
Acceptance/rejection/conditions
Custody/recipient reference
Outstanding punch/action
Turnover milestone</x:v>
      </x:c>
      <x:c r="F29" s="11" t="str">
        <x:v>Workflow posee acta/decisión de entrega y condiciones; D21 posee prueba técnica, D23 readiness operativa, D25 transición de datos/activos y fuentes conservan sus evidencias.</x:v>
      </x:c>
      <x:c r="G29" s="11" t="str">
        <x:v>Commissioning/quality completion
Manuals/as-built/training/spares evidence
Readiness y destinatario autorizado
Punch residual aceptado explícitamente</x:v>
      </x:c>
      <x:c r="H29" s="11" t="str">
        <x:v>Handover acceptance/conditions/rejection
Transfer reference para Asset Transition
Open obligation register para closeout</x:v>
      </x:c>
      <x:c r="I29" s="11" t="str">
        <x:v>D12, D14, D17, D21, D23</x:v>
      </x:c>
      <x:c r="J29" s="11" t="str">
        <x:v>D24, D25</x:v>
      </x:c>
      <x:c r="K29" s="11" t="str">
        <x:v>Es entrega operacional, no firma UAT estratégica ni FID; no presume aceptación humana por estado técnico.</x:v>
      </x:c>
      <x:c r="L29" s="11" t="str">
        <x:v>Handover milestone referencia schedule/contract; decisión de recepción no se infiere de activity complete.</x:v>
      </x:c>
      <x:c r="M29" s="11" t="str">
        <x:v>Referencias TOP/evidence parciales; no workflow de aceptación/custodia completo demostrado.</x:v>
      </x:c>
      <x:c r="N29" s="11" t="str">
        <x:v>BUILD_LATER</x:v>
      </x:c>
      <x:c r="O29" s="11" t="str">
        <x:v>O4</x:v>
      </x:c>
      <x:c r="P29" s="11" t="str">
        <x:v>HIGH</x:v>
      </x:c>
      <x:c r="Q29" s="11" t="str">
        <x:v>Workflow de varios dominios, no módulo fuente dueño de todo; gate configurable y sin firma ficticia.</x:v>
      </x:c>
      <x:c r="R29" s="11" t="str">
        <x:v>frontend/src/App.tsx:7339
frontend/src/App.tsx:7282</x:v>
      </x:c>
    </x:row>
    <x:row r="30" ht="117" customHeight="1">
      <x:c r="A30" s="11" t="str">
        <x:v>D23</x:v>
      </x:c>
      <x:c r="B30" s="11" t="str">
        <x:v>Operational Readiness</x:v>
      </x:c>
      <x:c r="C30" s="11" t="str">
        <x:v>WORKFLOW</x:v>
      </x:c>
      <x:c r="D30" s="11" t="str">
        <x:v>Verificar preparación real para operar el resultado/activo, distinta del setup inicial del Project Workspace.</x:v>
      </x:c>
      <x:c r="E30" s="11" t="str">
        <x:v>Operations readiness checklist/version
Training/competence evidence
O&amp;M manual/spares requirement
Operating permit/source reference
Readiness exception/acceptance</x:v>
      </x:c>
      <x:c r="F30" s="11" t="str">
        <x:v>Workflow agrega readiness pero cada área fuente conserva aprobación (operación, HSE, QA, commissioning, asset owner). Setup flags legacy no son autorización de operación.</x:v>
      </x:c>
      <x:c r="G30" s="11" t="str">
        <x:v>Commissioning/quality results según tipo
Training/manuals/spares y operating organization
Permits/HSE y operating constraints
Asset/handover requirements</x:v>
      </x:c>
      <x:c r="H30" s="11" t="str">
        <x:v>Readiness decision/conditions con fuente
Blockers/acciones y cierre verificable
Input a Handover/Asset Transition</x:v>
      </x:c>
      <x:c r="I30" s="11" t="str">
        <x:v>D01, D14, D17, D18, D21</x:v>
      </x:c>
      <x:c r="J30" s="11" t="str">
        <x:v>D22, D25</x:v>
      </x:c>
      <x:c r="K30" s="11" t="str">
        <x:v>No confundir canonical Workspace ACTIVE, FID ni strategic permit readiness con operational go-live.</x:v>
      </x:c>
      <x:c r="L30" s="11" t="str">
        <x:v>Consume readiness milestone target y aporta blockers; no cambia current dates P6 por checklist.</x:v>
      </x:c>
      <x:c r="M30" s="11" t="str">
        <x:v>Legacy operational setup gate existe, pero readiness de operaciones/activos no implementada como workflow.</x:v>
      </x:c>
      <x:c r="N30" s="11" t="str">
        <x:v>BUILD_LATER</x:v>
      </x:c>
      <x:c r="O30" s="11" t="str">
        <x:v>O4</x:v>
      </x:c>
      <x:c r="P30" s="11" t="str">
        <x:v>HIGH</x:v>
      </x:c>
      <x:c r="Q30" s="11" t="str">
        <x:v>Prevenir falsa equivalencia ready flags = operación segura; evidencia y dueño de aceptación explícitos.</x:v>
      </x:c>
      <x:c r="R30" s="11" t="str">
        <x:v>frontend/src/App.tsx:3410
frontend/src/App.tsx:4505</x:v>
      </x:c>
    </x:row>
    <x:row r="31" ht="132" customHeight="1">
      <x:c r="A31" s="11" t="str">
        <x:v>D24</x:v>
      </x:c>
      <x:c r="B31" s="11" t="str">
        <x:v>Project Closeout</x:v>
      </x:c>
      <x:c r="C31" s="11" t="str">
        <x:v>WORKFLOW</x:v>
      </x:c>
      <x:c r="D31" s="11" t="str">
        <x:v>Cerrar obligaciones comerciales/financieras/técnicas/documentales y operación del Project Workspace manteniendo identidad e historia.</x:v>
      </x:c>
      <x:c r="E31" s="11" t="str">
        <x:v>Closeout checklist/package
Contract/financial/schedule/document closure references
Lessons learned
Residual obligations
Operational closure decision</x:v>
      </x:c>
      <x:c r="F31" s="11" t="str">
        <x:v>Closeout posee agregación/checklist y decisión de cierre operacional. D12/Cost/Schedule/Docs/Claims conservan cierre de fuente; Enterprise conserva identidad y lifecycle canónico.</x:v>
      </x:c>
      <x:c r="G31" s="11" t="str">
        <x:v>Handover/asset transition completeness
Contract/financial closure y claims status
Approved final reports/source archives
Residual conditions/legal retention</x:v>
      </x:c>
      <x:c r="H31" s="11" t="str">
        <x:v>Cierre operacional autorizado con pendientes explícitos
Read-only final control/report package
Solicitud gobernada al lifecycle canónico, nunca delete automático</x:v>
      </x:c>
      <x:c r="I31" s="11" t="str">
        <x:v>D03, D04, D12, D14, D20, D22, D25</x:v>
      </x:c>
      <x:c r="J31" s="11" t="str"/>
      <x:c r="K31" s="11" t="str">
        <x:v>Devuelve reporte/evidencia a Portfolio/benefits por referencia, no reescribe BC/FID/financiación.</x:v>
      </x:c>
      <x:c r="L31" s="11" t="str">
        <x:v>Conserva final accepted schedule/version y source; no borra actividades ni recalcula baseline histórica.</x:v>
      </x:c>
      <x:c r="M31" s="11" t="str">
        <x:v>Closeout report/financial-closeout existentes parciales no equivalen a cierre integral del proyecto.</x:v>
      </x:c>
      <x:c r="N31" s="11" t="str">
        <x:v>EXTEND_EXISTING</x:v>
      </x:c>
      <x:c r="O31" s="11" t="str">
        <x:v>O4</x:v>
      </x:c>
      <x:c r="P31" s="11" t="str">
        <x:v>HIGH</x:v>
      </x:c>
      <x:c r="Q31" s="11" t="str">
        <x:v>Extender reporte/cierre financiero como componentes de workflow integral, sin otro dueño de saldos ni delete del Project.</x:v>
      </x:c>
      <x:c r="R31" s="11" t="str">
        <x:v>frontend/src/App.tsx:6197
backend/app/api/v1/router.py:1990
backend/tests/test_integrated_control.py:208</x:v>
      </x:c>
    </x:row>
    <x:row r="32" ht="117" customHeight="1">
      <x:c r="A32" s="11" t="str">
        <x:v>D25</x:v>
      </x:c>
      <x:c r="B32" s="11" t="str">
        <x:v>Asset Handover / Transition</x:v>
      </x:c>
      <x:c r="C32" s="11" t="str">
        <x:v>WORKFLOW</x:v>
      </x:c>
      <x:c r="D32" s="11" t="str">
        <x:v>Transferir datos/deliverables y responsabilidad hacia Facility/Property/asset operations por referencias canónicas y aceptación explícita.</x:v>
      </x:c>
      <x:c r="E32" s="11" t="str">
        <x:v>Asset transition package
Canonical Facility/Property/Workspace reference
Asset data/O&amp;M record reference
Recipient acceptance
Data quality/relationship mapping
Warranty/spares record reference</x:v>
      </x:c>
      <x:c r="F32" s="11" t="str">
        <x:v>Workflow posee transferencia y mapping aceptado; Facility/Property/asset owner posee destino/master de operación, no se crea otro Project ni se usa setup label como asset receipt.</x:v>
      </x:c>
      <x:c r="G32" s="11" t="str">
        <x:v>Accepted Handover
Operational readiness y asset data requirements
As-built/model/manual/warranty references
Canonical physical Workspace context</x:v>
      </x:c>
      <x:c r="H32" s="11" t="str">
        <x:v>Transfer mapping/receipt con aceptación
Open warranty/spares obligations
Links persistentes Project–Facility/Property sin duplicación</x:v>
      </x:c>
      <x:c r="I32" s="11" t="str">
        <x:v>D01, D14, D22, D23</x:v>
      </x:c>
      <x:c r="J32" s="11" t="str">
        <x:v>D24</x:v>
      </x:c>
      <x:c r="K32" s="11" t="str">
        <x:v>Identidad física reutiliza Enterprise/physical Workspaces y receptor autorizado; no nuevo asset master por conveniencia operacional.</x:v>
      </x:c>
      <x:c r="L32" s="11" t="str">
        <x:v>Vincula asset transition milestone/model refs si aplica; 4D/BIM no es asset receipt.</x:v>
      </x:c>
      <x:c r="M32" s="11" t="str">
        <x:v>Physical Workspace infrastructure real; Asset inventory/warranty/meter placeholders y Asset Creator/Receipt es label de setup legacy, no transición implementada.</x:v>
      </x:c>
      <x:c r="N32" s="11" t="str">
        <x:v>BUILD_LATER</x:v>
      </x:c>
      <x:c r="O32" s="11" t="str">
        <x:v>O4</x:v>
      </x:c>
      <x:c r="P32" s="11" t="str">
        <x:v>HIGH</x:v>
      </x:c>
      <x:c r="Q32" s="11" t="str">
        <x:v>Workflow fronterizo a Facility/Property, no convertir macroproceso operacional en mantenimiento ni duplicar identidad física.</x:v>
      </x:c>
      <x:c r="R32" s="11" t="str">
        <x:v>frontend/src/navigation/applicationNavigation.ts:354
frontend/src/navigation/applicationNavigation.ts:491
backend/tests/test_physical_workspace_creation.py:628</x:v>
      </x:c>
    </x:row>
  </x:sheetData>
  <x:pageMargins left="0.7" right="0.7" top="0.75" bottom="0.75" header="0.3" footer="0.3"/>
  <x:tableParts count="1">
    <x:tablePart xmlns:r="http://schemas.openxmlformats.org/officeDocument/2006/relationships" r:id="R79ff99d585b74fe9"/>
  </x:tableParts>
</x:worksheet>
</file>

<file path=xl/worksheets/sheet2.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s>
  <x:sheetData>
    <x:row r="1" ht="24" customHeight="1">
      <x:c r="A1" s="2"/>
      <x:c r="B1" s="2"/>
      <x:c r="C1" s="2"/>
      <x:c r="D1" s="2"/>
      <x:c r="E1" s="2"/>
      <x:c r="F1" s="2"/>
    </x:row>
    <x:row r="2" ht="24" customHeight="1">
      <x:c r="A2" s="3" t="str">
        <x:v>Flujo conceptual y checkpoints operacionales</x:v>
      </x:c>
      <x:c r="B2" s="2"/>
      <x:c r="C2" s="2"/>
      <x:c r="D2" s="2"/>
      <x:c r="E2" s="2"/>
      <x:c r="F2" s="2"/>
    </x:row>
    <x:row r="3" ht="24" customHeight="1">
      <x:c r="A3" s="4"/>
      <x:c r="B3" s="4"/>
      <x:c r="C3" s="4"/>
      <x:c r="D3" s="4"/>
      <x:c r="E3" s="4"/>
      <x:c r="F3" s="4"/>
    </x:row>
    <x:row r="4" ht="24" customHeight="1">
      <x:c r="A4" s="5" t="str">
        <x:v>Corte 19 oct 2026 · Inspección estática; propuestas no aprobadas ni desplegadas. Referencias path:line locales.</x:v>
      </x:c>
      <x:c r="B4" s="2"/>
      <x:c r="C4" s="2"/>
      <x:c r="D4" s="2"/>
      <x:c r="E4" s="2"/>
      <x:c r="F4" s="2"/>
    </x:row>
    <x:row r="5" ht="24" customHeight="1">
      <x:c r="A5" s="2"/>
      <x:c r="B5" s="2"/>
      <x:c r="C5" s="2"/>
      <x:c r="D5" s="2"/>
      <x:c r="E5" s="2"/>
      <x:c r="F5" s="2"/>
    </x:row>
    <x:row r="6" ht="24" customHeight="1">
      <x:c r="A6" s="2"/>
      <x:c r="B6" s="2"/>
      <x:c r="C6" s="2"/>
      <x:c r="D6" s="2"/>
      <x:c r="E6" s="2"/>
      <x:c r="F6" s="2"/>
    </x:row>
    <x:row r="7" ht="48" customHeight="1">
      <x:c r="A7" s="9" t="str">
        <x:v>ID</x:v>
      </x:c>
      <x:c r="B7" s="9" t="str">
        <x:v>Tipo</x:v>
      </x:c>
      <x:c r="C7" s="9" t="str">
        <x:v>Paso / checkpoint</x:v>
      </x:c>
      <x:c r="D7" s="9" t="str">
        <x:v>Dominios</x:v>
      </x:c>
      <x:c r="E7" s="9" t="str">
        <x:v>Descripción / criterios</x:v>
      </x:c>
      <x:c r="F7" s="9" t="str">
        <x:v>Límite</x:v>
      </x:c>
    </x:row>
    <x:row r="8" ht="102" customHeight="1">
      <x:c r="A8" s="11" t="str">
        <x:v>P01</x:v>
      </x:c>
      <x:c r="B8" s="11" t="str">
        <x:v>PROCESS</x:v>
      </x:c>
      <x:c r="C8" s="11" t="str">
        <x:v>Project Activated / Authorized Handoff</x:v>
      </x:c>
      <x:c r="D8" s="11" t="str">
        <x:v>D01</x:v>
      </x:c>
      <x:c r="E8" s="11" t="str">
        <x:v>Validar canonical Workspace, tenant, memberships, governance route y currentness; CAPITAL_OWNER cumple FID/Post-FID cuando corresponde. Rutas Contractor/Direct legítimas no fuerzan owner-only.</x:v>
      </x:c>
      <x:c r="F8" s="11" t="str">
        <x:v>Orden conceptual condicionado; ramas/iteraciones no son prerequisitos universales de todos los Project Types.</x:v>
      </x:c>
    </x:row>
    <x:row r="9" ht="72" customHeight="1">
      <x:c r="A9" s="11" t="str">
        <x:v>P02</x:v>
      </x:c>
      <x:c r="B9" s="11" t="str">
        <x:v>PROCESS</x:v>
      </x:c>
      <x:c r="C9" s="11" t="str">
        <x:v>Operational Setup</x:v>
      </x:c>
      <x:c r="D9" s="11" t="str">
        <x:v>D01, D14</x:v>
      </x:c>
      <x:c r="E9" s="11" t="str">
        <x:v>Aplicar perfil publicado, evidence contracts, período y binding explícito legacy cuando exista; no inferir igualdad de IDs.</x:v>
      </x:c>
      <x:c r="F9" s="11" t="str">
        <x:v>Orden conceptual condicionado; ramas/iteraciones no son prerequisitos universales de todos los Project Types.</x:v>
      </x:c>
    </x:row>
    <x:row r="10" ht="72" customHeight="1">
      <x:c r="A10" s="11" t="str">
        <x:v>P03</x:v>
      </x:c>
      <x:c r="B10" s="11" t="str">
        <x:v>PROCESS</x:v>
      </x:c>
      <x:c r="C10" s="11" t="str">
        <x:v>Control Baselines</x:v>
      </x:c>
      <x:c r="D10" s="11" t="str">
        <x:v>D02, D03, D04, D05, D19</x:v>
      </x:c>
      <x:c r="E10" s="11" t="str">
        <x:v>Aprobar alcance/schedule/costo y recursos si aplica; baseline bundle referencia versiones fuente congeladas.</x:v>
      </x:c>
      <x:c r="F10" s="11" t="str">
        <x:v>Orden conceptual condicionado; ramas/iteraciones no son prerequisitos universales de todos los Project Types.</x:v>
      </x:c>
    </x:row>
    <x:row r="11" ht="87" customHeight="1">
      <x:c r="A11" s="11" t="str">
        <x:v>P04</x:v>
      </x:c>
      <x:c r="B11" s="11" t="str">
        <x:v>PROCESS</x:v>
      </x:c>
      <x:c r="C11" s="11" t="str">
        <x:v>Execution Planning / Look-Ahead</x:v>
      </x:c>
      <x:c r="D11" s="11" t="str">
        <x:v>D02, D03, D09, D10, D15, D16</x:v>
      </x:c>
      <x:c r="E11" s="11" t="str">
        <x:v>Preparar horizonte configurable (objetivo inicial 4 semanas), paquetes/workfronts y readiness de recursos/materiales/ingeniería/permisos.</x:v>
      </x:c>
      <x:c r="F11" s="11" t="str">
        <x:v>Orden conceptual condicionado; ramas/iteraciones no son prerequisitos universales de todos los Project Types.</x:v>
      </x:c>
    </x:row>
    <x:row r="12" ht="72" customHeight="1">
      <x:c r="A12" s="11" t="str">
        <x:v>P05</x:v>
      </x:c>
      <x:c r="B12" s="11" t="str">
        <x:v>PROCESS</x:v>
      </x:c>
      <x:c r="C12" s="11" t="str">
        <x:v>Engineering / Procurement / Contract Administration</x:v>
      </x:c>
      <x:c r="D12" s="11" t="str">
        <x:v>D11, D12, D13, D14, D15</x:v>
      </x:c>
      <x:c r="E12" s="11" t="str">
        <x:v>Ramas paralelas solo donde apliquen; award recommendation no genera obligación ni habilita pagos.</x:v>
      </x:c>
      <x:c r="F12" s="11" t="str">
        <x:v>Orden conceptual condicionado; ramas/iteraciones no son prerequisitos universales de todos los Project Types.</x:v>
      </x:c>
    </x:row>
    <x:row r="13" ht="72" customHeight="1">
      <x:c r="A13" s="11" t="str">
        <x:v>P06</x:v>
      </x:c>
      <x:c r="B13" s="11" t="str">
        <x:v>PROCESS</x:v>
      </x:c>
      <x:c r="C13" s="11" t="str">
        <x:v>Construction / Field Execution</x:v>
      </x:c>
      <x:c r="D13" s="11" t="str">
        <x:v>D16, D17, D18</x:v>
      </x:c>
      <x:c r="E13" s="11" t="str">
        <x:v>Release de workfront con constraints, QA/HSE fuente y autoridad vigente; diario/hechos de campo verificables.</x:v>
      </x:c>
      <x:c r="F13" s="11" t="str">
        <x:v>Orden conceptual condicionado; ramas/iteraciones no son prerequisitos universales de todos los Project Types.</x:v>
      </x:c>
    </x:row>
    <x:row r="14" ht="72" customHeight="1">
      <x:c r="A14" s="11" t="str">
        <x:v>P07</x:v>
      </x:c>
      <x:c r="B14" s="11" t="str">
        <x:v>PROCESS</x:v>
      </x:c>
      <x:c r="C14" s="11" t="str">
        <x:v>Progress Capture &amp; Approval</x:v>
      </x:c>
      <x:c r="D14" s="11" t="str">
        <x:v>D05, D06, D14, D17</x:v>
      </x:c>
      <x:c r="E14" s="11" t="str">
        <x:v>Capturar cantidades/horas/milestones con método; revisión/aprobación y freeze de período sin mezclar porcentajes.</x:v>
      </x:c>
      <x:c r="F14" s="11" t="str">
        <x:v>Orden conceptual condicionado; ramas/iteraciones no son prerequisitos universales de todos los Project Types.</x:v>
      </x:c>
    </x:row>
    <x:row r="15" ht="72" customHeight="1">
      <x:c r="A15" s="11" t="str">
        <x:v>P08</x:v>
      </x:c>
      <x:c r="B15" s="11" t="str">
        <x:v>PROCESS</x:v>
      </x:c>
      <x:c r="C15" s="11" t="str">
        <x:v>Cost / Schedule / Resource Update</x:v>
      </x:c>
      <x:c r="D15" s="11" t="str">
        <x:v>D03, D04, D05</x:v>
      </x:c>
      <x:c r="E15" s="11" t="str">
        <x:v>Actualizar fuentes por sus dueños; P6 calcula CPM en intercambio manual externo; deduplicar commitment/actual y preservar corte.</x:v>
      </x:c>
      <x:c r="F15" s="11" t="str">
        <x:v>Orden conceptual condicionado; ramas/iteraciones no son prerequisitos universales de todos los Project Types.</x:v>
      </x:c>
    </x:row>
    <x:row r="16" ht="72" customHeight="1">
      <x:c r="A16" s="11" t="str">
        <x:v>P09</x:v>
      </x:c>
      <x:c r="B16" s="11" t="str">
        <x:v>PROCESS</x:v>
      </x:c>
      <x:c r="C16" s="11" t="str">
        <x:v>Change / Risk / Issue Review</x:v>
      </x:c>
      <x:c r="D16" s="11" t="str">
        <x:v>D08, D09, D10, D15</x:v>
      </x:c>
      <x:c r="E16" s="11" t="str">
        <x:v>Evaluar y escalar; cambios aprobados generan solicitudes explícitas a source owners, no rewrite de baseline histórico.</x:v>
      </x:c>
      <x:c r="F16" s="11" t="str">
        <x:v>Orden conceptual condicionado; ramas/iteraciones no son prerequisitos universales de todos los Project Types.</x:v>
      </x:c>
    </x:row>
    <x:row r="17" ht="72" customHeight="1">
      <x:c r="A17" s="11" t="str">
        <x:v>P10</x:v>
      </x:c>
      <x:c r="B17" s="11" t="str">
        <x:v>PROCESS</x:v>
      </x:c>
      <x:c r="C17" s="11" t="str">
        <x:v>Forecast / ETC / EAC</x:v>
      </x:c>
      <x:c r="D17" s="11" t="str">
        <x:v>D07</x:v>
      </x:c>
      <x:c r="E17" s="11" t="str">
        <x:v>Preparar y aprobar pronóstico con supuestos/método/corte y riesgos; no modifica FIN/Funding estratégico.</x:v>
      </x:c>
      <x:c r="F17" s="11" t="str">
        <x:v>Orden conceptual condicionado; ramas/iteraciones no son prerequisitos universales de todos los Project Types.</x:v>
      </x:c>
    </x:row>
    <x:row r="18" ht="72" customHeight="1">
      <x:c r="A18" s="11" t="str">
        <x:v>P11</x:v>
      </x:c>
      <x:c r="B18" s="11" t="str">
        <x:v>PROCESS</x:v>
      </x:c>
      <x:c r="C18" s="11" t="str">
        <x:v>Performance / Reporting</x:v>
      </x:c>
      <x:c r="D18" s="11" t="str">
        <x:v>D19</x:v>
      </x:c>
      <x:c r="E18" s="11" t="str">
        <x:v>Conciliar período, emitir snapshot con lineage/currentness y controlar distribución; dashboards no son command authority.</x:v>
      </x:c>
      <x:c r="F18" s="11" t="str">
        <x:v>Orden conceptual condicionado; ramas/iteraciones no son prerequisitos universales de todos los Project Types.</x:v>
      </x:c>
    </x:row>
    <x:row r="19" ht="87" customHeight="1">
      <x:c r="A19" s="11" t="str">
        <x:v>P12</x:v>
      </x:c>
      <x:c r="B19" s="11" t="str">
        <x:v>PROCESS</x:v>
      </x:c>
      <x:c r="C19" s="11" t="str">
        <x:v>Commissioning / Operational Readiness</x:v>
      </x:c>
      <x:c r="D19" s="11" t="str">
        <x:v>D17, D18, D21, D23</x:v>
      </x:c>
      <x:c r="E19" s="11" t="str">
        <x:v>Solo si el producto requiere sistemas/operación: mechanical completion, tests, formación/manuales/spares/permits y excepciones explícitas.</x:v>
      </x:c>
      <x:c r="F19" s="11" t="str">
        <x:v>Orden conceptual condicionado; ramas/iteraciones no son prerequisitos universales de todos los Project Types.</x:v>
      </x:c>
    </x:row>
    <x:row r="20" ht="72" customHeight="1">
      <x:c r="A20" s="11" t="str">
        <x:v>P13</x:v>
      </x:c>
      <x:c r="B20" s="11" t="str">
        <x:v>PROCESS</x:v>
      </x:c>
      <x:c r="C20" s="11" t="str">
        <x:v>Handover / Asset Transition</x:v>
      </x:c>
      <x:c r="D20" s="11" t="str">
        <x:v>D22, D25</x:v>
      </x:c>
      <x:c r="E20" s="11" t="str">
        <x:v>Aceptación explícita del receptor, punch/condiciones y transferencia de datos a identidad física existente según alcance.</x:v>
      </x:c>
      <x:c r="F20" s="11" t="str">
        <x:v>Orden conceptual condicionado; ramas/iteraciones no son prerequisitos universales de todos los Project Types.</x:v>
      </x:c>
    </x:row>
    <x:row r="21" ht="72" customHeight="1">
      <x:c r="A21" s="11" t="str">
        <x:v>P14</x:v>
      </x:c>
      <x:c r="B21" s="11" t="str">
        <x:v>PROCESS</x:v>
      </x:c>
      <x:c r="C21" s="11" t="str">
        <x:v>Project Closeout</x:v>
      </x:c>
      <x:c r="D21" s="11" t="str">
        <x:v>D12, D20, D24</x:v>
      </x:c>
      <x:c r="E21" s="11" t="str">
        <x:v>Cerrar fuentes comerciales/financieras/schedule/documentos y claims; preservar Project Workspace e historia, no delete automático.</x:v>
      </x:c>
      <x:c r="F21" s="11" t="str">
        <x:v>Orden conceptual condicionado; ramas/iteraciones no son prerequisitos universales de todos los Project Types.</x:v>
      </x:c>
    </x:row>
    <x:row r="22" ht="147" customHeight="1">
      <x:c r="A22" s="11" t="str">
        <x:v>G-O1</x:v>
      </x:c>
      <x:c r="B22" s="11" t="str">
        <x:v>CHECKPOINT</x:v>
      </x:c>
      <x:c r="C22" s="11" t="str">
        <x:v>Baseline Approved</x:v>
      </x:c>
      <x:c r="D22" s="11" t="str">
        <x:v>D01, D02, D03, D04, D19</x:v>
      </x:c>
      <x:c r="E22" s="11" t="str">
        <x:v>Entrada: Contexto/autoridad/binding y fuentes verificadas
Scope/Schedule/Cost candidates con data date/cutoff
Salida: Aprobación independiente por cada dueño de baseline
Bundle con hashes/versiones/códigos mapeados y pendientes no ocultos</x:v>
      </x:c>
      <x:c r="F22" s="11" t="str">
        <x:v>No es Investment Gate. Bloquea: Falta identidad/membresía/autorización válida
Fuente baseline inválida/no aprobada o mappings incoherentes</x:v>
      </x:c>
    </x:row>
    <x:row r="23" ht="132" customHeight="1">
      <x:c r="A23" s="11" t="str">
        <x:v>G-O2</x:v>
      </x:c>
      <x:c r="B23" s="11" t="str">
        <x:v>CHECKPOINT</x:v>
      </x:c>
      <x:c r="C23" s="11" t="str">
        <x:v>Ready to Execute</x:v>
      </x:c>
      <x:c r="D23" s="11" t="str">
        <x:v>D01, D02, D03, D04, D08, D12, D14, D19</x:v>
      </x:c>
      <x:c r="E23" s="11" t="str">
        <x:v>Entrada: Baseline aprobada y plan de ejecución contextual
Contratos/autoridades requeridos y conditions actuales consultados
Salida: Plan y recursos/evidencias mínimos aprobados
Alcance de ejecución autorizado y excepciones explícitas</x:v>
      </x:c>
      <x:c r="F23" s="11" t="str">
        <x:v>No es Investment Gate. Bloquea: Activación usada como permiso irrestricto de contratar
Condición upstream de ejecución/compromiso no resuelta por su dueño</x:v>
      </x:c>
    </x:row>
    <x:row r="24" ht="147" customHeight="1">
      <x:c r="A24" s="11" t="str">
        <x:v>G-O3</x:v>
      </x:c>
      <x:c r="B24" s="11" t="str">
        <x:v>CHECKPOINT</x:v>
      </x:c>
      <x:c r="C24" s="11" t="str">
        <x:v>Workfront Ready</x:v>
      </x:c>
      <x:c r="D24" s="11" t="str">
        <x:v>D02, D03, D11, D13, D15, D16, D17, D18</x:v>
      </x:c>
      <x:c r="E24" s="11" t="str">
        <x:v>Entrada: Paquete/área y activities referenciados
Información/materiales/recursos/QA/HSE identificados
Salida: Liberación explícita de workfront y constraints bloqueantes cerradas
Plan look-ahead y permisos fuente vigentes</x:v>
      </x:c>
      <x:c r="F24" s="11" t="str">
        <x:v>No es Investment Gate. Bloquea: Permiso de trabajo/QA/material/diseño pendiente bloqueante
Constraint cerrado sin evidencia o aprobación fuente</x:v>
      </x:c>
    </x:row>
    <x:row r="25" ht="132" customHeight="1">
      <x:c r="A25" s="11" t="str">
        <x:v>G-O4</x:v>
      </x:c>
      <x:c r="B25" s="11" t="str">
        <x:v>CHECKPOINT</x:v>
      </x:c>
      <x:c r="C25" s="11" t="str">
        <x:v>Ready for Commissioning</x:v>
      </x:c>
      <x:c r="D25" s="11" t="str">
        <x:v>D14, D16, D17, D18, D21</x:v>
      </x:c>
      <x:c r="E25" s="11" t="str">
        <x:v>Entrada: Systemization y mechanical-completion scope definidos
QA dossier/punch y procedimiento de test
Salida: Completion/readiness técnica y safety clearance aprobados
Personal/procedimientos/evidencia de pruebas preparados</x:v>
      </x:c>
      <x:c r="F25" s="11" t="str">
        <x:v>No es Investment Gate. Bloquea: Punch bloqueante, test procedure no aprobado o clearance safety ausente</x:v>
      </x:c>
    </x:row>
    <x:row r="26" ht="132" customHeight="1">
      <x:c r="A26" s="11" t="str">
        <x:v>G-O5</x:v>
      </x:c>
      <x:c r="B26" s="11" t="str">
        <x:v>CHECKPOINT</x:v>
      </x:c>
      <x:c r="C26" s="11" t="str">
        <x:v>Ready for Handover</x:v>
      </x:c>
      <x:c r="D26" s="11" t="str">
        <x:v>D14, D17, D21, D22, D23, D25</x:v>
      </x:c>
      <x:c r="E26" s="11" t="str">
        <x:v>Entrada: Dossier/test/readiness y receptor definidos
Manuals/as-built/training/spares según contrato
Salida: Receptor acepta o enumera condiciones autorizadas
Punch residual y custodia/datos transferidos con referencia</x:v>
      </x:c>
      <x:c r="F26" s="11" t="str">
        <x:v>No es Investment Gate. Bloquea: Aceptación inferida de completion técnica
Readiness requerida o datos contratados faltantes sin condición autorizada</x:v>
      </x:c>
    </x:row>
    <x:row r="27" ht="147" customHeight="1">
      <x:c r="A27" s="11" t="str">
        <x:v>G-O6</x:v>
      </x:c>
      <x:c r="B27" s="11" t="str">
        <x:v>CHECKPOINT</x:v>
      </x:c>
      <x:c r="C27" s="11" t="str">
        <x:v>Project Closeout Ready</x:v>
      </x:c>
      <x:c r="D27" s="11" t="str">
        <x:v>D03, D04, D12, D14, D20, D22, D24, D25</x:v>
      </x:c>
      <x:c r="E27" s="11" t="str">
        <x:v>Entrada: Cierres fuente y residual obligations conciliados
Entrega aceptada donde aplique y registros finales
Salida: Cierre operacional aprobado y fuentes preservadas
Pendientes/claims/retention tratados explícitamente sin borrar identidad</x:v>
      </x:c>
      <x:c r="F27" s="11" t="str">
        <x:v>No es Investment Gate. Bloquea: Obligación legal/financiera/claim abierta no permitida
Evidencia retenida inaccesible o cierre pretendido por delete/archive</x:v>
      </x:c>
    </x:row>
  </x:sheetData>
  <x:pageMargins left="0.7" right="0.7" top="0.75" bottom="0.75" header="0.3" footer="0.3"/>
  <x:tableParts count="1">
    <x:tablePart xmlns:r="http://schemas.openxmlformats.org/officeDocument/2006/relationships" r:id="Rf77d7e50f77f4329"/>
  </x:tableParts>
</x:worksheet>
</file>

<file path=xl/worksheets/sheet3.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s>
  <x:sheetData>
    <x:row r="1" ht="24" customHeight="1">
      <x:c r="A1" s="2"/>
      <x:c r="B1" s="2"/>
      <x:c r="C1" s="2"/>
      <x:c r="D1" s="2"/>
      <x:c r="E1" s="2"/>
      <x:c r="F1" s="2"/>
    </x:row>
    <x:row r="2" ht="24" customHeight="1">
      <x:c r="A2" s="3" t="str">
        <x:v>ADMIN configura/publica · USER ejecuta · consultas compartidas</x:v>
      </x:c>
      <x:c r="B2" s="2"/>
      <x:c r="C2" s="2"/>
      <x:c r="D2" s="2"/>
      <x:c r="E2" s="2"/>
      <x:c r="F2" s="2"/>
    </x:row>
    <x:row r="3" ht="24" customHeight="1">
      <x:c r="A3" s="4"/>
      <x:c r="B3" s="4"/>
      <x:c r="C3" s="4"/>
      <x:c r="D3" s="4"/>
      <x:c r="E3" s="4"/>
      <x:c r="F3" s="4"/>
    </x:row>
    <x:row r="4" ht="24" customHeight="1">
      <x:c r="A4" s="5" t="str">
        <x:v>Corte 19 oct 2026 · Inspección estática; propuestas no aprobadas ni desplegadas. Referencias path:line locales.</x:v>
      </x:c>
      <x:c r="B4" s="2"/>
      <x:c r="C4" s="2"/>
      <x:c r="D4" s="2"/>
      <x:c r="E4" s="2"/>
      <x:c r="F4" s="2"/>
    </x:row>
    <x:row r="5" ht="24" customHeight="1">
      <x:c r="A5" s="2"/>
      <x:c r="B5" s="2"/>
      <x:c r="C5" s="2"/>
      <x:c r="D5" s="2"/>
      <x:c r="E5" s="2"/>
      <x:c r="F5" s="2"/>
    </x:row>
    <x:row r="6" ht="24" customHeight="1">
      <x:c r="A6" s="2"/>
      <x:c r="B6" s="2"/>
      <x:c r="C6" s="2"/>
      <x:c r="D6" s="2"/>
      <x:c r="E6" s="2"/>
      <x:c r="F6" s="2"/>
    </x:row>
    <x:row r="7" ht="48" customHeight="1">
      <x:c r="A7" s="9" t="str">
        <x:v>ID</x:v>
      </x:c>
      <x:c r="B7" s="9" t="str">
        <x:v>Capacidad</x:v>
      </x:c>
      <x:c r="C7" s="9" t="str">
        <x:v>ADMIN MODE</x:v>
      </x:c>
      <x:c r="D7" s="9" t="str">
        <x:v>USER MODE</x:v>
      </x:c>
      <x:c r="E7" s="9" t="str">
        <x:v>Compartido lectura</x:v>
      </x:c>
      <x:c r="F7" s="9" t="str">
        <x:v>Regla de SoD</x:v>
      </x:c>
    </x:row>
    <x:row r="8" ht="87" customHeight="1">
      <x:c r="A8" s="11" t="str">
        <x:v>D01</x:v>
      </x:c>
      <x:c r="B8" s="11" t="str">
        <x:v>Project Governance &amp; Operational Setup</x:v>
      </x:c>
      <x:c r="C8" s="11" t="str">
        <x:v>Publicar plantillas por Project Type y governance model
Configurar roles/SoD, períodos, estados y prerequisitos de onboarding</x:v>
      </x:c>
      <x:c r="D8" s="11" t="str">
        <x:v>Solicitar/aplicar setup al Project Workspace autorizado
Completar validaciones y resolver faltantes sin alterar FID ni identidad</x:v>
      </x:c>
      <x:c r="E8" s="11" t="str">
        <x:v>Identidad, autorización y condiciones aguas arriba
Estado de setup y trazabilidad de binding</x:v>
      </x:c>
      <x:c r="F8" s="11" t="str">
        <x:v>RBAC tenant/Workspace; preparar no autoriza autoaprobar baseline/progress/change/forecast/award/claim/closeout material.</x:v>
      </x:c>
    </x:row>
    <x:row r="9" ht="87" customHeight="1">
      <x:c r="A9" s="11" t="str">
        <x:v>D02</x:v>
      </x:c>
      <x:c r="B9" s="11" t="str">
        <x:v>Scope Management</x:v>
      </x:c>
      <x:c r="C9" s="11" t="str">
        <x:v>Publicar reglas de medición/unidades y clasificación
Definir aprobación de baseline/revisión y tipología de paquetes AWP opcional</x:v>
      </x:c>
      <x:c r="D9" s="11" t="str">
        <x:v>Importar/revisar cantidades y asignar códigos/APU
Proponer baseline y revisiones
Mantener referencias de entregables/paquetes</x:v>
      </x:c>
      <x:c r="E9" s="11" t="str">
        <x:v>Baseline aprobada
Historial de mediciones/modelos y mappings</x:v>
      </x:c>
      <x:c r="F9" s="11" t="str">
        <x:v>RBAC tenant/Workspace; preparar no autoriza autoaprobar baseline/progress/change/forecast/award/claim/closeout material.</x:v>
      </x:c>
    </x:row>
    <x:row r="10" ht="87" customHeight="1">
      <x:c r="A10" s="11" t="str">
        <x:v>D03</x:v>
      </x:c>
      <x:c r="B10" s="11" t="str">
        <x:v>Schedule Management</x:v>
      </x:c>
      <x:c r="C10" s="11" t="str">
        <x:v>Configurar perfiles de importación, calendarios/códigos y gates
Definir autoridad de baseline/update, cutoff y horizonte look-ahead (objetivo inicial 4 semanas)</x:v>
      </x:c>
      <x:c r="D10" s="11" t="str">
        <x:v>Importar/revisar/aceptar versión
Preparar paquete de intercambio manual
Analizar variaciones y restricciones sin editar CPM de origen</x:v>
      </x:c>
      <x:c r="E10" s="11" t="str">
        <x:v>Versiones y baseline históricas
Criticality/float importados con su corte
Informe de calidad y reconciliación</x:v>
      </x:c>
      <x:c r="F10" s="11" t="str">
        <x:v>RBAC tenant/Workspace; preparar no autoriza autoaprobar baseline/progress/change/forecast/award/claim/closeout material.</x:v>
      </x:c>
    </x:row>
    <x:row r="11" ht="102" customHeight="1">
      <x:c r="A11" s="11" t="str">
        <x:v>D04</x:v>
      </x:c>
      <x:c r="B11" s="11" t="str">
        <x:v>Cost Management</x:v>
      </x:c>
      <x:c r="C11" s="11" t="str">
        <x:v>Publicar CBS/cost-code mappings y política de accrual/cutoff
Configurar autoridad de presupuesto, reserve/contingency y deduplicación económica</x:v>
      </x:c>
      <x:c r="D11" s="11" t="str">
        <x:v>Preparar/revisar presupuesto/costos y conciliar período
Referenciar compromisos/certificación
Cerrar corte con aprobación y sin pagar/contabilizar</x:v>
      </x:c>
      <x:c r="E11" s="11" t="str">
        <x:v>Baseline y revisiones de presupuesto
Compromisos/costos y conciliación con lineage</x:v>
      </x:c>
      <x:c r="F11" s="11" t="str">
        <x:v>RBAC tenant/Workspace; preparar no autoriza autoaprobar baseline/progress/change/forecast/award/claim/closeout material.</x:v>
      </x:c>
    </x:row>
    <x:row r="12" ht="72" customHeight="1">
      <x:c r="A12" s="11" t="str">
        <x:v>D05</x:v>
      </x:c>
      <x:c r="B12" s="11" t="str">
        <x:v>Resource &amp; Productivity Management</x:v>
      </x:c>
      <x:c r="C12" s="11" t="str">
        <x:v>Publicar categorías, tarifas, unidades y reglas de productividad
Definir aprobación y fuentes de horas/equipo</x:v>
      </x:c>
      <x:c r="D12" s="11" t="str">
        <x:v>Asignar recursos y revisar horas
Conciliar cantidades/horas sin confundir producción con porcentaje EVM</x:v>
      </x:c>
      <x:c r="E12" s="11" t="str">
        <x:v>Catálogo/tarifa vigente e historial
Curvas y observaciones verificadas</x:v>
      </x:c>
      <x:c r="F12" s="11" t="str">
        <x:v>RBAC tenant/Workspace; preparar no autoriza autoaprobar baseline/progress/change/forecast/award/claim/closeout material.</x:v>
      </x:c>
    </x:row>
    <x:row r="13" ht="72" customHeight="1">
      <x:c r="A13" s="11" t="str">
        <x:v>D06</x:v>
      </x:c>
      <x:c r="B13" s="11" t="str">
        <x:v>Progress Management</x:v>
      </x:c>
      <x:c r="C13" s="11" t="str">
        <x:v>Publicar métodos/pesos y reglas de validación
Definir capture-review-approve y cierre/reapertura de período</x:v>
      </x:c>
      <x:c r="D13" s="11" t="str">
        <x:v>Capturar/revisar/aprobar medición
Conciliar período/acumulado y corregir mediante sucesor</x:v>
      </x:c>
      <x:c r="E13" s="11" t="str">
        <x:v>Medición fuente y aprobación
Progreso por método y corte, no porcentaje ambiguo</x:v>
      </x:c>
      <x:c r="F13" s="11" t="str">
        <x:v>RBAC tenant/Workspace; preparar no autoriza autoaprobar baseline/progress/change/forecast/award/claim/closeout material.</x:v>
      </x:c>
    </x:row>
    <x:row r="14" ht="87" customHeight="1">
      <x:c r="A14" s="11" t="str">
        <x:v>D07</x:v>
      </x:c>
      <x:c r="B14" s="11" t="str">
        <x:v>Forecast / ETC / EAC</x:v>
      </x:c>
      <x:c r="C14" s="11" t="str">
        <x:v>Publicar métodos ETC/EAC y autoridad de aprobación
Configurar períodos, tratamiento de riesgos y supuestos obligatorios</x:v>
      </x:c>
      <x:c r="D14" s="11" t="str">
        <x:v>Preparar/explicar/desafiar/aprobar forecast
Registrar diferencias respecto a corte previo</x:v>
      </x:c>
      <x:c r="E14" s="11" t="str">
        <x:v>Forecast actual e historia
Método, supuestos y contribuciones de fuentes</x:v>
      </x:c>
      <x:c r="F14" s="11" t="str">
        <x:v>RBAC tenant/Workspace; preparar no autoriza autoaprobar baseline/progress/change/forecast/award/claim/closeout material.</x:v>
      </x:c>
    </x:row>
    <x:row r="15" ht="87" customHeight="1">
      <x:c r="A15" s="11" t="str">
        <x:v>D08</x:v>
      </x:c>
      <x:c r="B15" s="11" t="str">
        <x:v>Change Management</x:v>
      </x:c>
      <x:c r="C15" s="11" t="str">
        <x:v>Publicar tipos, thresholds, authority/SoD y estados
Definir revisión de impacto y aprobación por ámbito</x:v>
      </x:c>
      <x:c r="D15" s="11" t="str">
        <x:v>Registrar cambio, evaluar impacto y someter decisión
Aprobar/rechazar según autoridad
Verificar implementación en fuentes</x:v>
      </x:c>
      <x:c r="E15" s="11" t="str">
        <x:v>Change log y assessment
Autorización y evidencia de implementación</x:v>
      </x:c>
      <x:c r="F15" s="11" t="str">
        <x:v>RBAC tenant/Workspace; preparar no autoriza autoaprobar baseline/progress/change/forecast/award/claim/closeout material.</x:v>
      </x:c>
    </x:row>
    <x:row r="16" ht="72" customHeight="1">
      <x:c r="A16" s="11" t="str">
        <x:v>D09</x:v>
      </x:c>
      <x:c r="B16" s="11" t="str">
        <x:v>Risk Management</x:v>
      </x:c>
      <x:c r="C16" s="11" t="str">
        <x:v>Publicar taxonomía/escalas/apetito operacional y autoridad
Definir respuesta/residual/fecha de revisión</x:v>
      </x:c>
      <x:c r="D16" s="11" t="str">
        <x:v>Registrar/evaluar/tratar/escalar riesgo
Revisar exposición y registrar realización como Issue</x:v>
      </x:c>
      <x:c r="E16" s="11" t="str">
        <x:v>Registro/revisión vigente e historial
Evidencia upstream solo referenciada</x:v>
      </x:c>
      <x:c r="F16" s="11" t="str">
        <x:v>RBAC tenant/Workspace; preparar no autoriza autoaprobar baseline/progress/change/forecast/award/claim/closeout material.</x:v>
      </x:c>
    </x:row>
    <x:row r="17" ht="72" customHeight="1">
      <x:c r="A17" s="11" t="str">
        <x:v>D10</x:v>
      </x:c>
      <x:c r="B17" s="11" t="str">
        <x:v>Issue Management</x:v>
      </x:c>
      <x:c r="C17" s="11" t="str">
        <x:v>Publicar categorías, prioridades, SLA y escalación
Definir cierre/SoD y vínculos obligatorios</x:v>
      </x:c>
      <x:c r="D17" s="11" t="str">
        <x:v>Registrar/asignar/actualizar/escalar/cerrar Issue
Vincular fuente sin duplicar su aprobación</x:v>
      </x:c>
      <x:c r="E17" s="11" t="str">
        <x:v>Issue/action log
Estado/responsable/fecha y evidencia</x:v>
      </x:c>
      <x:c r="F17" s="11" t="str">
        <x:v>RBAC tenant/Workspace; preparar no autoriza autoaprobar baseline/progress/change/forecast/award/claim/closeout material.</x:v>
      </x:c>
    </x:row>
    <x:row r="18" ht="102" customHeight="1">
      <x:c r="A18" s="11" t="str">
        <x:v>D11</x:v>
      </x:c>
      <x:c r="B18" s="11" t="str">
        <x:v>Procurement Management</x:v>
      </x:c>
      <x:c r="C18" s="11" t="str">
        <x:v>Publicar métodos/pesos/scoring y SoD de evaluación/adjudicación
Configurar vendor qualification y thresholds</x:v>
      </x:c>
      <x:c r="D18" s="11" t="str">
        <x:v>Preparar paquete/RFQ y registrar bids
Evaluar/justificar selección y someter recomendación
No crear compromiso por score automático</x:v>
      </x:c>
      <x:c r="E18" s="11" t="str">
        <x:v>Estado sourcing y documentos
Evaluación/aprobación y contrato vinculado</x:v>
      </x:c>
      <x:c r="F18" s="11" t="str">
        <x:v>RBAC tenant/Workspace; preparar no autoriza autoaprobar baseline/progress/change/forecast/award/claim/closeout material.</x:v>
      </x:c>
    </x:row>
    <x:row r="19" ht="102" customHeight="1">
      <x:c r="A19" s="11" t="str">
        <x:v>D12</x:v>
      </x:c>
      <x:c r="B19" s="11" t="str">
        <x:v>Commitments / Contract Administration</x:v>
      </x:c>
      <x:c r="C19" s="11" t="str">
        <x:v>Publicar tipos/dirección contractual y autoridad SoD
Configurar call-off/included-versus-additive PO, economic-origin netting y retención</x:v>
      </x:c>
      <x:c r="D19" s="11" t="str">
        <x:v>Registrar/revisar contrato/PO y SOV
Emitir notices/variaciones y certificar según autoridad
Cerrar obligación sin ejecutar pagos</x:v>
      </x:c>
      <x:c r="E19" s="11" t="str">
        <x:v>Valor/historia/obligación contractual
Cadenas Contract–PO–certificate–receipt con deduplicación</x:v>
      </x:c>
      <x:c r="F19" s="11" t="str">
        <x:v>RBAC tenant/Workspace; preparar no autoriza autoaprobar baseline/progress/change/forecast/award/claim/closeout material.</x:v>
      </x:c>
    </x:row>
    <x:row r="20" ht="72" customHeight="1">
      <x:c r="A20" s="11" t="str">
        <x:v>D13</x:v>
      </x:c>
      <x:c r="B20" s="11" t="str">
        <x:v>Engineering &amp; Design Management</x:v>
      </x:c>
      <x:c r="C20" s="11" t="str">
        <x:v>Publicar disciplinas, status y revisión/approval matrices
Definir IFA/IFC equivalentes y authority de liberación</x:v>
      </x:c>
      <x:c r="D20" s="11" t="str">
        <x:v>Planificar/revisar/liberar entregables
Responder queries y proponer cambios técnicos</x:v>
      </x:c>
      <x:c r="E20" s="11" t="str">
        <x:v>Estado/madurez y revisión liberada
Comentarios/queries vinculados</x:v>
      </x:c>
      <x:c r="F20" s="11" t="str">
        <x:v>RBAC tenant/Workspace; preparar no autoriza autoaprobar baseline/progress/change/forecast/award/claim/closeout material.</x:v>
      </x:c>
    </x:row>
    <x:row r="21" ht="102" customHeight="1">
      <x:c r="A21" s="11" t="str">
        <x:v>D14</x:v>
      </x:c>
      <x:c r="B21" s="11" t="str">
        <x:v>Document &amp; Information Management</x:v>
      </x:c>
      <x:c r="C21" s="11" t="str">
        <x:v>Publicar tipos, estados, retención, clasificación/acceso y review rules
Configurar reference-vs-import policy y límites de archivo/antivirus</x:v>
      </x:c>
      <x:c r="D21" s="11" t="str">
        <x:v>Registrar/revisar/emitir documentos y transmittals
Vincular versión exacta en transacción autorizada</x:v>
      </x:c>
      <x:c r="E21" s="11" t="str">
        <x:v>Registro/documentos accesibles y audit
Revisiones/distribución histórica</x:v>
      </x:c>
      <x:c r="F21" s="11" t="str">
        <x:v>RBAC tenant/Workspace; preparar no autoriza autoaprobar baseline/progress/change/forecast/award/claim/closeout material.</x:v>
      </x:c>
    </x:row>
    <x:row r="22" ht="72" customHeight="1">
      <x:c r="A22" s="11" t="str">
        <x:v>D15</x:v>
      </x:c>
      <x:c r="B22" s="11" t="str">
        <x:v>Interface Management</x:v>
      </x:c>
      <x:c r="C22" s="11" t="str">
        <x:v>Publicar tipos/responsibility matrices y closure criteria
Configurar escalación y evidencia mínima por interfaz</x:v>
      </x:c>
      <x:c r="D22" s="11" t="str">
        <x:v>Acordar/seguir/escalar/cerrar interfaz
Mantener cross-reference a paquetes y fuentes</x:v>
      </x:c>
      <x:c r="E22" s="11" t="str">
        <x:v>Interface map y estado
Acuerdos/evidencia y responsables</x:v>
      </x:c>
      <x:c r="F22" s="11" t="str">
        <x:v>RBAC tenant/Workspace; preparar no autoriza autoaprobar baseline/progress/change/forecast/award/claim/closeout material.</x:v>
      </x:c>
    </x:row>
    <x:row r="23" ht="102" customHeight="1">
      <x:c r="A23" s="11" t="str">
        <x:v>D16</x:v>
      </x:c>
      <x:c r="B23" s="11" t="str">
        <x:v>Construction / Field Management</x:v>
      </x:c>
      <x:c r="C23" s="11" t="str">
        <x:v>Publicar plantillas diario/áreas y workfront readiness
Configurar AWP por Project Type y reglas de release/SoD</x:v>
      </x:c>
      <x:c r="D23" s="11" t="str">
        <x:v>Preparar/liberar workfront y seguir constraints
Capturar diario/hechos verificables
Solicitar inspección y escalar bloqueos</x:v>
      </x:c>
      <x:c r="E23" s="11" t="str">
        <x:v>Workfront/package status y readiness
Hechos de campo y referencias fuente</x:v>
      </x:c>
      <x:c r="F23" s="11" t="str">
        <x:v>RBAC tenant/Workspace; preparar no autoriza autoaprobar baseline/progress/change/forecast/award/claim/closeout material.</x:v>
      </x:c>
    </x:row>
    <x:row r="24" ht="72" customHeight="1">
      <x:c r="A24" s="11" t="str">
        <x:v>D17</x:v>
      </x:c>
      <x:c r="B24" s="11" t="str">
        <x:v>Quality Management</x:v>
      </x:c>
      <x:c r="C24" s="11" t="str">
        <x:v>Publicar ITP/acceptance criteria y authority/SoD
Configurar categorías NCR/punch y evidencia de cierre</x:v>
      </x:c>
      <x:c r="D24" s="11" t="str">
        <x:v>Inspeccionar/testear/rechazar o aceptar
Abrir/corregir/cerrar NCR y punch</x:v>
      </x:c>
      <x:c r="E24" s="11" t="str">
        <x:v>QA/QC status y dossiers
Inspección/test/punch history</x:v>
      </x:c>
      <x:c r="F24" s="11" t="str">
        <x:v>RBAC tenant/Workspace; preparar no autoriza autoaprobar baseline/progress/change/forecast/award/claim/closeout material.</x:v>
      </x:c>
    </x:row>
    <x:row r="25" ht="87" customHeight="1">
      <x:c r="A25" s="11" t="str">
        <x:v>D18</x:v>
      </x:c>
      <x:c r="B25" s="11" t="str">
        <x:v>HSE Management</x:v>
      </x:c>
      <x:c r="C25" s="11" t="str">
        <x:v>Publicar source/integration profile y roles autorizados
Definir criterios de workfront safety clearance sin hardcodear cumplimiento</x:v>
      </x:c>
      <x:c r="D25" s="11" t="str">
        <x:v>Referenciar observaciones/permits y escalar
Consultar bloqueos; no declarar permiso aprobado sin autoridad</x:v>
      </x:c>
      <x:c r="E25" s="11" t="str">
        <x:v>Status HSE fuente y acciones
Indicadores con límites explícitos</x:v>
      </x:c>
      <x:c r="F25" s="11" t="str">
        <x:v>RBAC tenant/Workspace; preparar no autoriza autoaprobar baseline/progress/change/forecast/award/claim/closeout material.</x:v>
      </x:c>
    </x:row>
    <x:row r="26" ht="72" customHeight="1">
      <x:c r="A26" s="11" t="str">
        <x:v>D19</x:v>
      </x:c>
      <x:c r="B26" s="11" t="str">
        <x:v>Project Controls &amp; Reporting</x:v>
      </x:c>
      <x:c r="C26" s="11" t="str">
        <x:v>Publicar reporting calendar/cutoff/KPI definitions y distribution
Definir refresh/currentness y baseline bundle acceptance</x:v>
      </x:c>
      <x:c r="D26" s="11" t="str">
        <x:v>Conciliar/explicar variancias y emitir reportes autorizados
Consultar dashboard y drill-down al source owner</x:v>
      </x:c>
      <x:c r="E26" s="11" t="str">
        <x:v>Dashboards, snapshots y lineage
Reconciliación y estado de corte</x:v>
      </x:c>
      <x:c r="F26" s="11" t="str">
        <x:v>RBAC tenant/Workspace; preparar no autoriza autoaprobar baseline/progress/change/forecast/award/claim/closeout material.</x:v>
      </x:c>
    </x:row>
    <x:row r="27" ht="102" customHeight="1">
      <x:c r="A27" s="11" t="str">
        <x:v>D20</x:v>
      </x:c>
      <x:c r="B27" s="11" t="str">
        <x:v>Claims / Delay / Forensic Analysis</x:v>
      </x:c>
      <x:c r="C27" s="11" t="str">
        <x:v>Publicar métodos/umbrales y autoridad de revisión
Configurar tipos de expediente, retención y privacidad</x:v>
      </x:c>
      <x:c r="D27" s="11" t="str">
        <x:v>Compilar expediente/correr análisis autorizado
Revisar entitlement/concurrency y preparar submission
No convertir output del motor en dictamen legal</x:v>
      </x:c>
      <x:c r="E27" s="11" t="str">
        <x:v>Dossier/versiones y resultados
Evidencia fuente y método/limitaciones</x:v>
      </x:c>
      <x:c r="F27" s="11" t="str">
        <x:v>RBAC tenant/Workspace; preparar no autoriza autoaprobar baseline/progress/change/forecast/award/claim/closeout material.</x:v>
      </x:c>
    </x:row>
    <x:row r="28" ht="72" customHeight="1">
      <x:c r="A28" s="11" t="str">
        <x:v>D21</x:v>
      </x:c>
      <x:c r="B28" s="11" t="str">
        <x:v>Commissioning</x:v>
      </x:c>
      <x:c r="C28" s="11" t="str">
        <x:v>Publicar systemization, estados y criterios de test/acceptance
Configurar test authority/SoD y punch blocking</x:v>
      </x:c>
      <x:c r="D28" s="11" t="str">
        <x:v>Preparar/ejecutar/revisar tests y confirmar completion
Resolver fallas y emitir turnover autorizado</x:v>
      </x:c>
      <x:c r="E28" s="11" t="str">
        <x:v>System/test readiness y dossiers
Punch/completion history</x:v>
      </x:c>
      <x:c r="F28" s="11" t="str">
        <x:v>RBAC tenant/Workspace; preparar no autoriza autoaprobar baseline/progress/change/forecast/award/claim/closeout material.</x:v>
      </x:c>
    </x:row>
    <x:row r="29" ht="72" customHeight="1">
      <x:c r="A29" s="11" t="str">
        <x:v>D22</x:v>
      </x:c>
      <x:c r="B29" s="11" t="str">
        <x:v>Handover</x:v>
      </x:c>
      <x:c r="C29" s="11" t="str">
        <x:v>Publicar checklist y autoridad de entrega/recepción
Definir acceptance-with-conditions y punch tolerado</x:v>
      </x:c>
      <x:c r="D29" s="11" t="str">
        <x:v>Armar/someter/revisar/aceptar o rechazar dossier
Registrar condiciones y transferencia autorizada</x:v>
      </x:c>
      <x:c r="E29" s="11" t="str">
        <x:v>Acta/dossier y condiciones
Readiness y evidencia versionada</x:v>
      </x:c>
      <x:c r="F29" s="11" t="str">
        <x:v>RBAC tenant/Workspace; preparar no autoriza autoaprobar baseline/progress/change/forecast/award/claim/closeout material.</x:v>
      </x:c>
    </x:row>
    <x:row r="30" ht="72" customHeight="1">
      <x:c r="A30" s="11" t="str">
        <x:v>D23</x:v>
      </x:c>
      <x:c r="B30" s="11" t="str">
        <x:v>Operational Readiness</x:v>
      </x:c>
      <x:c r="C30" s="11" t="str">
        <x:v>Publicar checklist por tipo de activo/proyecto
Definir responsables, waivers y autoridad readiness</x:v>
      </x:c>
      <x:c r="D30" s="11" t="str">
        <x:v>Completar evidencias/verificar gaps
Solicitar/revisar/confirmar readiness o condiciones</x:v>
      </x:c>
      <x:c r="E30" s="11" t="str">
        <x:v>Checklist/deficiencias y fuente
Decisión/condiciones e historia</x:v>
      </x:c>
      <x:c r="F30" s="11" t="str">
        <x:v>RBAC tenant/Workspace; preparar no autoriza autoaprobar baseline/progress/change/forecast/award/claim/closeout material.</x:v>
      </x:c>
    </x:row>
    <x:row r="31" ht="102" customHeight="1">
      <x:c r="A31" s="11" t="str">
        <x:v>D24</x:v>
      </x:c>
      <x:c r="B31" s="11" t="str">
        <x:v>Project Closeout</x:v>
      </x:c>
      <x:c r="C31" s="11" t="str">
        <x:v>Publicar checklist, retention y authority/SoD
Definir pendientes permitidos/reapertura y preservación histórica</x:v>
      </x:c>
      <x:c r="D31" s="11" t="str">
        <x:v>Conciliar/cerrar fuentes por dueños
Preparar/aceptar cierre y lessons learned
No borrar ni archivar canónico implícitamente</x:v>
      </x:c>
      <x:c r="E31" s="11" t="str">
        <x:v>Final reports y evidencias congeladas
Residual obligations y closeout decision</x:v>
      </x:c>
      <x:c r="F31" s="11" t="str">
        <x:v>RBAC tenant/Workspace; preparar no autoriza autoaprobar baseline/progress/change/forecast/award/claim/closeout material.</x:v>
      </x:c>
    </x:row>
    <x:row r="32" ht="72" customHeight="1">
      <x:c r="A32" s="11" t="str">
        <x:v>D25</x:v>
      </x:c>
      <x:c r="B32" s="11" t="str">
        <x:v>Asset Handover / Transition</x:v>
      </x:c>
      <x:c r="C32" s="11" t="str">
        <x:v>Publicar asset data requirements y destination mapping
Definir aceptación/rechazo y authority del receptor</x:v>
      </x:c>
      <x:c r="D32" s="11" t="str">
        <x:v>Preparar/validar/transferir paquete y obtener receipt
Resolver errores de datos conservando source revisions</x:v>
      </x:c>
      <x:c r="E32" s="11" t="str">
        <x:v>Transition status y referencias destino
Receipt, mappings y residual obligations</x:v>
      </x:c>
      <x:c r="F32" s="11" t="str">
        <x:v>RBAC tenant/Workspace; preparar no autoriza autoaprobar baseline/progress/change/forecast/award/claim/closeout material.</x:v>
      </x:c>
    </x:row>
  </x:sheetData>
  <x:pageMargins left="0.7" right="0.7" top="0.75" bottom="0.75" header="0.3" footer="0.3"/>
  <x:tableParts count="1">
    <x:tablePart xmlns:r="http://schemas.openxmlformats.org/officeDocument/2006/relationships" r:id="R1a246eb53cb14349"/>
  </x:tableParts>
</x:worksheet>
</file>

<file path=xl/worksheets/sheet4.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s>
  <x:sheetData>
    <x:row r="1" ht="24" customHeight="1">
      <x:c r="A1" s="2"/>
      <x:c r="B1" s="2"/>
      <x:c r="C1" s="2"/>
      <x:c r="D1" s="2"/>
      <x:c r="E1" s="2"/>
      <x:c r="F1" s="2"/>
    </x:row>
    <x:row r="2" ht="24" customHeight="1">
      <x:c r="A2" s="3" t="str">
        <x:v>Aplicabilidad propuesta por modelo de gobierno</x:v>
      </x:c>
      <x:c r="B2" s="2"/>
      <x:c r="C2" s="2"/>
      <x:c r="D2" s="2"/>
      <x:c r="E2" s="2"/>
      <x:c r="F2" s="2"/>
    </x:row>
    <x:row r="3" ht="24" customHeight="1">
      <x:c r="A3" s="4"/>
      <x:c r="B3" s="4"/>
      <x:c r="C3" s="4"/>
      <x:c r="D3" s="4"/>
      <x:c r="E3" s="4"/>
      <x:c r="F3" s="4"/>
    </x:row>
    <x:row r="4" ht="24" customHeight="1">
      <x:c r="A4" s="5" t="str">
        <x:v>Corte 19 oct 2026 · Inspección estática; propuestas no aprobadas ni desplegadas. Referencias path:line locales.</x:v>
      </x:c>
      <x:c r="B4" s="2"/>
      <x:c r="C4" s="2"/>
      <x:c r="D4" s="2"/>
      <x:c r="E4" s="2"/>
      <x:c r="F4" s="2"/>
    </x:row>
    <x:row r="5" ht="24" customHeight="1">
      <x:c r="A5" s="2"/>
      <x:c r="B5" s="2"/>
      <x:c r="C5" s="2"/>
      <x:c r="D5" s="2"/>
      <x:c r="E5" s="2"/>
      <x:c r="F5" s="2"/>
    </x:row>
    <x:row r="6" ht="24" customHeight="1">
      <x:c r="A6" s="2"/>
      <x:c r="B6" s="2"/>
      <x:c r="C6" s="2"/>
      <x:c r="D6" s="2"/>
      <x:c r="E6" s="2"/>
      <x:c r="F6" s="2"/>
    </x:row>
    <x:row r="7" ht="48" customHeight="1">
      <x:c r="A7" s="9" t="str">
        <x:v>ID</x:v>
      </x:c>
      <x:c r="B7" s="9" t="str">
        <x:v>Capacidad</x:v>
      </x:c>
      <x:c r="C7" s="9" t="str">
        <x:v>CAPITAL_OWNER</x:v>
      </x:c>
      <x:c r="D7" s="9" t="str">
        <x:v>CONTRACTOR_DELIVERY</x:v>
      </x:c>
      <x:c r="E7" s="9" t="str">
        <x:v>DIRECT_INTERNAL</x:v>
      </x:c>
      <x:c r="F7" s="9" t="str">
        <x:v>Condición / tailoring</x:v>
      </x:c>
    </x:row>
    <x:row r="8" ht="72" customHeight="1">
      <x:c r="A8" s="11" t="str">
        <x:v>D01</x:v>
      </x:c>
      <x:c r="B8" s="11" t="str">
        <x:v>Project Governance &amp; Operational Setup</x:v>
      </x:c>
      <x:c r="C8" s="11" t="str">
        <x:v>MANDATORY</x:v>
      </x:c>
      <x:c r="D8" s="11" t="str">
        <x:v>MANDATORY</x:v>
      </x:c>
      <x:c r="E8" s="11" t="str">
        <x:v>MANDATORY</x:v>
      </x:c>
      <x:c r="F8" s="11" t="str">
        <x:v>Obligatorio como contexto mínimo de cualquier proyecto operacional; intensidad y autorización dependen del modelo.</x:v>
      </x:c>
    </x:row>
    <x:row r="9" ht="57" customHeight="1">
      <x:c r="A9" s="11" t="str">
        <x:v>D02</x:v>
      </x:c>
      <x:c r="B9" s="11" t="str">
        <x:v>Scope Management</x:v>
      </x:c>
      <x:c r="C9" s="11" t="str">
        <x:v>MANDATORY</x:v>
      </x:c>
      <x:c r="D9" s="11" t="str">
        <x:v>MANDATORY</x:v>
      </x:c>
      <x:c r="E9" s="11" t="str">
        <x:v>MANDATORY</x:v>
      </x:c>
      <x:c r="F9" s="11" t="str">
        <x:v>Alcance mínimo siempre; BIM y AWP son opcionales por tipo de proyecto.</x:v>
      </x:c>
    </x:row>
    <x:row r="10" ht="87" customHeight="1">
      <x:c r="A10" s="11" t="str">
        <x:v>D03</x:v>
      </x:c>
      <x:c r="B10" s="11" t="str">
        <x:v>Schedule Management</x:v>
      </x:c>
      <x:c r="C10" s="11" t="str">
        <x:v>MANDATORY</x:v>
      </x:c>
      <x:c r="D10" s="11" t="str">
        <x:v>MANDATORY</x:v>
      </x:c>
      <x:c r="E10" s="11" t="str">
        <x:v>CONDITIONAL</x:v>
      </x:c>
      <x:c r="F10" s="11" t="str">
        <x:v>El cronograma controlado es esencial para owner/contractor; profundidad de P6 en DIRECT_INTERNAL depende de complejidad y política publicada.</x:v>
      </x:c>
    </x:row>
    <x:row r="11" ht="72" customHeight="1">
      <x:c r="A11" s="11" t="str">
        <x:v>D04</x:v>
      </x:c>
      <x:c r="B11" s="11" t="str">
        <x:v>Cost Management</x:v>
      </x:c>
      <x:c r="C11" s="11" t="str">
        <x:v>MANDATORY</x:v>
      </x:c>
      <x:c r="D11" s="11" t="str">
        <x:v>MANDATORY</x:v>
      </x:c>
      <x:c r="E11" s="11" t="str">
        <x:v>MANDATORY</x:v>
      </x:c>
      <x:c r="F11" s="11" t="str">
        <x:v>El alcance mínimo es control de costo; accrual, reserva, cash flow y ERP dependen de política y datos disponibles.</x:v>
      </x:c>
    </x:row>
    <x:row r="12" ht="87" customHeight="1">
      <x:c r="A12" s="11" t="str">
        <x:v>D05</x:v>
      </x:c>
      <x:c r="B12" s="11" t="str">
        <x:v>Resource &amp; Productivity Management</x:v>
      </x:c>
      <x:c r="C12" s="11" t="str">
        <x:v>CONDITIONAL</x:v>
      </x:c>
      <x:c r="D12" s="11" t="str">
        <x:v>MANDATORY</x:v>
      </x:c>
      <x:c r="E12" s="11" t="str">
        <x:v>CONDITIONAL</x:v>
      </x:c>
      <x:c r="F12" s="11" t="str">
        <x:v>Owner puede supervisar sin gestionar crews; Contractor necesita productividad de su alcance ejecutado; otros modelos según ejecución propia.</x:v>
      </x:c>
    </x:row>
    <x:row r="13" ht="57" customHeight="1">
      <x:c r="A13" s="11" t="str">
        <x:v>D06</x:v>
      </x:c>
      <x:c r="B13" s="11" t="str">
        <x:v>Progress Management</x:v>
      </x:c>
      <x:c r="C13" s="11" t="str">
        <x:v>MANDATORY</x:v>
      </x:c>
      <x:c r="D13" s="11" t="str">
        <x:v>MANDATORY</x:v>
      </x:c>
      <x:c r="E13" s="11" t="str">
        <x:v>MANDATORY</x:v>
      </x:c>
      <x:c r="F13" s="11" t="str">
        <x:v>Método mínimo por proyecto; no exige earned-value avanzado ni medición BIM en todos.</x:v>
      </x:c>
    </x:row>
    <x:row r="14" ht="72" customHeight="1">
      <x:c r="A14" s="11" t="str">
        <x:v>D07</x:v>
      </x:c>
      <x:c r="B14" s="11" t="str">
        <x:v>Forecast / ETC / EAC</x:v>
      </x:c>
      <x:c r="C14" s="11" t="str">
        <x:v>MANDATORY</x:v>
      </x:c>
      <x:c r="D14" s="11" t="str">
        <x:v>MANDATORY</x:v>
      </x:c>
      <x:c r="E14" s="11" t="str">
        <x:v>CONDITIONAL</x:v>
      </x:c>
      <x:c r="F14" s="11" t="str">
        <x:v>DIRECT_INTERNAL puede usar forecast simplificado; alcance depende de costo/plazo material y política.</x:v>
      </x:c>
    </x:row>
    <x:row r="15" ht="57" customHeight="1">
      <x:c r="A15" s="11" t="str">
        <x:v>D08</x:v>
      </x:c>
      <x:c r="B15" s="11" t="str">
        <x:v>Change Management</x:v>
      </x:c>
      <x:c r="C15" s="11" t="str">
        <x:v>MANDATORY</x:v>
      </x:c>
      <x:c r="D15" s="11" t="str">
        <x:v>MANDATORY</x:v>
      </x:c>
      <x:c r="E15" s="11" t="str">
        <x:v>MANDATORY</x:v>
      </x:c>
      <x:c r="F15" s="11" t="str">
        <x:v>Control proporcional; evitar registros desconectados por cada módulo.</x:v>
      </x:c>
    </x:row>
    <x:row r="16" ht="57" customHeight="1">
      <x:c r="A16" s="11" t="str">
        <x:v>D09</x:v>
      </x:c>
      <x:c r="B16" s="11" t="str">
        <x:v>Risk Management</x:v>
      </x:c>
      <x:c r="C16" s="11" t="str">
        <x:v>MANDATORY</x:v>
      </x:c>
      <x:c r="D16" s="11" t="str">
        <x:v>MANDATORY</x:v>
      </x:c>
      <x:c r="E16" s="11" t="str">
        <x:v>CONDITIONAL</x:v>
      </x:c>
      <x:c r="F16" s="11" t="str">
        <x:v>Evaluación proporcional a materialidad; no obligación automática de simulación QRA ni de P6 SRA.</x:v>
      </x:c>
    </x:row>
    <x:row r="17" ht="57" customHeight="1">
      <x:c r="A17" s="11" t="str">
        <x:v>D10</x:v>
      </x:c>
      <x:c r="B17" s="11" t="str">
        <x:v>Issue Management</x:v>
      </x:c>
      <x:c r="C17" s="11" t="str">
        <x:v>MANDATORY</x:v>
      </x:c>
      <x:c r="D17" s="11" t="str">
        <x:v>MANDATORY</x:v>
      </x:c>
      <x:c r="E17" s="11" t="str">
        <x:v>MANDATORY</x:v>
      </x:c>
      <x:c r="F17" s="11" t="str">
        <x:v>Registro mínimo transversal; dominio originador conserva autoridad.</x:v>
      </x:c>
    </x:row>
    <x:row r="18" ht="87" customHeight="1">
      <x:c r="A18" s="11" t="str">
        <x:v>D11</x:v>
      </x:c>
      <x:c r="B18" s="11" t="str">
        <x:v>Procurement Management</x:v>
      </x:c>
      <x:c r="C18" s="11" t="str">
        <x:v>CONDITIONAL</x:v>
      </x:c>
      <x:c r="D18" s="11" t="str">
        <x:v>CONDITIONAL</x:v>
      </x:c>
      <x:c r="E18" s="11" t="str">
        <x:v>CONDITIONAL</x:v>
      </x:c>
      <x:c r="F18" s="11" t="str">
        <x:v>Aplica si hay compras/subcontratos. No todo proyecto requiere sourcing propio; Owner/Contractor pueden consumir contrato ya existente.</x:v>
      </x:c>
    </x:row>
    <x:row r="19" ht="87" customHeight="1">
      <x:c r="A19" s="11" t="str">
        <x:v>D12</x:v>
      </x:c>
      <x:c r="B19" s="11" t="str">
        <x:v>Commitments / Contract Administration</x:v>
      </x:c>
      <x:c r="C19" s="11" t="str">
        <x:v>CONDITIONAL</x:v>
      </x:c>
      <x:c r="D19" s="11" t="str">
        <x:v>MANDATORY</x:v>
      </x:c>
      <x:c r="E19" s="11" t="str">
        <x:v>CONDITIONAL</x:v>
      </x:c>
      <x:c r="F19" s="11" t="str">
        <x:v>Contractor requiere contrato de entrega; owner/direct solo si hay contratos o compromisos. Direction no se infiere del nombre del menú.</x:v>
      </x:c>
    </x:row>
    <x:row r="20" ht="57" customHeight="1">
      <x:c r="A20" s="11" t="str">
        <x:v>D13</x:v>
      </x:c>
      <x:c r="B20" s="11" t="str">
        <x:v>Engineering &amp; Design Management</x:v>
      </x:c>
      <x:c r="C20" s="11" t="str">
        <x:v>CONDITIONAL</x:v>
      </x:c>
      <x:c r="D20" s="11" t="str">
        <x:v>CONDITIONAL</x:v>
      </x:c>
      <x:c r="E20" s="11" t="str">
        <x:v>CONDITIONAL</x:v>
      </x:c>
      <x:c r="F20" s="11" t="str">
        <x:v>Según alcance de diseño/ingeniería; no forzar sobre proyecto sin ingeniería.</x:v>
      </x:c>
    </x:row>
    <x:row r="21" ht="57" customHeight="1">
      <x:c r="A21" s="11" t="str">
        <x:v>D14</x:v>
      </x:c>
      <x:c r="B21" s="11" t="str">
        <x:v>Document &amp; Information Management</x:v>
      </x:c>
      <x:c r="C21" s="11" t="str">
        <x:v>MANDATORY</x:v>
      </x:c>
      <x:c r="D21" s="11" t="str">
        <x:v>MANDATORY</x:v>
      </x:c>
      <x:c r="E21" s="11" t="str">
        <x:v>MANDATORY</x:v>
      </x:c>
      <x:c r="F21" s="11" t="str">
        <x:v>Evidencia mínima siempre; funciones avanzadas/DMS externo son opcionales y contextualizadas.</x:v>
      </x:c>
    </x:row>
    <x:row r="22" ht="72" customHeight="1">
      <x:c r="A22" s="11" t="str">
        <x:v>D15</x:v>
      </x:c>
      <x:c r="B22" s="11" t="str">
        <x:v>Interface Management</x:v>
      </x:c>
      <x:c r="C22" s="11" t="str">
        <x:v>CONDITIONAL</x:v>
      </x:c>
      <x:c r="D22" s="11" t="str">
        <x:v>CONDITIONAL</x:v>
      </x:c>
      <x:c r="E22" s="11" t="str">
        <x:v>CONDITIONAL</x:v>
      </x:c>
      <x:c r="F22" s="11" t="str">
        <x:v>Activa cuando múltiples paquetes/partes requieren coordinación formal; no nuevo módulo obligatorio universal.</x:v>
      </x:c>
    </x:row>
    <x:row r="23" ht="87" customHeight="1">
      <x:c r="A23" s="11" t="str">
        <x:v>D16</x:v>
      </x:c>
      <x:c r="B23" s="11" t="str">
        <x:v>Construction / Field Management</x:v>
      </x:c>
      <x:c r="C23" s="11" t="str">
        <x:v>CONDITIONAL</x:v>
      </x:c>
      <x:c r="D23" s="11" t="str">
        <x:v>MANDATORY</x:v>
      </x:c>
      <x:c r="E23" s="11" t="str">
        <x:v>CONDITIONAL</x:v>
      </x:c>
      <x:c r="F23" s="11" t="str">
        <x:v>Owner supervisor puede consumir reportes sin controlar crews; Contractor con construcción requiere ejecución; AWP siempre opcional por política.</x:v>
      </x:c>
    </x:row>
    <x:row r="24" ht="72" customHeight="1">
      <x:c r="A24" s="11" t="str">
        <x:v>D17</x:v>
      </x:c>
      <x:c r="B24" s="11" t="str">
        <x:v>Quality Management</x:v>
      </x:c>
      <x:c r="C24" s="11" t="str">
        <x:v>CONDITIONAL</x:v>
      </x:c>
      <x:c r="D24" s="11" t="str">
        <x:v>CONDITIONAL</x:v>
      </x:c>
      <x:c r="E24" s="11" t="str">
        <x:v>CONDITIONAL</x:v>
      </x:c>
      <x:c r="F24" s="11" t="str">
        <x:v>Aplica al alcance técnico y contractual; puede integrarse sistema QA externo. Gate de calidad de datos no sustituye QA/QC.</x:v>
      </x:c>
    </x:row>
    <x:row r="25" ht="72" customHeight="1">
      <x:c r="A25" s="11" t="str">
        <x:v>D18</x:v>
      </x:c>
      <x:c r="B25" s="11" t="str">
        <x:v>HSE Management</x:v>
      </x:c>
      <x:c r="C25" s="11" t="str">
        <x:v>CONDITIONAL</x:v>
      </x:c>
      <x:c r="D25" s="11" t="str">
        <x:v>CONDITIONAL</x:v>
      </x:c>
      <x:c r="E25" s="11" t="str">
        <x:v>CONDITIONAL</x:v>
      </x:c>
      <x:c r="F25" s="11" t="str">
        <x:v>Requisitos según actividad/jurisdicción/sistema corporativo; no decisión de cumplimiento normativo nueva en este diseño.</x:v>
      </x:c>
    </x:row>
    <x:row r="26" ht="57" customHeight="1">
      <x:c r="A26" s="11" t="str">
        <x:v>D19</x:v>
      </x:c>
      <x:c r="B26" s="11" t="str">
        <x:v>Project Controls &amp; Reporting</x:v>
      </x:c>
      <x:c r="C26" s="11" t="str">
        <x:v>MANDATORY</x:v>
      </x:c>
      <x:c r="D26" s="11" t="str">
        <x:v>MANDATORY</x:v>
      </x:c>
      <x:c r="E26" s="11" t="str">
        <x:v>MANDATORY</x:v>
      </x:c>
      <x:c r="F26" s="11" t="str">
        <x:v>Core de integración mínimo; profundidad EVM/Power BI/AWP según tipo de proyecto.</x:v>
      </x:c>
    </x:row>
    <x:row r="27" ht="72" customHeight="1">
      <x:c r="A27" s="11" t="str">
        <x:v>D20</x:v>
      </x:c>
      <x:c r="B27" s="11" t="str">
        <x:v>Claims / Delay / Forensic Analysis</x:v>
      </x:c>
      <x:c r="C27" s="11" t="str">
        <x:v>CONDITIONAL</x:v>
      </x:c>
      <x:c r="D27" s="11" t="str">
        <x:v>CONDITIONAL</x:v>
      </x:c>
      <x:c r="E27" s="11" t="str">
        <x:v>OPTIONAL</x:v>
      </x:c>
      <x:c r="F27" s="11" t="str">
        <x:v>Aplica ante reclamación/obligación contractual; DIRECT_INTERNAL solo si exposición externa lo justifica.</x:v>
      </x:c>
    </x:row>
    <x:row r="28" ht="57" customHeight="1">
      <x:c r="A28" s="11" t="str">
        <x:v>D21</x:v>
      </x:c>
      <x:c r="B28" s="11" t="str">
        <x:v>Commissioning</x:v>
      </x:c>
      <x:c r="C28" s="11" t="str">
        <x:v>CONDITIONAL</x:v>
      </x:c>
      <x:c r="D28" s="11" t="str">
        <x:v>CONDITIONAL</x:v>
      </x:c>
      <x:c r="E28" s="11" t="str">
        <x:v>CONDITIONAL</x:v>
      </x:c>
      <x:c r="F28" s="11" t="str">
        <x:v>Solo activos/sistemas que exijan pruebas/puesta en servicio; no forzar proyecto administrativo.</x:v>
      </x:c>
    </x:row>
    <x:row r="29" ht="72" customHeight="1">
      <x:c r="A29" s="11" t="str">
        <x:v>D22</x:v>
      </x:c>
      <x:c r="B29" s="11" t="str">
        <x:v>Handover</x:v>
      </x:c>
      <x:c r="C29" s="11" t="str">
        <x:v>CONDITIONAL</x:v>
      </x:c>
      <x:c r="D29" s="11" t="str">
        <x:v>MANDATORY</x:v>
      </x:c>
      <x:c r="E29" s="11" t="str">
        <x:v>CONDITIONAL</x:v>
      </x:c>
      <x:c r="F29" s="11" t="str">
        <x:v>Contractor necesita entrega de su alcance; Owner/direct según producto/activo. No toda entrega exige Commissioning.</x:v>
      </x:c>
    </x:row>
    <x:row r="30" ht="72" customHeight="1">
      <x:c r="A30" s="11" t="str">
        <x:v>D23</x:v>
      </x:c>
      <x:c r="B30" s="11" t="str">
        <x:v>Operational Readiness</x:v>
      </x:c>
      <x:c r="C30" s="11" t="str">
        <x:v>CONDITIONAL</x:v>
      </x:c>
      <x:c r="D30" s="11" t="str">
        <x:v>CONDITIONAL</x:v>
      </x:c>
      <x:c r="E30" s="11" t="str">
        <x:v>CONDITIONAL</x:v>
      </x:c>
      <x:c r="F30" s="11" t="str">
        <x:v>Solo cuando hay operación posterior; Contractor aporta alcance contratado y receptor confirma operación.</x:v>
      </x:c>
    </x:row>
    <x:row r="31" ht="72" customHeight="1">
      <x:c r="A31" s="11" t="str">
        <x:v>D24</x:v>
      </x:c>
      <x:c r="B31" s="11" t="str">
        <x:v>Project Closeout</x:v>
      </x:c>
      <x:c r="C31" s="11" t="str">
        <x:v>MANDATORY</x:v>
      </x:c>
      <x:c r="D31" s="11" t="str">
        <x:v>MANDATORY</x:v>
      </x:c>
      <x:c r="E31" s="11" t="str">
        <x:v>MANDATORY</x:v>
      </x:c>
      <x:c r="F31" s="11" t="str">
        <x:v>Cierre proporcional a alcance; inexistencia de commissioning/claims se marca no aplicable con razón, no fuerza workflow.</x:v>
      </x:c>
    </x:row>
    <x:row r="32" ht="87" customHeight="1">
      <x:c r="A32" s="11" t="str">
        <x:v>D25</x:v>
      </x:c>
      <x:c r="B32" s="11" t="str">
        <x:v>Asset Handover / Transition</x:v>
      </x:c>
      <x:c r="C32" s="11" t="str">
        <x:v>CONDITIONAL</x:v>
      </x:c>
      <x:c r="D32" s="11" t="str">
        <x:v>CONDITIONAL</x:v>
      </x:c>
      <x:c r="E32" s="11" t="str">
        <x:v>CONDITIONAL</x:v>
      </x:c>
      <x:c r="F32" s="11" t="str">
        <x:v>Aplica si se entrega activo/infraestructura; Contractor entrega datos contratados, no crea master operativo del Owner unilateralmente.</x:v>
      </x:c>
    </x:row>
  </x:sheetData>
  <x:pageMargins left="0.7" right="0.7" top="0.75" bottom="0.75" header="0.3" footer="0.3"/>
  <x:tableParts count="1">
    <x:tablePart xmlns:r="http://schemas.openxmlformats.org/officeDocument/2006/relationships" r:id="R7ff3f8ba93214d7c"/>
  </x:tableParts>
</x:worksheet>
</file>

<file path=xl/worksheets/sheet5.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 min="7" max="7" width="36" hidden="0" customWidth="1"/>
    <x:col min="8" max="8" width="36" hidden="0" customWidth="1"/>
  </x:cols>
  <x:sheetData>
    <x:row r="1" ht="24" customHeight="1">
      <x:c r="A1" s="2"/>
      <x:c r="B1" s="2"/>
      <x:c r="C1" s="2"/>
      <x:c r="D1" s="2"/>
      <x:c r="E1" s="2"/>
      <x:c r="F1" s="2"/>
      <x:c r="G1" s="2"/>
      <x:c r="H1" s="2"/>
    </x:row>
    <x:row r="2" ht="24" customHeight="1">
      <x:c r="A2" s="3" t="str">
        <x:v>Propiedad única por objeto/faceta · sin escrituras ajenas</x:v>
      </x:c>
      <x:c r="B2" s="2"/>
      <x:c r="C2" s="2"/>
      <x:c r="D2" s="2"/>
      <x:c r="E2" s="2"/>
      <x:c r="F2" s="2"/>
      <x:c r="G2" s="2"/>
      <x:c r="H2" s="2"/>
    </x:row>
    <x:row r="3" ht="24" customHeight="1">
      <x:c r="A3" s="4"/>
      <x:c r="B3" s="4"/>
      <x:c r="C3" s="4"/>
      <x:c r="D3" s="4"/>
      <x:c r="E3" s="4"/>
      <x:c r="F3" s="4"/>
      <x:c r="G3" s="4"/>
      <x:c r="H3" s="4"/>
    </x:row>
    <x:row r="4" ht="24" customHeight="1">
      <x:c r="A4" s="5" t="str">
        <x:v>Corte 19 oct 2026 · Inspección estática; propuestas no aprobadas ni desplegadas. Referencias path:line locales.</x:v>
      </x:c>
      <x:c r="B4" s="2"/>
      <x:c r="C4" s="2"/>
      <x:c r="D4" s="2"/>
      <x:c r="E4" s="2"/>
      <x:c r="F4" s="2"/>
      <x:c r="G4" s="2"/>
      <x:c r="H4" s="2"/>
    </x:row>
    <x:row r="5" ht="24" customHeight="1">
      <x:c r="A5" s="2"/>
      <x:c r="B5" s="2"/>
      <x:c r="C5" s="2"/>
      <x:c r="D5" s="2"/>
      <x:c r="E5" s="2"/>
      <x:c r="F5" s="2"/>
      <x:c r="G5" s="2"/>
      <x:c r="H5" s="2"/>
    </x:row>
    <x:row r="6" ht="24" customHeight="1">
      <x:c r="A6" s="2"/>
      <x:c r="B6" s="2"/>
      <x:c r="C6" s="2"/>
      <x:c r="D6" s="2"/>
      <x:c r="E6" s="2"/>
      <x:c r="F6" s="2"/>
      <x:c r="G6" s="2"/>
      <x:c r="H6" s="2"/>
    </x:row>
    <x:row r="7" ht="48" customHeight="1">
      <x:c r="A7" s="9" t="str">
        <x:v>ID</x:v>
      </x:c>
      <x:c r="B7" s="9" t="str">
        <x:v>Objeto / faceta</x:v>
      </x:c>
      <x:c r="C7" s="9" t="str">
        <x:v>Dominio fuente</x:v>
      </x:c>
      <x:c r="D7" s="9" t="str">
        <x:v>Propietario</x:v>
      </x:c>
      <x:c r="E7" s="9" t="str">
        <x:v>Límite actual</x:v>
      </x:c>
      <x:c r="F7" s="9" t="str">
        <x:v>Escritura externa</x:v>
      </x:c>
      <x:c r="G7" s="9" t="str">
        <x:v>Consumidores snapshot</x:v>
      </x:c>
      <x:c r="H7" s="9" t="str">
        <x:v>Regla de comando</x:v>
      </x:c>
    </x:row>
    <x:row r="8" ht="87" customHeight="1">
      <x:c r="A8" s="11" t="str">
        <x:v>DO01</x:v>
      </x:c>
      <x:c r="B8" s="11" t="str">
        <x:v>Project identity</x:v>
      </x:c>
      <x:c r="C8" s="11" t="str">
        <x:v>Enterprise Structure &amp; Workspace Manager</x:v>
      </x:c>
      <x:c r="D8" s="11" t="str">
        <x:v>Canonical Workspace lifecycle</x:v>
      </x:c>
      <x:c r="E8" s="11" t="str">
        <x:v>enterprise_workspaces.workspace_type_code=project; legacy operational projects.id remains separate</x:v>
      </x:c>
      <x:c r="F8" s="11" t="str">
        <x:v>NO</x:v>
      </x:c>
      <x:c r="G8" s="11" t="str">
        <x:v>All operational domains
Strategic governance</x:v>
      </x:c>
      <x:c r="H8" s="11" t="str">
        <x:v>Other domains may submit a validated command/request to the source owner, never directly mutate its tables. Approved historical versions remain immutable.</x:v>
      </x:c>
    </x:row>
    <x:row r="9" ht="87" customHeight="1">
      <x:c r="A9" s="11" t="str">
        <x:v>DO02</x:v>
      </x:c>
      <x:c r="B9" s="11" t="str">
        <x:v>WBS</x:v>
      </x:c>
      <x:c r="C9" s="11" t="str">
        <x:v>Scope Management</x:v>
      </x:c>
      <x:c r="D9" s="11" t="str">
        <x:v>Scope/WBS steward</x:v>
      </x:c>
      <x:c r="E9" s="11" t="str">
        <x:v>Existing wbs rows are legacy projects-linked; schedule-import materialization currently derives/updates control structures</x:v>
      </x:c>
      <x:c r="F9" s="11" t="str">
        <x:v>NO</x:v>
      </x:c>
      <x:c r="G9" s="11" t="str">
        <x:v>Schedule
Cost
Progress
AWP
Reporting</x:v>
      </x:c>
      <x:c r="H9" s="11" t="str">
        <x:v>Other domains may submit a validated command/request to the source owner, never directly mutate its tables. Approved historical versions remain immutable.</x:v>
      </x:c>
    </x:row>
    <x:row r="10" ht="87" customHeight="1">
      <x:c r="A10" s="11" t="str">
        <x:v>DO03</x:v>
      </x:c>
      <x:c r="B10" s="11" t="str">
        <x:v>Activity</x:v>
      </x:c>
      <x:c r="C10" s="11" t="str">
        <x:v>Schedule Management</x:v>
      </x:c>
      <x:c r="D10" s="11" t="str">
        <x:v>Schedule version steward</x:v>
      </x:c>
      <x:c r="E10" s="11" t="str">
        <x:v>Imported Activity/ScheduleImport and maps; P6 is CPM calculation authority</x:v>
      </x:c>
      <x:c r="F10" s="11" t="str">
        <x:v>NO</x:v>
      </x:c>
      <x:c r="G10" s="11" t="str">
        <x:v>Progress
Forecast
Change
Claims
BIM/4D</x:v>
      </x:c>
      <x:c r="H10" s="11" t="str">
        <x:v>Other domains may submit a validated command/request to the source owner, never directly mutate its tables. Approved historical versions remain immutable.</x:v>
      </x:c>
    </x:row>
    <x:row r="11" ht="87" customHeight="1">
      <x:c r="A11" s="11" t="str">
        <x:v>DO04</x:v>
      </x:c>
      <x:c r="B11" s="11" t="str">
        <x:v>Baseline dates</x:v>
      </x:c>
      <x:c r="C11" s="11" t="str">
        <x:v>Schedule Management</x:v>
      </x:c>
      <x:c r="D11" s="11" t="str">
        <x:v>Independent schedule baseline approver</x:v>
      </x:c>
      <x:c r="E11" s="11" t="str">
        <x:v>Existing baseline_versions/import and activities.baseline_* require explicit approved immutable version distinction</x:v>
      </x:c>
      <x:c r="F11" s="11" t="str">
        <x:v>NO</x:v>
      </x:c>
      <x:c r="G11" s="11" t="str">
        <x:v>Progress
Performance
Change
Claims</x:v>
      </x:c>
      <x:c r="H11" s="11" t="str">
        <x:v>Other domains may submit a validated command/request to the source owner, never directly mutate its tables. Approved historical versions remain immutable.</x:v>
      </x:c>
    </x:row>
    <x:row r="12" ht="87" customHeight="1">
      <x:c r="A12" s="11" t="str">
        <x:v>DO05</x:v>
      </x:c>
      <x:c r="B12" s="11" t="str">
        <x:v>Current dates</x:v>
      </x:c>
      <x:c r="C12" s="11" t="str">
        <x:v>Schedule Management</x:v>
      </x:c>
      <x:c r="D12" s="11" t="str">
        <x:v>Authorized schedule update owner</x:v>
      </x:c>
      <x:c r="E12" s="11" t="str">
        <x:v>Current imported version after review; not interchangeable with baseline or strategic target dates</x:v>
      </x:c>
      <x:c r="F12" s="11" t="str">
        <x:v>NO</x:v>
      </x:c>
      <x:c r="G12" s="11" t="str">
        <x:v>Look-Ahead
Forecast
Reporting</x:v>
      </x:c>
      <x:c r="H12" s="11" t="str">
        <x:v>Other domains may submit a validated command/request to the source owner, never directly mutate its tables. Approved historical versions remain immutable.</x:v>
      </x:c>
    </x:row>
    <x:row r="13" ht="87" customHeight="1">
      <x:c r="A13" s="11" t="str">
        <x:v>DO06</x:v>
      </x:c>
      <x:c r="B13" s="11" t="str">
        <x:v>Scope Item</x:v>
      </x:c>
      <x:c r="C13" s="11" t="str">
        <x:v>Scope Management</x:v>
      </x:c>
      <x:c r="D13" s="11" t="str">
        <x:v>Scope baseline owner</x:v>
      </x:c>
      <x:c r="E13" s="11" t="str">
        <x:v>Existing quantities/takeoff rows and scope-items reserved view; baseline item authority must be formalized</x:v>
      </x:c>
      <x:c r="F13" s="11" t="str">
        <x:v>NO</x:v>
      </x:c>
      <x:c r="G13" s="11" t="str">
        <x:v>Schedule
Cost
Procurement
Progress
AWP</x:v>
      </x:c>
      <x:c r="H13" s="11" t="str">
        <x:v>Other domains may submit a validated command/request to the source owner, never directly mutate its tables. Approved historical versions remain immutable.</x:v>
      </x:c>
    </x:row>
    <x:row r="14" ht="87" customHeight="1">
      <x:c r="A14" s="11" t="str">
        <x:v>DO07</x:v>
      </x:c>
      <x:c r="B14" s="11" t="str">
        <x:v>Scope quantity (not installed/approved progress)</x:v>
      </x:c>
      <x:c r="C14" s="11" t="str">
        <x:v>Scope Management</x:v>
      </x:c>
      <x:c r="D14" s="11" t="str">
        <x:v>Scope owns baseline/design quantity; Field owns installed source facts and Progress separately owns approved method-specific measurement</x:v>
      </x:c>
      <x:c r="E14" s="11" t="str">
        <x:v>BIM/takeoff source quantity differs from approved installed quantity. Both carry method/unit/version</x:v>
      </x:c>
      <x:c r="F14" s="11" t="str">
        <x:v>NO</x:v>
      </x:c>
      <x:c r="G14" s="11" t="str">
        <x:v>Progress
Cost
Forecast
BIM/4D</x:v>
      </x:c>
      <x:c r="H14" s="11" t="str">
        <x:v>Other domains may submit a validated command/request to the source owner, never directly mutate its tables. Approved historical versions remain immutable.</x:v>
      </x:c>
    </x:row>
    <x:row r="15" ht="87" customHeight="1">
      <x:c r="A15" s="11" t="str">
        <x:v>DO08</x:v>
      </x:c>
      <x:c r="B15" s="11" t="str">
        <x:v>Budget</x:v>
      </x:c>
      <x:c r="C15" s="11" t="str">
        <x:v>Cost Management</x:v>
      </x:c>
      <x:c r="D15" s="11" t="str">
        <x:v>Cost baseline owner with independent approval</x:v>
      </x:c>
      <x:c r="E15" s="11" t="str">
        <x:v>Existing budget/control-account/CBS records; strategic target or FID capital is not automatic BAC</x:v>
      </x:c>
      <x:c r="F15" s="11" t="str">
        <x:v>NO</x:v>
      </x:c>
      <x:c r="G15" s="11" t="str">
        <x:v>Progress/EVM
Forecast
Change
Reporting</x:v>
      </x:c>
      <x:c r="H15" s="11" t="str">
        <x:v>Other domains may submit a validated command/request to the source owner, never directly mutate its tables. Approved historical versions remain immutable.</x:v>
      </x:c>
    </x:row>
    <x:row r="16" ht="87" customHeight="1">
      <x:c r="A16" s="11" t="str">
        <x:v>DO09</x:v>
      </x:c>
      <x:c r="B16" s="11" t="str">
        <x:v>Commitment</x:v>
      </x:c>
      <x:c r="C16" s="11" t="str">
        <x:v>Contract Administration &amp; Commitments</x:v>
      </x:c>
      <x:c r="D16" s="11" t="str">
        <x:v>Contractual obligation owner</x:v>
      </x:c>
      <x:c r="E16" s="11" t="str">
        <x:v>Existing Contract/PO are legal-obligation primitives; no duplicate Commitment write master in Cost</x:v>
      </x:c>
      <x:c r="F16" s="11" t="str">
        <x:v>NO</x:v>
      </x:c>
      <x:c r="G16" s="11" t="str">
        <x:v>Cost
Forecast
Funding exposure
Reporting</x:v>
      </x:c>
      <x:c r="H16" s="11" t="str">
        <x:v>Other domains may submit a validated command/request to the source owner, never directly mutate its tables. Approved historical versions remain immutable.</x:v>
      </x:c>
    </x:row>
    <x:row r="17" ht="87" customHeight="1">
      <x:c r="A17" s="11" t="str">
        <x:v>DO10</x:v>
      </x:c>
      <x:c r="B17" s="11" t="str">
        <x:v>Actual Cost</x:v>
      </x:c>
      <x:c r="C17" s="11" t="str">
        <x:v>Cost Management</x:v>
      </x:c>
      <x:c r="D17" s="11" t="str">
        <x:v>Cost Controller / approved cost evidence owner</x:v>
      </x:c>
      <x:c r="E17" s="11" t="str">
        <x:v>Existing certified/received cost evidence versus generic CostRecord must be reconciled by economic origin; future ERP owns posted settlement</x:v>
      </x:c>
      <x:c r="F17" s="11" t="str">
        <x:v>NO</x:v>
      </x:c>
      <x:c r="G17" s="11" t="str">
        <x:v>Forecast
Performance
Reporting</x:v>
      </x:c>
      <x:c r="H17" s="11" t="str">
        <x:v>Other domains may submit a validated command/request to the source owner, never directly mutate its tables. Approved historical versions remain immutable.</x:v>
      </x:c>
    </x:row>
    <x:row r="18" ht="87" customHeight="1">
      <x:c r="A18" s="11" t="str">
        <x:v>DO11</x:v>
      </x:c>
      <x:c r="B18" s="11" t="str">
        <x:v>Forecast</x:v>
      </x:c>
      <x:c r="C18" s="11" t="str">
        <x:v>Forecast</x:v>
      </x:c>
      <x:c r="D18" s="11" t="str">
        <x:v>Forecast owner and independent approval</x:v>
      </x:c>
      <x:c r="E18" s="11" t="str">
        <x:v>Versioned scenarios/snapshots; no baseline rewrite or authority over imported CPM</x:v>
      </x:c>
      <x:c r="F18" s="11" t="str">
        <x:v>NO</x:v>
      </x:c>
      <x:c r="G18" s="11" t="str">
        <x:v>Reporting
Executive review
Strategic material-change review</x:v>
      </x:c>
      <x:c r="H18" s="11" t="str">
        <x:v>Other domains may submit a validated command/request to the source owner, never directly mutate its tables. Approved historical versions remain immutable.</x:v>
      </x:c>
    </x:row>
    <x:row r="19" ht="87" customHeight="1">
      <x:c r="A19" s="11" t="str">
        <x:v>DO12</x:v>
      </x:c>
      <x:c r="B19" s="11" t="str">
        <x:v>Progress</x:v>
      </x:c>
      <x:c r="C19" s="11" t="str">
        <x:v>Progress Management</x:v>
      </x:c>
      <x:c r="D19" s="11" t="str">
        <x:v>Progress method owner and independent approver</x:v>
      </x:c>
      <x:c r="E19" s="11" t="str">
        <x:v>ProgressRecord and quantity/milestone/imported schedule progress must remain typed, not silently mixed</x:v>
      </x:c>
      <x:c r="F19" s="11" t="str">
        <x:v>NO</x:v>
      </x:c>
      <x:c r="G19" s="11" t="str">
        <x:v>Forecast
Performance
Schedule update input
Reporting</x:v>
      </x:c>
      <x:c r="H19" s="11" t="str">
        <x:v>Other domains may submit a validated command/request to the source owner, never directly mutate its tables. Approved historical versions remain immutable.</x:v>
      </x:c>
    </x:row>
    <x:row r="20" ht="87" customHeight="1">
      <x:c r="A20" s="11" t="str">
        <x:v>DO13</x:v>
      </x:c>
      <x:c r="B20" s="11" t="str">
        <x:v>Risk</x:v>
      </x:c>
      <x:c r="C20" s="11" t="str">
        <x:v>Operational Risk</x:v>
      </x:c>
      <x:c r="D20" s="11" t="str">
        <x:v>Risk owner under applicable risk policy</x:v>
      </x:c>
      <x:c r="E20" s="11" t="str">
        <x:v>Existing strategic ProjectRisk/readiness may be reused via explicit boundary; no second owner of the same risk</x:v>
      </x:c>
      <x:c r="F20" s="11" t="str">
        <x:v>NO</x:v>
      </x:c>
      <x:c r="G20" s="11" t="str">
        <x:v>Forecast
Change
Workfront readiness
Reporting</x:v>
      </x:c>
      <x:c r="H20" s="11" t="str">
        <x:v>Other domains may submit a validated command/request to the source owner, never directly mutate its tables. Approved historical versions remain immutable.</x:v>
      </x:c>
    </x:row>
    <x:row r="21" ht="87" customHeight="1">
      <x:c r="A21" s="11" t="str">
        <x:v>DO14</x:v>
      </x:c>
      <x:c r="B21" s="11" t="str">
        <x:v>Issue</x:v>
      </x:c>
      <x:c r="C21" s="11" t="str">
        <x:v>Issue Management</x:v>
      </x:c>
      <x:c r="D21" s="11" t="str">
        <x:v>Issue owner</x:v>
      </x:c>
      <x:c r="E21" s="11" t="str">
        <x:v>Issues menu reserved; uncertain risk differs from occurring issue and linked actions</x:v>
      </x:c>
      <x:c r="F21" s="11" t="str">
        <x:v>NO</x:v>
      </x:c>
      <x:c r="G21" s="11" t="str">
        <x:v>Change
Workfront readiness
Reporting</x:v>
      </x:c>
      <x:c r="H21" s="11" t="str">
        <x:v>Other domains may submit a validated command/request to the source owner, never directly mutate its tables. Approved historical versions remain immutable.</x:v>
      </x:c>
    </x:row>
    <x:row r="22" ht="102" customHeight="1">
      <x:c r="A22" s="11" t="str">
        <x:v>DO15</x:v>
      </x:c>
      <x:c r="B22" s="11" t="str">
        <x:v>Change</x:v>
      </x:c>
      <x:c r="C22" s="11" t="str">
        <x:v>Change Management</x:v>
      </x:c>
      <x:c r="D22" s="11" t="str">
        <x:v>Cross-domain change authority</x:v>
      </x:c>
      <x:c r="E22" s="11" t="str">
        <x:v>Existing ChangeRequest is primitive; one impact/approval/implementation contract needed</x:v>
      </x:c>
      <x:c r="F22" s="11" t="str">
        <x:v>NO</x:v>
      </x:c>
      <x:c r="G22" s="11" t="str">
        <x:v>Scope
Schedule
Cost
Resources
Procurement
Forecast</x:v>
      </x:c>
      <x:c r="H22" s="11" t="str">
        <x:v>Other domains may submit a validated command/request to the source owner, never directly mutate its tables. Approved historical versions remain immutable.</x:v>
      </x:c>
    </x:row>
    <x:row r="23" ht="87" customHeight="1">
      <x:c r="A23" s="11" t="str">
        <x:v>DO16</x:v>
      </x:c>
      <x:c r="B23" s="11" t="str">
        <x:v>Contract</x:v>
      </x:c>
      <x:c r="C23" s="11" t="str">
        <x:v>Contract Administration &amp; Commitments</x:v>
      </x:c>
      <x:c r="D23" s="11" t="str">
        <x:v>Contract Administrator</x:v>
      </x:c>
      <x:c r="E23" s="11" t="str">
        <x:v>Existing Contract unique per legacy tenant/project/code; source client contract is not automatically purchasing obligation</x:v>
      </x:c>
      <x:c r="F23" s="11" t="str">
        <x:v>NO</x:v>
      </x:c>
      <x:c r="G23" s="11" t="str">
        <x:v>Cost
Procurement
Claims
Documents</x:v>
      </x:c>
      <x:c r="H23" s="11" t="str">
        <x:v>Other domains may submit a validated command/request to the source owner, never directly mutate its tables. Approved historical versions remain immutable.</x:v>
      </x:c>
    </x:row>
    <x:row r="24" ht="87" customHeight="1">
      <x:c r="A24" s="11" t="str">
        <x:v>DO17</x:v>
      </x:c>
      <x:c r="B24" s="11" t="str">
        <x:v>Procurement Package</x:v>
      </x:c>
      <x:c r="C24" s="11" t="str">
        <x:v>Procurement</x:v>
      </x:c>
      <x:c r="D24" s="11" t="str">
        <x:v>Procurement package owner</x:v>
      </x:c>
      <x:c r="E24" s="11" t="str">
        <x:v>RFQPackage/Bid exists; plan/requisition/approved award workflow remains incomplete</x:v>
      </x:c>
      <x:c r="F24" s="11" t="str">
        <x:v>NO</x:v>
      </x:c>
      <x:c r="G24" s="11" t="str">
        <x:v>Contracts
Schedule
Engineering
Cost
Construction</x:v>
      </x:c>
      <x:c r="H24" s="11" t="str">
        <x:v>Other domains may submit a validated command/request to the source owner, never directly mutate its tables. Approved historical versions remain immutable.</x:v>
      </x:c>
    </x:row>
    <x:row r="25" ht="87" customHeight="1">
      <x:c r="A25" s="11" t="str">
        <x:v>DO18</x:v>
      </x:c>
      <x:c r="B25" s="11" t="str">
        <x:v>Document</x:v>
      </x:c>
      <x:c r="C25" s="11" t="str">
        <x:v>Document &amp; Information Management</x:v>
      </x:c>
      <x:c r="D25" s="11" t="str">
        <x:v>Document Controller</x:v>
      </x:c>
      <x:c r="E25" s="11" t="str">
        <x:v>Existing document/revision/transmittal primitives; optional external DMS remains source of controlled file</x:v>
      </x:c>
      <x:c r="F25" s="11" t="str">
        <x:v>NO</x:v>
      </x:c>
      <x:c r="G25" s="11" t="str">
        <x:v>Engineering
Procurement
Quality
Claims
Handover</x:v>
      </x:c>
      <x:c r="H25" s="11" t="str">
        <x:v>Other domains may submit a validated command/request to the source owner, never directly mutate its tables. Approved historical versions remain immutable.</x:v>
      </x:c>
    </x:row>
    <x:row r="26" ht="87" customHeight="1">
      <x:c r="A26" s="11" t="str">
        <x:v>DO19</x:v>
      </x:c>
      <x:c r="B26" s="11" t="str">
        <x:v>Interface</x:v>
      </x:c>
      <x:c r="C26" s="11" t="str">
        <x:v>Interface Management</x:v>
      </x:c>
      <x:c r="D26" s="11" t="str">
        <x:v>Named interface coordinator</x:v>
      </x:c>
      <x:c r="E26" s="11" t="str">
        <x:v>Future explicit interface register; no duplication of owning domain deliverable/status</x:v>
      </x:c>
      <x:c r="F26" s="11" t="str">
        <x:v>NO</x:v>
      </x:c>
      <x:c r="G26" s="11" t="str">
        <x:v>Schedule
Engineering
Construction
Risk
Issues</x:v>
      </x:c>
      <x:c r="H26" s="11" t="str">
        <x:v>Other domains may submit a validated command/request to the source owner, never directly mutate its tables. Approved historical versions remain immutable.</x:v>
      </x:c>
    </x:row>
    <x:row r="27" ht="87" customHeight="1">
      <x:c r="A27" s="11" t="str">
        <x:v>DO20</x:v>
      </x:c>
      <x:c r="B27" s="11" t="str">
        <x:v>Work Package definition / baseline</x:v>
      </x:c>
      <x:c r="C27" s="11" t="str">
        <x:v>Scope Management</x:v>
      </x:c>
      <x:c r="D27" s="11" t="str">
        <x:v>Scope owns definition/baseline; Construction separately owns release/execution records referencing that definition</x:v>
      </x:c>
      <x:c r="E27" s="11" t="str">
        <x:v>Existing WorkPackage/constraints; optional AWP maps generic scope/schedule references rather than replaces them</x:v>
      </x:c>
      <x:c r="F27" s="11" t="str">
        <x:v>NO</x:v>
      </x:c>
      <x:c r="G27" s="11" t="str">
        <x:v>Schedule
Field
Progress
Quality
Turnover</x:v>
      </x:c>
      <x:c r="H27" s="11" t="str">
        <x:v>Other domains may submit a validated command/request to the source owner, never directly mutate its tables. Approved historical versions remain immutable.</x:v>
      </x:c>
    </x:row>
    <x:row r="28" ht="87" customHeight="1">
      <x:c r="A28" s="11" t="str">
        <x:v>DO21</x:v>
      </x:c>
      <x:c r="B28" s="11" t="str">
        <x:v>Claim</x:v>
      </x:c>
      <x:c r="C28" s="11" t="str">
        <x:v>Claims / Delay / Forensic</x:v>
      </x:c>
      <x:c r="D28" s="11" t="str">
        <x:v>Claims authority separate from normal control transactions</x:v>
      </x:c>
      <x:c r="E28" s="11" t="str">
        <x:v>Existing claims/notices/impact primitives; entitlement/evidence/quantum do not rewrite standard cost or schedule baseline</x:v>
      </x:c>
      <x:c r="F28" s="11" t="str">
        <x:v>NO</x:v>
      </x:c>
      <x:c r="G28" s="11" t="str">
        <x:v>Legal review
Change reference
Reporting</x:v>
      </x:c>
      <x:c r="H28" s="11" t="str">
        <x:v>Other domains may submit a validated command/request to the source owner, never directly mutate its tables. Approved historical versions remain immutable.</x:v>
      </x:c>
    </x:row>
    <x:row r="29" ht="87" customHeight="1">
      <x:c r="A29" s="11" t="str">
        <x:v>DO22</x:v>
      </x:c>
      <x:c r="B29" s="11" t="str">
        <x:v>Resource</x:v>
      </x:c>
      <x:c r="C29" s="11" t="str">
        <x:v>Resource &amp; Productivity</x:v>
      </x:c>
      <x:c r="D29" s="11" t="str">
        <x:v>Resource planning/execution owner</x:v>
      </x:c>
      <x:c r="E29" s="11" t="str">
        <x:v>Existing Resource and hours/quantity primitives, not strategic resource scenario ownership</x:v>
      </x:c>
      <x:c r="F29" s="11" t="str">
        <x:v>NO</x:v>
      </x:c>
      <x:c r="G29" s="11" t="str">
        <x:v>Schedule
Progress
Forecast
Productivity</x:v>
      </x:c>
      <x:c r="H29" s="11" t="str">
        <x:v>Other domains may submit a validated command/request to the source owner, never directly mutate its tables. Approved historical versions remain immutable.</x:v>
      </x:c>
    </x:row>
    <x:row r="30" ht="87" customHeight="1">
      <x:c r="A30" s="11" t="str">
        <x:v>DO23</x:v>
      </x:c>
      <x:c r="B30" s="11" t="str">
        <x:v>Calendar</x:v>
      </x:c>
      <x:c r="C30" s="11" t="str">
        <x:v>Schedule Management</x:v>
      </x:c>
      <x:c r="D30" s="11" t="str">
        <x:v>Calendar custodian; imported P6 calendar remains source</x:v>
      </x:c>
      <x:c r="E30" s="11" t="str">
        <x:v>Preserve source IDs/work patterns/units/time basis; no universal 8-hour day or implicit timezone conversion</x:v>
      </x:c>
      <x:c r="F30" s="11" t="str">
        <x:v>NO</x:v>
      </x:c>
      <x:c r="G30" s="11" t="str">
        <x:v>Schedule validation
Look-Ahead
Resource planning</x:v>
      </x:c>
      <x:c r="H30" s="11" t="str">
        <x:v>Other domains may submit a validated command/request to the source owner, never directly mutate its tables. Approved historical versions remain immutable.</x:v>
      </x:c>
    </x:row>
    <x:row r="31" ht="87" customHeight="1">
      <x:c r="A31" s="11" t="str">
        <x:v>DO24</x:v>
      </x:c>
      <x:c r="B31" s="11" t="str">
        <x:v>Control Period</x:v>
      </x:c>
      <x:c r="C31" s="11" t="str">
        <x:v>Project Controls coordination</x:v>
      </x:c>
      <x:c r="D31" s="11" t="str">
        <x:v>Project Controls period authority</x:v>
      </x:c>
      <x:c r="E31" s="11" t="str">
        <x:v>Reuse existing control_periods concept through explicit canonical binding and common cutoff policy</x:v>
      </x:c>
      <x:c r="F31" s="11" t="str">
        <x:v>NO</x:v>
      </x:c>
      <x:c r="G31" s="11" t="str">
        <x:v>All period-controlled domains
Reporting</x:v>
      </x:c>
      <x:c r="H31" s="11" t="str">
        <x:v>Other domains may submit a validated command/request to the source owner, never directly mutate its tables. Approved historical versions remain immutable.</x:v>
      </x:c>
    </x:row>
    <x:row r="32" ht="87" customHeight="1">
      <x:c r="A32" s="11" t="str">
        <x:v>DO25</x:v>
      </x:c>
      <x:c r="B32" s="11" t="str">
        <x:v>BIM object reference</x:v>
      </x:c>
      <x:c r="C32" s="11" t="str">
        <x:v>BIM / 4D cross-cutting capability</x:v>
      </x:c>
      <x:c r="D32" s="11" t="str">
        <x:v>BIM model/version owner</x:v>
      </x:c>
      <x:c r="E32" s="11" t="str">
        <x:v>Model version + IFC GUID/Express ID + mapping, not generic Scope or Activity identity</x:v>
      </x:c>
      <x:c r="F32" s="11" t="str">
        <x:v>NO</x:v>
      </x:c>
      <x:c r="G32" s="11" t="str">
        <x:v>Scope
4D
Progress visualization
Evidence</x:v>
      </x:c>
      <x:c r="H32" s="11" t="str">
        <x:v>Other domains may submit a validated command/request to the source owner, never directly mutate its tables. Approved historical versions remain immutable.</x:v>
      </x:c>
    </x:row>
    <x:row r="33" ht="87" customHeight="1">
      <x:c r="A33" s="11" t="str">
        <x:v>DO26</x:v>
      </x:c>
      <x:c r="B33" s="11" t="str">
        <x:v>Authorization and conditions</x:v>
      </x:c>
      <x:c r="C33" s="11" t="str">
        <x:v>Existing strategic/governed route authority</x:v>
      </x:c>
      <x:c r="D33" s="11" t="str">
        <x:v>FID/Post-FID or route authorization owner</x:v>
      </x:c>
      <x:c r="E33" s="11" t="str">
        <x:v>Source pinned approval history plus current applicable readiness; activation does not clear commitment-only conditions</x:v>
      </x:c>
      <x:c r="F33" s="11" t="str">
        <x:v>NO</x:v>
      </x:c>
      <x:c r="G33" s="11" t="str">
        <x:v>Operational setup
Contract admissibility
Execution checkpoints</x:v>
      </x:c>
      <x:c r="H33" s="11" t="str">
        <x:v>Other domains may submit a validated command/request to the source owner, never directly mutate its tables. Approved historical versions remain immutable.</x:v>
      </x:c>
    </x:row>
  </x:sheetData>
  <x:pageMargins left="0.7" right="0.7" top="0.75" bottom="0.75" header="0.3" footer="0.3"/>
  <x:tableParts count="1">
    <x:tablePart xmlns:r="http://schemas.openxmlformats.org/officeDocument/2006/relationships" r:id="Re428a9aef5bb4ea6"/>
  </x:tableParts>
</x:worksheet>
</file>

<file path=xl/worksheets/sheet6.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s>
  <x:sheetData>
    <x:row r="1" ht="24" customHeight="1">
      <x:c r="A1" s="2"/>
      <x:c r="B1" s="2"/>
      <x:c r="C1" s="2"/>
      <x:c r="D1" s="2"/>
      <x:c r="E1" s="2"/>
      <x:c r="F1" s="2"/>
      <x:c r="G1" s="2"/>
      <x:c r="H1" s="2"/>
      <x:c r="I1" s="2"/>
      <x:c r="J1" s="2"/>
    </x:row>
    <x:row r="2" ht="24" customHeight="1">
      <x:c r="A2" s="3" t="str">
        <x:v>Integraciones conceptuales · referencias, snapshots y comandos</x:v>
      </x:c>
      <x:c r="B2" s="2"/>
      <x:c r="C2" s="2"/>
      <x:c r="D2" s="2"/>
      <x:c r="E2" s="2"/>
      <x:c r="F2" s="2"/>
      <x:c r="G2" s="2"/>
      <x:c r="H2" s="2"/>
      <x:c r="I2" s="2"/>
      <x:c r="J2" s="2"/>
    </x:row>
    <x:row r="3" ht="24" customHeight="1">
      <x:c r="A3" s="4"/>
      <x:c r="B3" s="4"/>
      <x:c r="C3" s="4"/>
      <x:c r="D3" s="4"/>
      <x:c r="E3" s="4"/>
      <x:c r="F3" s="4"/>
      <x:c r="G3" s="4"/>
      <x:c r="H3" s="4"/>
      <x:c r="I3" s="4"/>
      <x:c r="J3" s="4"/>
    </x:row>
    <x:row r="4" ht="24" customHeight="1">
      <x:c r="A4" s="5" t="str">
        <x:v>Corte 19 oct 2026 · Inspección estática; propuestas no aprobadas ni desplegadas. Referencias path:line locales.</x:v>
      </x:c>
      <x:c r="B4" s="2"/>
      <x:c r="C4" s="2"/>
      <x:c r="D4" s="2"/>
      <x:c r="E4" s="2"/>
      <x:c r="F4" s="2"/>
      <x:c r="G4" s="2"/>
      <x:c r="H4" s="2"/>
      <x:c r="I4" s="2"/>
      <x:c r="J4" s="2"/>
    </x:row>
    <x:row r="5" ht="24" customHeight="1">
      <x:c r="A5" s="2"/>
      <x:c r="B5" s="2"/>
      <x:c r="C5" s="2"/>
      <x:c r="D5" s="2"/>
      <x:c r="E5" s="2"/>
      <x:c r="F5" s="2"/>
      <x:c r="G5" s="2"/>
      <x:c r="H5" s="2"/>
      <x:c r="I5" s="2"/>
      <x:c r="J5" s="2"/>
    </x:row>
    <x:row r="6" ht="24" customHeight="1">
      <x:c r="A6" s="2"/>
      <x:c r="B6" s="2"/>
      <x:c r="C6" s="2"/>
      <x:c r="D6" s="2"/>
      <x:c r="E6" s="2"/>
      <x:c r="F6" s="2"/>
      <x:c r="G6" s="2"/>
      <x:c r="H6" s="2"/>
      <x:c r="I6" s="2"/>
      <x:c r="J6" s="2"/>
    </x:row>
    <x:row r="7" ht="48" customHeight="1">
      <x:c r="A7" s="9" t="str">
        <x:v>ID</x:v>
      </x:c>
      <x:c r="B7" s="9" t="str">
        <x:v>Fuente</x:v>
      </x:c>
      <x:c r="C7" s="9" t="str">
        <x:v>Destino</x:v>
      </x:c>
      <x:c r="D7" s="9" t="str">
        <x:v>Datos / evento</x:v>
      </x:c>
      <x:c r="E7" s="9" t="str">
        <x:v>Dirección</x:v>
      </x:c>
      <x:c r="F7" s="9" t="str">
        <x:v>Modalidad</x:v>
      </x:c>
      <x:c r="G7" s="9" t="str">
        <x:v>Autoridad</x:v>
      </x:c>
      <x:c r="H7" s="9" t="str">
        <x:v>Prerrequisitos</x:v>
      </x:c>
      <x:c r="I7" s="9" t="str">
        <x:v>Escritura tabla ajena</x:v>
      </x:c>
      <x:c r="J7" s="9" t="str">
        <x:v>Estado</x:v>
      </x:c>
    </x:row>
    <x:row r="8" ht="57" customHeight="1">
      <x:c r="A8" s="11" t="str">
        <x:v>IN01</x:v>
      </x:c>
      <x:c r="B8" s="11" t="str">
        <x:v>Scope</x:v>
      </x:c>
      <x:c r="C8" s="11" t="str">
        <x:v>Schedule</x:v>
      </x:c>
      <x:c r="D8" s="11" t="str">
        <x:v>Scope/WBS/deliverable and quantity-to-activity mappings</x:v>
      </x:c>
      <x:c r="E8" s="11" t="str">
        <x:v>SOURCE_TO_TARGET</x:v>
      </x:c>
      <x:c r="F8" s="11" t="str">
        <x:v>REFERENCE + APPROVED SNAPSHOT</x:v>
      </x:c>
      <x:c r="G8" s="11" t="str">
        <x:v>Scope owns scope; Schedule owns activities</x:v>
      </x:c>
      <x:c r="H8" s="11" t="str">
        <x:v>Canonical Project binding; approved mapping supports many-to-many and units/version</x:v>
      </x:c>
      <x:c r="I8" s="11" t="str">
        <x:v>NO</x:v>
      </x:c>
      <x:c r="J8" s="11" t="str">
        <x:v>PROPOSED_DESIGN</x:v>
      </x:c>
    </x:row>
    <x:row r="9" ht="57" customHeight="1">
      <x:c r="A9" s="11" t="str">
        <x:v>IN02</x:v>
      </x:c>
      <x:c r="B9" s="11" t="str">
        <x:v>Scope</x:v>
      </x:c>
      <x:c r="C9" s="11" t="str">
        <x:v>Cost</x:v>
      </x:c>
      <x:c r="D9" s="11" t="str">
        <x:v>Scope/CBS/control-account/quantity budget mapping</x:v>
      </x:c>
      <x:c r="E9" s="11" t="str">
        <x:v>SOURCE_TO_TARGET</x:v>
      </x:c>
      <x:c r="F9" s="11" t="str">
        <x:v>REFERENCE + APPROVED SNAPSHOT</x:v>
      </x:c>
      <x:c r="G9" s="11" t="str">
        <x:v>Scope quantity owner; Cost budget owner</x:v>
      </x:c>
      <x:c r="H9" s="11" t="str">
        <x:v>Baseline mapping/version and allocation totals; no assumed one-to-one</x:v>
      </x:c>
      <x:c r="I9" s="11" t="str">
        <x:v>NO</x:v>
      </x:c>
      <x:c r="J9" s="11" t="str">
        <x:v>PROPOSED_DESIGN</x:v>
      </x:c>
    </x:row>
    <x:row r="10" ht="72" customHeight="1">
      <x:c r="A10" s="11" t="str">
        <x:v>IN03</x:v>
      </x:c>
      <x:c r="B10" s="11" t="str">
        <x:v>Schedule</x:v>
      </x:c>
      <x:c r="C10" s="11" t="str">
        <x:v>Progress</x:v>
      </x:c>
      <x:c r="D10" s="11" t="str">
        <x:v>Approved activity/milestone baseline and imported schedule progress</x:v>
      </x:c>
      <x:c r="E10" s="11" t="str">
        <x:v>SOURCE_TO_TARGET</x:v>
      </x:c>
      <x:c r="F10" s="11" t="str">
        <x:v>REFERENCE + SNAPSHOT</x:v>
      </x:c>
      <x:c r="G10" s="11" t="str">
        <x:v>Schedule owns imported dates; Progress owns typed measurement</x:v>
      </x:c>
      <x:c r="H10" s="11" t="str">
        <x:v>Schedule source version/data date and progress method; imported schedule percent not physical percent</x:v>
      </x:c>
      <x:c r="I10" s="11" t="str">
        <x:v>NO</x:v>
      </x:c>
      <x:c r="J10" s="11" t="str">
        <x:v>PROPOSED_DESIGN</x:v>
      </x:c>
    </x:row>
    <x:row r="11" ht="57" customHeight="1">
      <x:c r="A11" s="11" t="str">
        <x:v>IN04</x:v>
      </x:c>
      <x:c r="B11" s="11" t="str">
        <x:v>Progress</x:v>
      </x:c>
      <x:c r="C11" s="11" t="str">
        <x:v>Schedule</x:v>
      </x:c>
      <x:c r="D11" s="11" t="str">
        <x:v>Approved installed/physical status as next update input</x:v>
      </x:c>
      <x:c r="E11" s="11" t="str">
        <x:v>SOURCE_TO_TARGET</x:v>
      </x:c>
      <x:c r="F11" s="11" t="str">
        <x:v>COMMAND TO OWNER + SNAPSHOT</x:v>
      </x:c>
      <x:c r="G11" s="11" t="str">
        <x:v>Progress approves evidence; Schedule stages update; P6 calculates CPM</x:v>
      </x:c>
      <x:c r="H11" s="11" t="str">
        <x:v>Period cutoff; progress approval; no silent direct date or critical-path rewrite</x:v>
      </x:c>
      <x:c r="I11" s="11" t="str">
        <x:v>NO</x:v>
      </x:c>
      <x:c r="J11" s="11" t="str">
        <x:v>PROPOSED_DESIGN</x:v>
      </x:c>
    </x:row>
    <x:row r="12" ht="57" customHeight="1">
      <x:c r="A12" s="11" t="str">
        <x:v>IN05</x:v>
      </x:c>
      <x:c r="B12" s="11" t="str">
        <x:v>Progress</x:v>
      </x:c>
      <x:c r="C12" s="11" t="str">
        <x:v>Forecast</x:v>
      </x:c>
      <x:c r="D12" s="11" t="str">
        <x:v>Closed period approved progress/remaining work</x:v>
      </x:c>
      <x:c r="E12" s="11" t="str">
        <x:v>SOURCE_TO_TARGET</x:v>
      </x:c>
      <x:c r="F12" s="11" t="str">
        <x:v>IMMUTABLE SNAPSHOT</x:v>
      </x:c>
      <x:c r="G12" s="11" t="str">
        <x:v>Progress source owner; Forecast derived forecast owner</x:v>
      </x:c>
      <x:c r="H12" s="11" t="str">
        <x:v>Method/unit/denominator; period/version/cutoff; no retrospective baseline change</x:v>
      </x:c>
      <x:c r="I12" s="11" t="str">
        <x:v>NO</x:v>
      </x:c>
      <x:c r="J12" s="11" t="str">
        <x:v>PROPOSED_DESIGN</x:v>
      </x:c>
    </x:row>
    <x:row r="13" ht="57" customHeight="1">
      <x:c r="A13" s="11" t="str">
        <x:v>IN06</x:v>
      </x:c>
      <x:c r="B13" s="11" t="str">
        <x:v>Cost</x:v>
      </x:c>
      <x:c r="C13" s="11" t="str">
        <x:v>Forecast</x:v>
      </x:c>
      <x:c r="D13" s="11" t="str">
        <x:v>Approved current budget, actual/accrual/net commitment</x:v>
      </x:c>
      <x:c r="E13" s="11" t="str">
        <x:v>SOURCE_TO_TARGET</x:v>
      </x:c>
      <x:c r="F13" s="11" t="str">
        <x:v>IMMUTABLE SNAPSHOT</x:v>
      </x:c>
      <x:c r="G13" s="11" t="str">
        <x:v>Cost owns reconciled cost; Forecast owns assumptions/ETC/EAC</x:v>
      </x:c>
      <x:c r="H13" s="11" t="str">
        <x:v>One economic-origin key, period close and chosen forecast method; double-count controls</x:v>
      </x:c>
      <x:c r="I13" s="11" t="str">
        <x:v>NO</x:v>
      </x:c>
      <x:c r="J13" s="11" t="str">
        <x:v>PROPOSED_DESIGN</x:v>
      </x:c>
    </x:row>
    <x:row r="14" ht="57" customHeight="1">
      <x:c r="A14" s="11" t="str">
        <x:v>IN07</x:v>
      </x:c>
      <x:c r="B14" s="11" t="str">
        <x:v>Schedule</x:v>
      </x:c>
      <x:c r="C14" s="11" t="str">
        <x:v>Forecast</x:v>
      </x:c>
      <x:c r="D14" s="11" t="str">
        <x:v>P6-calculated current dates/float/milestones and remaining duration</x:v>
      </x:c>
      <x:c r="E14" s="11" t="str">
        <x:v>SOURCE_TO_TARGET</x:v>
      </x:c>
      <x:c r="F14" s="11" t="str">
        <x:v>REFERENCE + SNAPSHOT</x:v>
      </x:c>
      <x:c r="G14" s="11" t="str">
        <x:v>P6 CPM; Schedule accepted imported version</x:v>
      </x:c>
      <x:c r="H14" s="11" t="str">
        <x:v>Matching data date/calendars/time basis; time forecast scenario is not native CPM output</x:v>
      </x:c>
      <x:c r="I14" s="11" t="str">
        <x:v>NO</x:v>
      </x:c>
      <x:c r="J14" s="11" t="str">
        <x:v>PROPOSED_DESIGN</x:v>
      </x:c>
    </x:row>
    <x:row r="15" ht="57" customHeight="1">
      <x:c r="A15" s="11" t="str">
        <x:v>IN08</x:v>
      </x:c>
      <x:c r="B15" s="11" t="str">
        <x:v>Change</x:v>
      </x:c>
      <x:c r="C15" s="11" t="str">
        <x:v>Cost</x:v>
      </x:c>
      <x:c r="D15" s="11" t="str">
        <x:v>Approved cost impact / baseline amendment request</x:v>
      </x:c>
      <x:c r="E15" s="11" t="str">
        <x:v>SOURCE_TO_TARGET</x:v>
      </x:c>
      <x:c r="F15" s="11" t="str">
        <x:v>COMMAND TO OWNER</x:v>
      </x:c>
      <x:c r="G15" s="11" t="str">
        <x:v>Change owns approval; Cost owns budget implementation</x:v>
      </x:c>
      <x:c r="H15" s="11" t="str">
        <x:v>Authority/scope/amount/ID; independent approval; idempotent implementation reference</x:v>
      </x:c>
      <x:c r="I15" s="11" t="str">
        <x:v>NO</x:v>
      </x:c>
      <x:c r="J15" s="11" t="str">
        <x:v>PROPOSED_DESIGN</x:v>
      </x:c>
    </x:row>
    <x:row r="16" ht="57" customHeight="1">
      <x:c r="A16" s="11" t="str">
        <x:v>IN09</x:v>
      </x:c>
      <x:c r="B16" s="11" t="str">
        <x:v>Change</x:v>
      </x:c>
      <x:c r="C16" s="11" t="str">
        <x:v>Schedule</x:v>
      </x:c>
      <x:c r="D16" s="11" t="str">
        <x:v>Approved time/scope impact / schedule revision request</x:v>
      </x:c>
      <x:c r="E16" s="11" t="str">
        <x:v>SOURCE_TO_TARGET</x:v>
      </x:c>
      <x:c r="F16" s="11" t="str">
        <x:v>COMMAND TO OWNER</x:v>
      </x:c>
      <x:c r="G16" s="11" t="str">
        <x:v>Change approves decision; Schedule/P6 owns schedule update</x:v>
      </x:c>
      <x:c r="H16" s="11" t="str">
        <x:v>Version-bound impact; accepted P6 reimport; no silent recalculation or baseline overwrite</x:v>
      </x:c>
      <x:c r="I16" s="11" t="str">
        <x:v>NO</x:v>
      </x:c>
      <x:c r="J16" s="11" t="str">
        <x:v>PROPOSED_DESIGN</x:v>
      </x:c>
    </x:row>
    <x:row r="17" ht="57" customHeight="1">
      <x:c r="A17" s="11" t="str">
        <x:v>IN10</x:v>
      </x:c>
      <x:c r="B17" s="11" t="str">
        <x:v>Change</x:v>
      </x:c>
      <x:c r="C17" s="11" t="str">
        <x:v>Scope</x:v>
      </x:c>
      <x:c r="D17" s="11" t="str">
        <x:v>Approved scope revision instruction</x:v>
      </x:c>
      <x:c r="E17" s="11" t="str">
        <x:v>SOURCE_TO_TARGET</x:v>
      </x:c>
      <x:c r="F17" s="11" t="str">
        <x:v>COMMAND TO OWNER</x:v>
      </x:c>
      <x:c r="G17" s="11" t="str">
        <x:v>Change decision; Scope revised approved baseline</x:v>
      </x:c>
      <x:c r="H17" s="11" t="str">
        <x:v>Affected source IDs, approval evidence and explicit revised baseline version</x:v>
      </x:c>
      <x:c r="I17" s="11" t="str">
        <x:v>NO</x:v>
      </x:c>
      <x:c r="J17" s="11" t="str">
        <x:v>PROPOSED_DESIGN</x:v>
      </x:c>
    </x:row>
    <x:row r="18" ht="57" customHeight="1">
      <x:c r="A18" s="11" t="str">
        <x:v>IN11</x:v>
      </x:c>
      <x:c r="B18" s="11" t="str">
        <x:v>Procurement</x:v>
      </x:c>
      <x:c r="C18" s="11" t="str">
        <x:v>Contract Administration &amp; Commitments</x:v>
      </x:c>
      <x:c r="D18" s="11" t="str">
        <x:v>Approved award recommendation and sourcing evidence</x:v>
      </x:c>
      <x:c r="E18" s="11" t="str">
        <x:v>SOURCE_TO_TARGET</x:v>
      </x:c>
      <x:c r="F18" s="11" t="str">
        <x:v>REFERENCE + COMMAND TO OWNER</x:v>
      </x:c>
      <x:c r="G18" s="11" t="str">
        <x:v>Procurement recommendation; independent award/Contract authority</x:v>
      </x:c>
      <x:c r="H18" s="11" t="str">
        <x:v>No contract from recommendation alone; authorization/conditions/current canonical binding checked</x:v>
      </x:c>
      <x:c r="I18" s="11" t="str">
        <x:v>NO</x:v>
      </x:c>
      <x:c r="J18" s="11" t="str">
        <x:v>PROPOSED_DESIGN</x:v>
      </x:c>
    </x:row>
    <x:row r="19" ht="57" customHeight="1">
      <x:c r="A19" s="11" t="str">
        <x:v>IN12</x:v>
      </x:c>
      <x:c r="B19" s="11" t="str">
        <x:v>Contract Administration &amp; Commitments</x:v>
      </x:c>
      <x:c r="C19" s="11" t="str">
        <x:v>Cost</x:v>
      </x:c>
      <x:c r="D19" s="11" t="str">
        <x:v>Contract/PO original/current/net obligation and approved variation</x:v>
      </x:c>
      <x:c r="E19" s="11" t="str">
        <x:v>SOURCE_TO_TARGET</x:v>
      </x:c>
      <x:c r="F19" s="11" t="str">
        <x:v>REFERENCE + IMMUTABLE SNAPSHOT</x:v>
      </x:c>
      <x:c r="G19" s="11" t="str">
        <x:v>One contractual obligation authority; Cost aggregates</x:v>
      </x:c>
      <x:c r="H19" s="11" t="str">
        <x:v>Included/call-off/additive PO rule; contract direction; economic-origin deduplication</x:v>
      </x:c>
      <x:c r="I19" s="11" t="str">
        <x:v>NO</x:v>
      </x:c>
      <x:c r="J19" s="11" t="str">
        <x:v>PROPOSED_DESIGN</x:v>
      </x:c>
    </x:row>
    <x:row r="20" ht="42" customHeight="1">
      <x:c r="A20" s="11" t="str">
        <x:v>IN13</x:v>
      </x:c>
      <x:c r="B20" s="11" t="str">
        <x:v>Contract Administration &amp; Commitments</x:v>
      </x:c>
      <x:c r="C20" s="11" t="str">
        <x:v>Procurement</x:v>
      </x:c>
      <x:c r="D20" s="11" t="str">
        <x:v>Contract/PO award reference and legal obligation status</x:v>
      </x:c>
      <x:c r="E20" s="11" t="str">
        <x:v>SOURCE_TO_TARGET</x:v>
      </x:c>
      <x:c r="F20" s="11" t="str">
        <x:v>REFERENCE</x:v>
      </x:c>
      <x:c r="G20" s="11" t="str">
        <x:v>Contract owner legal register</x:v>
      </x:c>
      <x:c r="H20" s="11" t="str">
        <x:v>No shadow Procurement PO; exact award and package relation</x:v>
      </x:c>
      <x:c r="I20" s="11" t="str">
        <x:v>NO</x:v>
      </x:c>
      <x:c r="J20" s="11" t="str">
        <x:v>PROPOSED_DESIGN</x:v>
      </x:c>
    </x:row>
    <x:row r="21" ht="87" customHeight="1">
      <x:c r="A21" s="11" t="str">
        <x:v>IN14</x:v>
      </x:c>
      <x:c r="B21" s="11" t="str">
        <x:v>Procurement</x:v>
      </x:c>
      <x:c r="C21" s="11" t="str">
        <x:v>Schedule</x:v>
      </x:c>
      <x:c r="D21" s="11" t="str">
        <x:v>Long-lead milestones/material readiness and delivery constraints</x:v>
      </x:c>
      <x:c r="E21" s="11" t="str">
        <x:v>SOURCE_TO_TARGET</x:v>
      </x:c>
      <x:c r="F21" s="11" t="str">
        <x:v>REFERENCE + SNAPSHOT</x:v>
      </x:c>
      <x:c r="G21" s="11" t="str">
        <x:v>Procurement sourcing/delivery status; Contract Administration owns referenced legal commitment; Schedule owns accepted current update</x:v>
      </x:c>
      <x:c r="H21" s="11" t="str">
        <x:v>Package/PO/revision/date provenance; target vs promised vs actual distinction</x:v>
      </x:c>
      <x:c r="I21" s="11" t="str">
        <x:v>NO</x:v>
      </x:c>
      <x:c r="J21" s="11" t="str">
        <x:v>PROPOSED_DESIGN</x:v>
      </x:c>
    </x:row>
    <x:row r="22" ht="42" customHeight="1">
      <x:c r="A22" s="11" t="str">
        <x:v>IN15</x:v>
      </x:c>
      <x:c r="B22" s="11" t="str">
        <x:v>Engineering</x:v>
      </x:c>
      <x:c r="C22" s="11" t="str">
        <x:v>Procurement</x:v>
      </x:c>
      <x:c r="D22" s="11" t="str">
        <x:v>Approved-for-procurement/IFC deliverable references</x:v>
      </x:c>
      <x:c r="E22" s="11" t="str">
        <x:v>SOURCE_TO_TARGET</x:v>
      </x:c>
      <x:c r="F22" s="11" t="str">
        <x:v>REFERENCE + SNAPSHOT</x:v>
      </x:c>
      <x:c r="G22" s="11" t="str">
        <x:v>Engineering technical approval; Documents revision</x:v>
      </x:c>
      <x:c r="H22" s="11" t="str">
        <x:v>Release status/type; version/hash; superseded drawing handling</x:v>
      </x:c>
      <x:c r="I22" s="11" t="str">
        <x:v>NO</x:v>
      </x:c>
      <x:c r="J22" s="11" t="str">
        <x:v>PROPOSED_DESIGN</x:v>
      </x:c>
    </x:row>
    <x:row r="23" ht="57" customHeight="1">
      <x:c r="A23" s="11" t="str">
        <x:v>IN16</x:v>
      </x:c>
      <x:c r="B23" s="11" t="str">
        <x:v>Engineering</x:v>
      </x:c>
      <x:c r="C23" s="11" t="str">
        <x:v>Construction</x:v>
      </x:c>
      <x:c r="D23" s="11" t="str">
        <x:v>Approved design package/IFC release and open technical constraints</x:v>
      </x:c>
      <x:c r="E23" s="11" t="str">
        <x:v>SOURCE_TO_TARGET</x:v>
      </x:c>
      <x:c r="F23" s="11" t="str">
        <x:v>REFERENCE + SNAPSHOT</x:v>
      </x:c>
      <x:c r="G23" s="11" t="str">
        <x:v>Engineering approval; Construction workfront decision</x:v>
      </x:c>
      <x:c r="H23" s="11" t="str">
        <x:v>Exact document revisions; no construction release on draft/obsolete technical information</x:v>
      </x:c>
      <x:c r="I23" s="11" t="str">
        <x:v>NO</x:v>
      </x:c>
      <x:c r="J23" s="11" t="str">
        <x:v>PROPOSED_DESIGN</x:v>
      </x:c>
    </x:row>
    <x:row r="24" ht="57" customHeight="1">
      <x:c r="A24" s="11" t="str">
        <x:v>IN17</x:v>
      </x:c>
      <x:c r="B24" s="11" t="str">
        <x:v>Construction</x:v>
      </x:c>
      <x:c r="C24" s="11" t="str">
        <x:v>Progress</x:v>
      </x:c>
      <x:c r="D24" s="11" t="str">
        <x:v>Installed quantities, labor/equipment hours and inspection evidence</x:v>
      </x:c>
      <x:c r="E24" s="11" t="str">
        <x:v>SOURCE_TO_TARGET</x:v>
      </x:c>
      <x:c r="F24" s="11" t="str">
        <x:v>COMMAND TO OWNER + SNAPSHOT</x:v>
      </x:c>
      <x:c r="G24" s="11" t="str">
        <x:v>Field owns capture evidence; Progress approves method results</x:v>
      </x:c>
      <x:c r="H24" s="11" t="str">
        <x:v>Unit/quantity/scope/work-package reference; approved period; no auto physical-percent substitution</x:v>
      </x:c>
      <x:c r="I24" s="11" t="str">
        <x:v>NO</x:v>
      </x:c>
      <x:c r="J24" s="11" t="str">
        <x:v>PROPOSED_DESIGN</x:v>
      </x:c>
    </x:row>
    <x:row r="25" ht="57" customHeight="1">
      <x:c r="A25" s="11" t="str">
        <x:v>IN18</x:v>
      </x:c>
      <x:c r="B25" s="11" t="str">
        <x:v>Quality</x:v>
      </x:c>
      <x:c r="C25" s="11" t="str">
        <x:v>Construction</x:v>
      </x:c>
      <x:c r="D25" s="11" t="str">
        <x:v>Inspection/test/NCR/punch constraints and acceptance evidence</x:v>
      </x:c>
      <x:c r="E25" s="11" t="str">
        <x:v>SOURCE_TO_TARGET</x:v>
      </x:c>
      <x:c r="F25" s="11" t="str">
        <x:v>REFERENCE + COMMAND TO OWNER</x:v>
      </x:c>
      <x:c r="G25" s="11" t="str">
        <x:v>Quality approves tests/dispositions; Construction owns workfront</x:v>
      </x:c>
      <x:c r="H25" s="11" t="str">
        <x:v>Failed/open NCR cannot be represented as accepted; independent approvals where applicable</x:v>
      </x:c>
      <x:c r="I25" s="11" t="str">
        <x:v>NO</x:v>
      </x:c>
      <x:c r="J25" s="11" t="str">
        <x:v>PROPOSED_DESIGN</x:v>
      </x:c>
    </x:row>
    <x:row r="26" ht="57" customHeight="1">
      <x:c r="A26" s="11" t="str">
        <x:v>IN19</x:v>
      </x:c>
      <x:c r="B26" s="11" t="str">
        <x:v>Risk</x:v>
      </x:c>
      <x:c r="C26" s="11" t="str">
        <x:v>Forecast</x:v>
      </x:c>
      <x:c r="D26" s="11" t="str">
        <x:v>Exposure/response/residual uncertainty and assumptions</x:v>
      </x:c>
      <x:c r="E26" s="11" t="str">
        <x:v>SOURCE_TO_TARGET</x:v>
      </x:c>
      <x:c r="F26" s="11" t="str">
        <x:v>REFERENCE + SNAPSHOT</x:v>
      </x:c>
      <x:c r="G26" s="11" t="str">
        <x:v>Risk owner accepted risks; Forecast owns scenario assumptions</x:v>
      </x:c>
      <x:c r="H26" s="11" t="str">
        <x:v>Readiness evidence is not operational risk quantification; no implicit QRA simulation</x:v>
      </x:c>
      <x:c r="I26" s="11" t="str">
        <x:v>NO</x:v>
      </x:c>
      <x:c r="J26" s="11" t="str">
        <x:v>PROPOSED_DESIGN</x:v>
      </x:c>
    </x:row>
    <x:row r="27" ht="57" customHeight="1">
      <x:c r="A27" s="11" t="str">
        <x:v>IN20</x:v>
      </x:c>
      <x:c r="B27" s="11" t="str">
        <x:v>Issue</x:v>
      </x:c>
      <x:c r="C27" s="11" t="str">
        <x:v>Change</x:v>
      </x:c>
      <x:c r="D27" s="11" t="str">
        <x:v>Occurring issue with possible impact/request</x:v>
      </x:c>
      <x:c r="E27" s="11" t="str">
        <x:v>SOURCE_TO_TARGET</x:v>
      </x:c>
      <x:c r="F27" s="11" t="str">
        <x:v>COMMAND TO OWNER</x:v>
      </x:c>
      <x:c r="G27" s="11" t="str">
        <x:v>Issue source; Change impact and approval authority</x:v>
      </x:c>
      <x:c r="H27" s="11" t="str">
        <x:v>Issue closure does not approve change; causal link and separate owners</x:v>
      </x:c>
      <x:c r="I27" s="11" t="str">
        <x:v>NO</x:v>
      </x:c>
      <x:c r="J27" s="11" t="str">
        <x:v>PROPOSED_DESIGN</x:v>
      </x:c>
    </x:row>
    <x:row r="28" ht="57" customHeight="1">
      <x:c r="A28" s="11" t="str">
        <x:v>IN21</x:v>
      </x:c>
      <x:c r="B28" s="11" t="str">
        <x:v>Document &amp; Information Management</x:v>
      </x:c>
      <x:c r="C28" s="11" t="str">
        <x:v>Engineering</x:v>
      </x:c>
      <x:c r="D28" s="11" t="str">
        <x:v>Controlled revision/review/distribution reference</x:v>
      </x:c>
      <x:c r="E28" s="11" t="str">
        <x:v>SOURCE_TO_TARGET</x:v>
      </x:c>
      <x:c r="F28" s="11" t="str">
        <x:v>REFERENCE + SNAPSHOT</x:v>
      </x:c>
      <x:c r="G28" s="11" t="str">
        <x:v>Document Controller/external DMS controlled file; Engineering technical disposition</x:v>
      </x:c>
      <x:c r="H28" s="11" t="str">
        <x:v>DMS ref/revision/status/hash/access; no duplicate enterprise DMS</x:v>
      </x:c>
      <x:c r="I28" s="11" t="str">
        <x:v>NO</x:v>
      </x:c>
      <x:c r="J28" s="11" t="str">
        <x:v>PROPOSED_DESIGN</x:v>
      </x:c>
    </x:row>
    <x:row r="29" ht="57" customHeight="1">
      <x:c r="A29" s="11" t="str">
        <x:v>IN22</x:v>
      </x:c>
      <x:c r="B29" s="11" t="str">
        <x:v>Commissioning</x:v>
      </x:c>
      <x:c r="C29" s="11" t="str">
        <x:v>Handover</x:v>
      </x:c>
      <x:c r="D29" s="11" t="str">
        <x:v>Accepted system test/turnover dossier and punch disposition</x:v>
      </x:c>
      <x:c r="E29" s="11" t="str">
        <x:v>SOURCE_TO_TARGET</x:v>
      </x:c>
      <x:c r="F29" s="11" t="str">
        <x:v>REFERENCE + SNAPSHOT</x:v>
      </x:c>
      <x:c r="G29" s="11" t="str">
        <x:v>Commissioning test authority; Handover acceptance authority</x:v>
      </x:c>
      <x:c r="H29" s="11" t="str">
        <x:v>System boundaries, required evidence and residual condition acceptance</x:v>
      </x:c>
      <x:c r="I29" s="11" t="str">
        <x:v>NO</x:v>
      </x:c>
      <x:c r="J29" s="11" t="str">
        <x:v>PROPOSED_DESIGN</x:v>
      </x:c>
    </x:row>
    <x:row r="30" ht="57" customHeight="1">
      <x:c r="A30" s="11" t="str">
        <x:v>IN23</x:v>
      </x:c>
      <x:c r="B30" s="11" t="str">
        <x:v>Handover</x:v>
      </x:c>
      <x:c r="C30" s="11" t="str">
        <x:v>Project Closeout</x:v>
      </x:c>
      <x:c r="D30" s="11" t="str">
        <x:v>Accepted handover, training/manuals/spares and residual conditions</x:v>
      </x:c>
      <x:c r="E30" s="11" t="str">
        <x:v>SOURCE_TO_TARGET</x:v>
      </x:c>
      <x:c r="F30" s="11" t="str">
        <x:v>REFERENCE + SNAPSHOT</x:v>
      </x:c>
      <x:c r="G30" s="11" t="str">
        <x:v>Handover acceptance; Closeout checklist approval</x:v>
      </x:c>
      <x:c r="H30" s="11" t="str">
        <x:v>No financial/claims closeout inferred; canonical identity never deleted</x:v>
      </x:c>
      <x:c r="I30" s="11" t="str">
        <x:v>NO</x:v>
      </x:c>
      <x:c r="J30" s="11" t="str">
        <x:v>PROPOSED_DESIGN</x:v>
      </x:c>
    </x:row>
    <x:row r="31" ht="57" customHeight="1">
      <x:c r="A31" s="11" t="str">
        <x:v>IN24</x:v>
      </x:c>
      <x:c r="B31" s="11" t="str">
        <x:v>Strategic handoff</x:v>
      </x:c>
      <x:c r="C31" s="11" t="str">
        <x:v>Operational Setup</x:v>
      </x:c>
      <x:c r="D31" s="11" t="str">
        <x:v>Canonical Workspace, route authorization and H01-H15 source references</x:v>
      </x:c>
      <x:c r="E31" s="11" t="str">
        <x:v>SOURCE_TO_TARGET</x:v>
      </x:c>
      <x:c r="F31" s="11" t="str">
        <x:v>REFERENCE + PINNED SNAPSHOT</x:v>
      </x:c>
      <x:c r="G31" s="11" t="str">
        <x:v>Existing upstream authority remains owner</x:v>
      </x:c>
      <x:c r="H31" s="11" t="str">
        <x:v>Version/hash/source current and route policy; no local FID or strategic approval</x:v>
      </x:c>
      <x:c r="I31" s="11" t="str">
        <x:v>NO</x:v>
      </x:c>
      <x:c r="J31" s="11" t="str">
        <x:v>PROPOSED_DESIGN</x:v>
      </x:c>
    </x:row>
    <x:row r="32" ht="57" customHeight="1">
      <x:c r="A32" s="11" t="str">
        <x:v>IN25</x:v>
      </x:c>
      <x:c r="B32" s="11" t="str">
        <x:v>Operational Reporting</x:v>
      </x:c>
      <x:c r="C32" s="11" t="str">
        <x:v>Strategic material-change review</x:v>
      </x:c>
      <x:c r="D32" s="11" t="str">
        <x:v>Material deviation alert plus period/forecast evidence</x:v>
      </x:c>
      <x:c r="E32" s="11" t="str">
        <x:v>SOURCE_TO_TARGET</x:v>
      </x:c>
      <x:c r="F32" s="11" t="str">
        <x:v>COMMAND REQUEST + REFERENCE</x:v>
      </x:c>
      <x:c r="G32" s="11" t="str">
        <x:v>Operational report consumes; strategic owner decides review</x:v>
      </x:c>
      <x:c r="H32" s="11" t="str">
        <x:v>No dashboard mutation of BC/FID/FIN/Funding; explicit threshold/policy review</x:v>
      </x:c>
      <x:c r="I32" s="11" t="str">
        <x:v>NO</x:v>
      </x:c>
      <x:c r="J32" s="11" t="str">
        <x:v>PROPOSED_DESIGN</x:v>
      </x:c>
    </x:row>
    <x:row r="33" ht="57" customHeight="1">
      <x:c r="A33" s="11" t="str">
        <x:v>IN26</x:v>
      </x:c>
      <x:c r="B33" s="11" t="str">
        <x:v>BIM / 4D</x:v>
      </x:c>
      <x:c r="C33" s="11" t="str">
        <x:v>Scope / Schedule / Progress</x:v>
      </x:c>
      <x:c r="D33" s="11" t="str">
        <x:v>Model version/object and activity/scope/package mapping</x:v>
      </x:c>
      <x:c r="E33" s="11" t="str">
        <x:v>SOURCE_TO_TARGET</x:v>
      </x:c>
      <x:c r="F33" s="11" t="str">
        <x:v>REFERENCE + VISUALIZATION SNAPSHOT</x:v>
      </x:c>
      <x:c r="G33" s="11" t="str">
        <x:v>Generic owners retain business records; BIM owns model mapping</x:v>
      </x:c>
      <x:c r="H33" s="11" t="str">
        <x:v>IFC version/GUID/Express ID, tenant/project and validity; not BIM-specific generic core</x:v>
      </x:c>
      <x:c r="I33" s="11" t="str">
        <x:v>NO</x:v>
      </x:c>
      <x:c r="J33" s="11" t="str">
        <x:v>PROPOSED_DESIGN</x:v>
      </x:c>
    </x:row>
  </x:sheetData>
  <x:pageMargins left="0.7" right="0.7" top="0.75" bottom="0.75" header="0.3" footer="0.3"/>
  <x:tableParts count="1">
    <x:tablePart xmlns:r="http://schemas.openxmlformats.org/officeDocument/2006/relationships" r:id="Rf944679df8cb4962"/>
  </x:tableParts>
</x:worksheet>
</file>

<file path=xl/worksheets/sheet7.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 min="7" max="7" width="36" hidden="0" customWidth="1"/>
    <x:col min="8" max="8" width="36" hidden="0" customWidth="1"/>
    <x:col min="9" max="9" width="80" hidden="0" customWidth="1"/>
    <x:col min="10" max="10" width="45" hidden="0" customWidth="1"/>
    <x:col min="11" max="11" width="20" hidden="0" customWidth="1"/>
  </x:cols>
  <x:sheetData>
    <x:row r="1" ht="24" customHeight="1">
      <x:c r="A1" s="2"/>
      <x:c r="B1" s="2"/>
      <x:c r="C1" s="2"/>
      <x:c r="D1" s="2"/>
      <x:c r="E1" s="2"/>
      <x:c r="F1" s="2"/>
      <x:c r="G1" s="2"/>
      <x:c r="H1" s="2"/>
      <x:c r="I1" s="2"/>
      <x:c r="J1" s="2"/>
      <x:c r="K1" s="2"/>
    </x:row>
    <x:row r="2" ht="24" customHeight="1">
      <x:c r="A2" s="3" t="str">
        <x:v>Inventario por evidencia · filas BE/FE/PH no equivalen a funciones únicas</x:v>
      </x:c>
      <x:c r="B2" s="2"/>
      <x:c r="C2" s="2"/>
      <x:c r="D2" s="2"/>
      <x:c r="E2" s="2"/>
      <x:c r="F2" s="2"/>
      <x:c r="G2" s="2"/>
      <x:c r="H2" s="2"/>
      <x:c r="I2" s="2"/>
      <x:c r="J2" s="2"/>
      <x:c r="K2" s="2"/>
    </x:row>
    <x:row r="3" ht="24" customHeight="1">
      <x:c r="A3" s="4"/>
      <x:c r="B3" s="4"/>
      <x:c r="C3" s="4"/>
      <x:c r="D3" s="4"/>
      <x:c r="E3" s="4"/>
      <x:c r="F3" s="4"/>
      <x:c r="G3" s="4"/>
      <x:c r="H3" s="4"/>
      <x:c r="I3" s="4"/>
      <x:c r="J3" s="4"/>
      <x:c r="K3" s="4"/>
    </x:row>
    <x:row r="4" ht="24" customHeight="1">
      <x:c r="A4" s="5" t="str">
        <x:v>Corte 19 oct 2026 · Inspección estática; propuestas no aprobadas ni desplegadas. Referencias path:line locales.</x:v>
      </x:c>
      <x:c r="B4" s="2"/>
      <x:c r="C4" s="2"/>
      <x:c r="D4" s="2"/>
      <x:c r="E4" s="2"/>
      <x:c r="F4" s="2"/>
      <x:c r="G4" s="2"/>
      <x:c r="H4" s="2"/>
      <x:c r="I4" s="2"/>
      <x:c r="J4" s="2"/>
      <x:c r="K4" s="2"/>
    </x:row>
    <x:row r="5" ht="24" customHeight="1">
      <x:c r="A5" s="2"/>
      <x:c r="B5" s="2"/>
      <x:c r="C5" s="2"/>
      <x:c r="D5" s="2"/>
      <x:c r="E5" s="2"/>
      <x:c r="F5" s="2"/>
      <x:c r="G5" s="2"/>
      <x:c r="H5" s="2"/>
      <x:c r="I5" s="2"/>
      <x:c r="J5" s="2"/>
      <x:c r="K5" s="2"/>
    </x:row>
    <x:row r="6" ht="24" customHeight="1">
      <x:c r="A6" s="2"/>
      <x:c r="B6" s="2"/>
      <x:c r="C6" s="2"/>
      <x:c r="D6" s="2"/>
      <x:c r="E6" s="2"/>
      <x:c r="F6" s="2"/>
      <x:c r="G6" s="2"/>
      <x:c r="H6" s="2"/>
      <x:c r="I6" s="2"/>
      <x:c r="J6" s="2"/>
      <x:c r="K6" s="2"/>
    </x:row>
    <x:row r="7" ht="48" customHeight="1">
      <x:c r="A7" s="9" t="str">
        <x:v>ID evidencia</x:v>
      </x:c>
      <x:c r="B7" s="9" t="str">
        <x:v>Capa</x:v>
      </x:c>
      <x:c r="C7" s="9" t="str">
        <x:v>Área</x:v>
      </x:c>
      <x:c r="D7" s="9" t="str">
        <x:v>Clasificación</x:v>
      </x:c>
      <x:c r="E7" s="9" t="str">
        <x:v>Estado / vistas</x:v>
      </x:c>
      <x:c r="F7" s="9" t="str">
        <x:v>Observación</x:v>
      </x:c>
      <x:c r="G7" s="9" t="str">
        <x:v>Limitaciones</x:v>
      </x:c>
      <x:c r="H7" s="9" t="str">
        <x:v>Reutilización / autoridad</x:v>
      </x:c>
      <x:c r="I7" s="9" t="str">
        <x:v>Fuente path:line</x:v>
      </x:c>
      <x:c r="J7" s="9" t="str">
        <x:v>Tests definidos</x:v>
      </x:c>
      <x:c r="K7" s="9" t="str">
        <x:v>Verificación</x:v>
      </x:c>
    </x:row>
    <x:row r="8" ht="102" customHeight="1">
      <x:c r="A8" s="11" t="str">
        <x:v>BE-01</x:v>
      </x:c>
      <x:c r="B8" s="11" t="str">
        <x:v>BACKEND</x:v>
      </x:c>
      <x:c r="C8" s="11" t="str">
        <x:v>Operational project setup and project membership</x:v>
      </x:c>
      <x:c r="D8" s="11" t="str">
        <x:v>REUSE</x:v>
      </x:c>
      <x:c r="E8" s="11" t="str">
        <x:v>Implemented legacy operational setup; separate from governed canonical project creation and activation.</x:v>
      </x:c>
      <x:c r="F8" s="11" t="str">
        <x:v>Legacy create_project creates Project, WBS and control plan plus creator membership. Activity-sheet get-data checks separate operational setup readiness.</x:v>
      </x:c>
      <x:c r="G8" s="11" t="str">
        <x:v>Does not establish canonical PROJECT creation authority.
Operational setup ready flags do not substitute for FID, canonical activation, permissions or fully tested domain readiness.</x:v>
      </x:c>
      <x:c r="H8" s="11" t="str">
        <x:v>Enterprise foundation owns canonical workspace; operational onboarding consumes that identity through an explicit binding. Keep existing operational records and memberships.</x:v>
      </x:c>
      <x:c r="I8" s="11" t="str">
        <x:v>backend/app/domain/models.py:79; backend/app/domain/models.py:100; backend/app/domain/models.py:123; backend/app/domain/models.py:597; backend/app/api/v1/routers/projects.py:146; backend/app/api/v1/routers/projects.py:498; backend/app/api/v1/routers/projects.py:550; backend/app/api/v1/routers/projects.py:161; backend/app/api/v1/routers/projects.py:176; backend/app/api/v1/routers/projects.py:2166</x:v>
      </x:c>
      <x:c r="J8" s="11" t="str">
        <x:v>backend/tests/test_project_operational_setup_activity_sheet.py:8
backend/tests/test_integrated_control.py:8</x:v>
      </x:c>
      <x:c r="K8" s="11" t="str">
        <x:v>SOURCE_INSPECTED_ONLY / NOT_RUN</x:v>
      </x:c>
    </x:row>
    <x:row r="9" ht="192" customHeight="1">
      <x:c r="A9" s="11" t="str">
        <x:v>BE-02</x:v>
      </x:c>
      <x:c r="B9" s="11" t="str">
        <x:v>BACKEND</x:v>
      </x:c>
      <x:c r="C9" s="11" t="str">
        <x:v>Scope quantities and IFC/Excel source import</x:v>
      </x:c>
      <x:c r="D9" s="11" t="str">
        <x:v>EXTEND</x:v>
      </x:c>
      <x:c r="E9" s="11" t="str">
        <x:v>Substantive implemented quantity takeoff and traceable mappings; not a complete governed Scope Item lifecycle.</x:v>
      </x:c>
      <x:c r="F9" s="11" t="str">
        <x:v>IFC, CSV and OOXML quantities are parsed, source SHA and model links retained, IFC GUID/Express ID and spatial metadata captured; WBS/CBS/FBS/package references have both code and relational links, with mapped versus needs_mapping status and quantity-rule notes.</x:v>
      </x:c>
      <x:c r="G9" s="11" t="str">
        <x:v>The source-type detector accepts .xls but spreadsheet parsing routes non-CSV content to a ZIP/XML reader; legacy binary XLS capability is not established.
No separate governed scope-item revision/approval/change-baseline lifecycle was located in these services.
Codes and IDs require coherent catalog ownership; do not introduce parallel WBS/CBS/FBS catalogs.</x:v>
      </x:c>
      <x:c r="H9" s="11" t="str">
        <x:v>Ver autoridad propuesta del dominio D01–D25; no nuevo maestro.</x:v>
      </x:c>
      <x:c r="I9" s="11" t="str">
        <x:v>backend/app/domain/models.py:183; backend/app/domain/models.py:282; backend/app/api/v1/routers/projects.py:931; backend/app/api/v1/routers/projects.py:1239; backend/app/api/v1/routers/projects.py:1856; backend/app/services/quantity_takeoff.py:206; backend/app/services/quantity_takeoff.py:295; backend/app/services/quantity_takeoff.py:710; backend/app/services/quantity_takeoff.py:818; backend/app/services/quantity_takeoff.py:551; backend/app/services/quantity_takeoff.py:591; backend/app/services/quantity_takeoff.py:605</x:v>
      </x:c>
      <x:c r="J9" s="11" t="str">
        <x:v>backend/tests/test_quantity_takeoff.py:13
backend/tests/test_quantity_takeoff.py:188
backend/tests/test_quantity_takeoff.py:288
backend/tests/test_quantity_takeoff.py:441
backend/tests/test_quantity_takeoff.py:539
backend/tests/test_quantity_takeoff.py:580</x:v>
      </x:c>
      <x:c r="K9" s="11" t="str">
        <x:v>SOURCE_INSPECTED_ONLY / NOT_RUN</x:v>
      </x:c>
    </x:row>
    <x:row r="10" ht="192" customHeight="1">
      <x:c r="A10" s="11" t="str">
        <x:v>BE-03</x:v>
      </x:c>
      <x:c r="B10" s="11" t="str">
        <x:v>BACKEND</x:v>
      </x:c>
      <x:c r="C10" s="11" t="str">
        <x:v>BIM model registry, properties and geometry cache</x:v>
      </x:c>
      <x:c r="D10" s="11" t="str">
        <x:v>REUSE</x:v>
      </x:c>
      <x:c r="E10" s="11" t="str">
        <x:v>Implemented model/source registry, properties lookup and optional backend cache boundary; converter availability and real-model completeness remain environment-specific.</x:v>
      </x:c>
      <x:c r="F10" s="11" t="str">
        <x:v>Registry validates IFC source and persists source identity/revision, properties, units and georeference. Cache conversion is configured through BIM_GEOMETRY_CONVERTER_COMMAND; missing command returns 409. Optional converter uses IfcOpenShell geometry with product/triangle bounds.</x:v>
      </x:c>
      <x:c r="G10" s="11" t="str">
        <x:v>The cache integration test uses a fake converter; it is not evidence of actual IfcOpenShell availability or full production-model rendering.
No automatic claim of full IFC schema coverage, clash coordination, 4D binding or complete geometry extraction is justified by these endpoints.</x:v>
      </x:c>
      <x:c r="H10" s="11" t="str">
        <x:v>Ver autoridad propuesta del dominio D01–D25; no nuevo maestro.</x:v>
      </x:c>
      <x:c r="I10" s="11" t="str">
        <x:v>backend/app/domain/models.py:210; backend/app/api/v1/routers/projects.py:1659; backend/app/api/v1/routers/projects.py:1751; backend/app/api/v1/routers/projects.py:1766; backend/app/api/v1/routers/projects.py:1780; backend/app/services/bim_models.py:53; backend/app/services/bim_models.py:107; backend/app/services/bim_models.py:126; backend/app/services/bim_models.py:140; backend/app/services/ifc_geometry_converter.py:11; backend/tests/test_bim_model_registry.py:119; backend/tests/test_bim_model_registry.py:135</x:v>
      </x:c>
      <x:c r="J10" s="11" t="str">
        <x:v>backend/tests/test_bim_model_registry.py:10
backend/tests/test_bim_model_registry.py:74
backend/tests/test_bim_model_registry.py:118
backend/tests/test_bim_model_registry.py:188
backend/tests/test_bim_model_registry.py:239
backend/tests/test_bim_model_registry.py:275</x:v>
      </x:c>
      <x:c r="K10" s="11" t="str">
        <x:v>SOURCE_INSPECTED_ONLY / NOT_RUN</x:v>
      </x:c>
    </x:row>
    <x:row r="11" ht="192" customHeight="1">
      <x:c r="A11" s="11" t="str">
        <x:v>BE-04</x:v>
      </x:c>
      <x:c r="B11" s="11" t="str">
        <x:v>BACKEND</x:v>
      </x:c>
      <x:c r="C11" s="11" t="str">
        <x:v>Quantity rule catalog and controlled measurements</x:v>
      </x:c>
      <x:c r="D11" s="11" t="str">
        <x:v>REUSE</x:v>
      </x:c>
      <x:c r="E11" s="11" t="str">
        <x:v>Implemented dimensional validation, configurable project rules, controlled measurement versioning and geometry preview/apply.</x:v>
      </x:c>
      <x:c r="F11" s="11" t="str">
        <x:v>Implemented dimensional validation, configurable project rules, controlled measurement versioning and geometry preview/apply.</x:v>
      </x:c>
      <x:c r="G11" s="11" t="str">
        <x:v>Inventory count is not authoritative dimensional quantity; preserve current blocking and controlled-geometry gates.
Preview/apply capabilities do not prove external professional measurement acceptance.</x:v>
      </x:c>
      <x:c r="H11" s="11" t="str">
        <x:v>Ver autoridad propuesta del dominio D01–D25; no nuevo maestro.</x:v>
      </x:c>
      <x:c r="I11" s="11" t="str">
        <x:v>backend/app/domain/models.py:234; backend/app/api/v1/routers/projects.py:858; backend/app/api/v1/routers/projects.py:872; backend/app/api/v1/routers/projects.py:1202; backend/app/api/v1/routers/projects.py:1274; backend/app/api/v1/routers/projects.py:1413; backend/app/services/bim_quantity_rules.py:1; backend/app/services/bim_quantity_rule_catalog.py:1; backend/app/services/bim_geometry_quantities.py:40; backend/app/services/quantity_takeoff.py:436</x:v>
      </x:c>
      <x:c r="J11" s="11" t="str">
        <x:v>backend/tests/test_bim_quantity_rules.py:55
backend/tests/test_bim_quantity_rules.py:74
backend/tests/test_bim_quantity_rules.py:99
backend/tests/test_bim_quantity_rule_catalog.py:83
backend/tests/test_bim_geometry_quantities.py:14
backend/tests/test_bim_geometry_quantities.py:118</x:v>
      </x:c>
      <x:c r="K11" s="11" t="str">
        <x:v>SOURCE_INSPECTED_ONLY / NOT_RUN</x:v>
      </x:c>
    </x:row>
    <x:row r="12" ht="207" customHeight="1">
      <x:c r="A12" s="11" t="str">
        <x:v>BE-05</x:v>
      </x:c>
      <x:c r="B12" s="11" t="str">
        <x:v>BACKEND</x:v>
      </x:c>
      <x:c r="C12" s="11" t="str">
        <x:v>APU source catalog, suggestions, approval and BIM budget read model</x:v>
      </x:c>
      <x:c r="D12" s="11" t="str">
        <x:v>EXTEND</x:v>
      </x:c>
      <x:c r="E12" s="11" t="str">
        <x:v>Implemented catalog/suggestion/controlled assignment and frontend rollup; not a published financial baseline writer.</x:v>
      </x:c>
      <x:c r="F12" s="11" t="str">
        <x:v>Suggestions and approvals enforce valid quantity rules and compatible units. Approved quantity/rate/source/license/APU structure are stored under QuantityTakeoffLine.raw_data.budget_item_assignment and displayed/grouped/exported by the frontend.</x:v>
      </x:c>
      <x:c r="G12" s="11" t="str">
        <x:v>No Budget or CostCode row materialization occurs in the inspected APU-approval/control-code-assignment handlers.
Source tests monkeypatch catalog downloads; they do not establish current external source reachability, licensed completeness or market rates.
A future governed cost-baseline handoff must reference these assignments rather than duplicate quantity/APU storage.</x:v>
      </x:c>
      <x:c r="H12" s="11" t="str">
        <x:v>Scope/BIM owns source quantities and controlled assignments; future Cost Manager owns any governed accepted financial baseline. Current assignment status assigned is not that baseline approval.</x:v>
      </x:c>
      <x:c r="I12" s="11" t="str">
        <x:v>backend/app/domain/models.py:255; backend/app/domain/models.py:282; backend/app/api/v1/routers/projects.py:956; backend/app/api/v1/routers/projects.py:1011; backend/app/api/v1/routers/projects.py:1084; backend/app/api/v1/routers/projects.py:1462; backend/app/services/colombia_apu_catalog.py:185; backend/app/services/colombia_apu_catalog.py:306; backend/app/api/v1/routers/projects.py:1149; backend/app/api/v1/routers/projects.py:1165; backend/app/api/v1/routers/projects.py:1558; frontend/src/lib/bimBudget.ts:106; frontend/src/lib/bimBudget.ts:231; frontend/src/components/BimBudgetPanel.tsx:52</x:v>
      </x:c>
      <x:c r="J12" s="11" t="str">
        <x:v>backend/tests/test_colombia_apu_catalog.py:9
backend/tests/test_colombia_apu_catalog.py:177
backend/tests/test_colombia_apu_catalog.py:268</x:v>
      </x:c>
      <x:c r="K12" s="11" t="str">
        <x:v>SOURCE_INSPECTED_ONLY / NOT_RUN</x:v>
      </x:c>
    </x:row>
    <x:row r="13" ht="267" customHeight="1">
      <x:c r="A13" s="11" t="str">
        <x:v>BE-06</x:v>
      </x:c>
      <x:c r="B13" s="11" t="str">
        <x:v>BACKEND</x:v>
      </x:c>
      <x:c r="C13" s="11" t="str">
        <x:v>P6/MS Project schedule ingestion, source metadata and quality findings</x:v>
      </x:c>
      <x:c r="D13" s="11" t="str">
        <x:v>REUSE</x:v>
      </x:c>
      <x:c r="E13" s="11" t="str">
        <x:v>Substantive implemented XER/P6 XML/MS Project XML ingestion with retained declared metadata and basic quality checks; not a full scheduling engine.</x:v>
      </x:c>
      <x:c r="F13" s="11" t="str">
        <x:v>Imports preserve activities, relationships, WBS, data date, declared calendar/constraint/status/raw duration metadata, source hash, currency detection and cost-loading summary. Quality findings cover duplicate/missing/invalid dates, open logic, leads/lags, float and mapping.</x:v>
      </x:c>
      <x:c r="G13" s="11" t="str">
        <x:v>detect_source recognizes .mpp but parse does not decode binary MPP: it yields no activities and rejection findings; no native MPP import capability is established.
Declared calendars and raw durations are preserved without calendar expansion or CPM calculation.
Quality score is a local weighted gate, not proof of complete DCMA 14-point/AACE compliance.
Resource assignment costs may be imported, but this is not operational resource loading, leveling or capacity management.</x:v>
      </x:c>
      <x:c r="H13" s="11" t="str">
        <x:v>Ver autoridad propuesta del dominio D01–D25; no nuevo maestro.</x:v>
      </x:c>
      <x:c r="I13" s="11" t="str">
        <x:v>backend/app/domain/models.py:614; backend/app/domain/models.py:653; backend/app/domain/models.py:767; backend/app/domain/models.py:808; backend/app/api/v1/router.py:4004; backend/app/api/v1/router.py:4021; backend/app/api/v1/router.py:4043; backend/app/api/v1/router.py:4067; backend/app/api/v1/router.py:4125; backend/app/services/schedule_ingestion.py:155; backend/app/services/schedule_ingestion.py:398; backend/app/services/schedule_ingestion.py:435; backend/app/services/schedule_ingestion.py:674; backend/app/services/schedule_ingestion.py:853; backend/app/services/schedule_ingestion.py:1016; backend/app/services/schedule_ingestion.py:401; backend/app/services/schedule_ingestion.py:435; backend/app/services/schedule_ingestion.py:566; backend/app/services/schedule_ingestion.py:1638</x:v>
      </x:c>
      <x:c r="J13" s="11" t="str">
        <x:v>backend/tests/test_schedule_ingestion.py:9
backend/tests/test_schedule_ingestion.py:40
backend/tests/test_schedule_ingestion.py:69
backend/tests/test_schedule_ingestion.py:97
backend/tests/test_schedule_ingestion.py:134
backend/tests/test_qra_schedule_import_metadata.py:24
backend/tests/test_qra_schedule_import_metadata.py:50
backend/tests/test_qra_schedule_import_metadata.py:99
backend/tests/test_qra_schedule_import_metadata.py:131</x:v>
      </x:c>
      <x:c r="K13" s="11" t="str">
        <x:v>SOURCE_INSPECTED_ONLY / NOT_RUN</x:v>
      </x:c>
    </x:row>
    <x:row r="14" ht="207" customHeight="1">
      <x:c r="A14" s="11" t="str">
        <x:v>BE-07</x:v>
      </x:c>
      <x:c r="B14" s="11" t="str">
        <x:v>BACKEND</x:v>
      </x:c>
      <x:c r="C14" s="11" t="str">
        <x:v>WBS, CBS, control accounts, schedule mappings and baseline records</x:v>
      </x:c>
      <x:c r="D14" s="11" t="str">
        <x:v>EXTEND</x:v>
      </x:c>
      <x:c r="E14" s="11" t="str">
        <x:v>Implemented shared operational control structures and baseline approval checks; multiple budget writers and incomplete baseline authority separation require design.</x:v>
      </x:c>
      <x:c r="F14" s="11" t="str">
        <x:v>Schedule import maps activities into WBS/control accounts/CBS and may create or overwrite Budget BAC/PV. It creates a BaselineVersion in_review/rejected; approval requires 100% mapping and at least 80% cost-loading coverage.</x:v>
      </x:c>
      <x:c r="G14" s="11" t="str">
        <x:v>A baseline version record does not freeze every mutable Activity/Budget/ControlAccount object.
Progress/cost capture checks the latest validated import quality &gt;=70, not an approved BaselineVersion.
Future baseline ownership must reconcile imported estimate, accepted quantity/APU estimate, approved cost budget and changes; do not add another ungoverned financial truth.</x:v>
      </x:c>
      <x:c r="H14" s="11" t="str">
        <x:v>Ver autoridad propuesta del dominio D01–D25; no nuevo maestro.</x:v>
      </x:c>
      <x:c r="I14" s="11" t="str">
        <x:v>backend/app/domain/models.py:667; backend/app/domain/models.py:698; backend/app/domain/models.py:714; backend/app/domain/models.py:748; backend/app/domain/models.py:784; backend/app/domain/models.py:1132; backend/app/api/v1/router.py:472; backend/app/api/v1/router.py:580; backend/app/api/v1/router.py:693; backend/app/api/v1/router.py:717; backend/app/api/v1/router.py:4091; backend/app/services/schedule_ingestion.py:1105; backend/app/services/schedule_ingestion.py:1176; backend/app/services/schedule_ingestion.py:1205; backend/app/services/schedule_ingestion.py:1462; backend/app/api/v1/router.py:748; backend/app/api/v1/router.py:7088; backend/app/services/schedule_ingestion.py:1186</x:v>
      </x:c>
      <x:c r="J14" s="11" t="str">
        <x:v>backend/tests/test_project_operational_setup_activity_sheet.py:87
backend/tests/test_project_operational_setup_activity_sheet.py:111
backend/tests/test_integrated_control.py:40</x:v>
      </x:c>
      <x:c r="K14" s="11" t="str">
        <x:v>SOURCE_INSPECTED_ONLY / NOT_RUN</x:v>
      </x:c>
    </x:row>
    <x:row r="15" ht="237" customHeight="1">
      <x:c r="A15" s="11" t="str">
        <x:v>BE-08</x:v>
      </x:c>
      <x:c r="B15" s="11" t="str">
        <x:v>BACKEND</x:v>
      </x:c>
      <x:c r="C15" s="11" t="str">
        <x:v>Cost sheet, cost codes, commitments, FBS and cash flow</x:v>
      </x:c>
      <x:c r="D15" s="11" t="str">
        <x:v>EXTEND</x:v>
      </x:c>
      <x:c r="E15" s="11" t="str">
        <x:v>Implemented operational records, funding controls, reconciliation and read summaries; not a complete immutable budget/forecast/change ledger.</x:v>
      </x:c>
      <x:c r="F15" s="11" t="str">
        <x:v>Contracts/POs are commitments; certificates/warehouse receipts contribute incurred costs. FBS availability gates commitments and integrated matrices expose WBS/CBS/FBS/control-account lineage. Cost sheet derives account BAC/PV/EV/AC and commitments; cash-flow records retain planned/actual/forecast fields.</x:v>
      </x:c>
      <x:c r="G15" s="11" t="str">
        <x:v>Budget, ControlAccount.budget and CostCode.budget/forecast coexist; future authority/reconciliation must be explicit.
BP-CBS-WBS currently increments financial values when starting a review process, not solely after final workflow approval.
Actual source certificate+warehouse total takes precedence over legacy CostRecord when nonzero; mixed-source reconciliation must be explicit to prevent exclusion or double counting.</x:v>
      </x:c>
      <x:c r="H15" s="11" t="str">
        <x:v>Ver autoridad propuesta del dominio D01–D25; no nuevo maestro.</x:v>
      </x:c>
      <x:c r="I15" s="11" t="str">
        <x:v>backend/app/domain/models.py:1048; backend/app/domain/models.py:1062; backend/app/domain/models.py:1077; backend/app/domain/models.py:1111; backend/app/domain/models.py:1151; backend/app/domain/models.py:1176; backend/app/domain/models.py:1400; backend/app/domain/models.py:1524; backend/app/domain/models.py:1546; backend/app/domain/models.py:1568; backend/app/api/v1/router.py:899; backend/app/api/v1/router.py:1072; backend/app/api/v1/router.py:1179; backend/app/api/v1/router.py:1270; backend/app/api/v1/router.py:1361; backend/app/api/v1/router.py:1486; backend/app/api/v1/router.py:1922; backend/app/api/v1/router.py:1948; backend/app/api/v1/router.py:1960; backend/app/services/integrated_control.py:60; backend/app/services/integrated_control.py:102; backend/app/services/integrated_control.py:125; backend/app/services/integrated_control.py:176; backend/app/api/v1/router.py:5758; backend/app/api/v1/router.py:1558; backend/app/api/v1/router.py:1531; backend/app/api/v1/router.py:1558; backend/app/api/v1/router.py:1584; backend/app/api/v1/router.py:1605; backend/app/api/v1/router.py:5859; backend/app/services/control_core.py:147</x:v>
      </x:c>
      <x:c r="J15" s="11" t="str">
        <x:v>backend/tests/test_api_smoke.py:193
backend/tests/test_integrated_control.py:40
backend/tests/test_integrated_control.py:208
backend/tests/test_integrated_control.py:266</x:v>
      </x:c>
      <x:c r="K15" s="11" t="str">
        <x:v>SOURCE_INSPECTED_ONLY / NOT_RUN</x:v>
      </x:c>
    </x:row>
    <x:row r="16" ht="222" customHeight="1">
      <x:c r="A16" s="11" t="str">
        <x:v>BE-09</x:v>
      </x:c>
      <x:c r="B16" s="11" t="str">
        <x:v>BACKEND</x:v>
      </x:c>
      <x:c r="C16" s="11" t="str">
        <x:v>Progress capture and actual cost entry</x:v>
      </x:c>
      <x:c r="D16" s="11" t="str">
        <x:v>EXTEND</x:v>
      </x:c>
      <x:c r="E16" s="11" t="str">
        <x:v>Implemented permission-scoped capture and audit with immediate control-cycle recalculation; approval/current-period/quantity-baseline controls are partial.</x:v>
      </x:c>
      <x:c r="F16" s="11" t="str">
        <x:v>Membership flags gate physical progress/cost capture. Physical percent is bounded 0..100, account identity and source schedule gate validated, commitments cannot be entered as actual costs, positive amount enforced, evidence reference and audit retained.</x:v>
      </x:c>
      <x:c r="G16" s="11" t="str">
        <x:v>No inspected ProgressRecord approval/rejection status, immutable measured-quantity baseline link or per-period close authority.
Current EVM uses the latest progress record by reported_on/id across the account and summed costs without a period cutoff in the inspected calculation.
No dedicated progress/actual numerical regression test was located by inspected source searches; this is not a claim that every possible external suite lacks one.</x:v>
      </x:c>
      <x:c r="H16" s="11" t="str">
        <x:v>Ver autoridad propuesta del dominio D01–D25; no nuevo maestro.</x:v>
      </x:c>
      <x:c r="I16" s="11" t="str">
        <x:v>backend/app/domain/models.py:1062; backend/app/domain/models.py:1195; backend/app/api/v1/router.py:771; backend/app/api/v1/router.py:788; backend/app/api/v1/router.py:831; backend/app/api/v1/router.py:848; backend/app/api/v1/router.py:798; backend/app/api/v1/router.py:826; backend/app/api/v1/router.py:859; backend/app/api/v1/router.py:864; backend/app/api/v1/router.py:894; backend/app/services/control_core.py:145; backend/app/domain/models.py:1195; backend/app/services/control_core.py:106; backend/app/services/control_core.py:146</x:v>
      </x:c>
      <x:c r="J16" s="11" t="str">
        <x:v>backend/tests/test_api_smoke.py:892</x:v>
      </x:c>
      <x:c r="K16" s="11" t="str">
        <x:v>SOURCE_INSPECTED_ONLY / NOT_RUN</x:v>
      </x:c>
    </x:row>
    <x:row r="17" ht="312" customHeight="1">
      <x:c r="A17" s="11" t="str">
        <x:v>BE-10</x:v>
      </x:c>
      <x:c r="B17" s="11" t="str">
        <x:v>BACKEND</x:v>
      </x:c>
      <x:c r="C17" s="11" t="str">
        <x:v>EVM engine, KPI snapshots, early warning and forecast scenarios</x:v>
      </x:c>
      <x:c r="D17" s="11" t="str">
        <x:v>REFACTOR</x:v>
      </x:c>
      <x:c r="E17" s="11" t="str">
        <x:v>Implemented deterministic basic EVM and three heuristic scenarios; governed forecasting, period closure and replayable immutable snapshots are not established.</x:v>
      </x:c>
      <x:c r="F17" s="11" t="str">
        <x:v>EV=BAC*physical_percent, SPI=EV/PV, CPI=EV/AC, EAC=BAC/CPI (BAC fallback), ETC=max(EAC-AC,0), VAC=BAC-EAC. Forecast scenarios Current Performance/Recovery Plan/Pessimistic Drift vary CPI/SPI factors.</x:v>
      </x:c>
      <x:c r="G17" s="11" t="str">
        <x:v>Zero denominators yield numeric 0 in EVM; consumers must distinguish unavailable from real zero before business interpretation.
run_project_cycle deletes and recreates KPI/snapshot/forecast rows for the same period and deletes all project alerts; these are recalculated read models, not frozen approved period records.
ForecastScenario is not the same domain as strategic PortfolioBudgetScenario, PortfolioResourceScenario or QRA probabilistic outcomes.
No dedicated EVM numerical test was found in inspected backend test source; smoke/AI tests must not be presented as a complete mathematical assurance suite.</x:v>
      </x:c>
      <x:c r="H17" s="11" t="str">
        <x:v>Ver autoridad propuesta del dominio D01–D25; no nuevo maestro.</x:v>
      </x:c>
      <x:c r="I17" s="11" t="str">
        <x:v>backend/app/domain/models.py:1211; backend/app/domain/models.py:1233; backend/app/domain/models.py:1259; backend/app/api/v1/router.py:4145; backend/app/api/v1/router.py:4156; backend/app/api/v1/router.py:4168; backend/app/api/v1/router.py:4189; backend/app/services/evm.py:27; backend/app/services/control_core.py:27; backend/app/services/control_core.py:106; backend/app/services/control_core.py:221; backend/app/services/early_warning.py:1; backend/app/services/evm.py:28; backend/app/services/control_core.py:29; backend/app/services/control_core.py:38; backend/app/services/control_core.py:45; backend/app/services/control_core.py:225</x:v>
      </x:c>
      <x:c r="J17" s="11" t="str">
        <x:v>backend/tests/test_api_smoke.py:128
backend/tests/test_api_smoke.py:1072
backend/tests/test_ai_insights.py:21</x:v>
      </x:c>
      <x:c r="K17" s="11" t="str">
        <x:v>SOURCE_INSPECTED_ONLY / NOT_RUN</x:v>
      </x:c>
    </x:row>
    <x:row r="18" ht="192" customHeight="1">
      <x:c r="A18" s="11" t="str">
        <x:v>BE-11</x:v>
      </x:c>
      <x:c r="B18" s="11" t="str">
        <x:v>BACKEND</x:v>
      </x:c>
      <x:c r="C18" s="11" t="str">
        <x:v>Operational resource catalog and resource planning</x:v>
      </x:c>
      <x:c r="D18" s="11" t="str">
        <x:v>EXTEND</x:v>
      </x:c>
      <x:c r="E18" s="11" t="str">
        <x:v>Minimal resource table and seeded rows exist; operational resource manager assignments, timephasing, capacity, leveling and timesheet lifecycle were not located.</x:v>
      </x:c>
      <x:c r="F18" s="11" t="str">
        <x:v>Minimal resource table and seeded rows exist; operational resource manager assignments, timephasing, capacity, leveling and timesheet lifecycle were not located.</x:v>
      </x:c>
      <x:c r="G18" s="11" t="str">
        <x:v>Resource contains code/name/type/unit only; no inspected operational assignment/capacity schema or CRUD surface.
Importing resource-assignment costs from P6 is not resource scheduling.
Strategic portfolio_resource models are real separate capacity/scenario authority and must not be renamed or duplicated as operational labor/equipment records.</x:v>
      </x:c>
      <x:c r="H18" s="11" t="str">
        <x:v>Ver autoridad propuesta del dominio D01–D25; no nuevo maestro.</x:v>
      </x:c>
      <x:c r="I18" s="11" t="str">
        <x:v>backend/app/domain/models.py:1036; backend/app/database/seed.py:3264; backend/app/services/schedule_ingestion.py:1638; frontend/src/navigation/applicationNavigation.ts:461; backend/app/modules/portfolio_resource/models.py:1; backend/tests/test_portfolio_resource_gate07h.py:1; backend/tests/postgres/test_portfolio_resource_postgres.py:1</x:v>
      </x:c>
      <x:c r="J18" s="11" t="str"/>
      <x:c r="K18" s="11" t="str">
        <x:v>SOURCE_INSPECTED_ONLY / NOT_RUN</x:v>
      </x:c>
    </x:row>
    <x:row r="19" ht="207" customHeight="1">
      <x:c r="A19" s="11" t="str">
        <x:v>BE-12</x:v>
      </x:c>
      <x:c r="B19" s="11" t="str">
        <x:v>BACKEND</x:v>
      </x:c>
      <x:c r="C19" s="11" t="str">
        <x:v>Dashboard, reconciliation and integration reporting</x:v>
      </x:c>
      <x:c r="D19" s="11" t="str">
        <x:v>REFACTOR</x:v>
      </x:c>
      <x:c r="E19" s="11" t="str">
        <x:v>Implemented summaries and exports; reporting is not uniformly side-effect-free or a governed cross-domain analytics platform.</x:v>
      </x:c>
      <x:c r="F19" s="11" t="str">
        <x:v>Reconciliation emits cost-code read rows and XLSX/PDF, integration endpoints expose datasets with token/access/export metadata controls, dashboard composes operational domains.</x:v>
      </x:c>
      <x:c r="G19" s="11" t="str">
        <x:v>GET dashboard can call run_project_cycle and commit when KPI or control history is missing, and ensures a control plan; do not call it during a strictly read-only architecture audit.
Export audit metadata writes are distinct from business-data mutations; distinguish both in future read-only contracts.
Current router still combines cost/control/dashboard/import and business workflow logic.</x:v>
      </x:c>
      <x:c r="H19" s="11" t="str">
        <x:v>Ver autoridad propuesta del dominio D01–D25; no nuevo maestro.</x:v>
      </x:c>
      <x:c r="I19" s="11" t="str">
        <x:v>backend/app/api/v1/router.py:2259; backend/app/api/v1/router.py:2271; backend/app/api/v1/router.py:4272; backend/app/api/v1/router.py:4837; backend/app/api/v1/router.py:4866; backend/app/api/v1/router.py:5000; backend/app/api/v1/router.py:6753; backend/app/api/v1/router.py:4273; backend/app/api/v1/router.py:4289; backend/app/api/v1/router.py:4312; backend/app/api/v1/routers/projects.py:1</x:v>
      </x:c>
      <x:c r="J19" s="11" t="str">
        <x:v>backend/tests/test_api_smoke.py:128
backend/tests/test_api_smoke.py:684</x:v>
      </x:c>
      <x:c r="K19" s="11" t="str">
        <x:v>SOURCE_INSPECTED_ONLY / NOT_RUN</x:v>
      </x:c>
    </x:row>
    <x:row r="20" ht="147" customHeight="1">
      <x:c r="A20" s="11" t="str">
        <x:v>BE-13</x:v>
      </x:c>
      <x:c r="B20" s="11" t="str">
        <x:v>BACKEND</x:v>
      </x:c>
      <x:c r="C20" s="11" t="str">
        <x:v>4D BIM-to-schedule simulation</x:v>
      </x:c>
      <x:c r="D20" s="11" t="str">
        <x:v>RESERVED</x:v>
      </x:c>
      <x:c r="E20" s="11" t="str">
        <x:v>Navigation reservation only in inspected implementation; no IFC element-to-schedule activity binding or persisted 4D simulation service located.</x:v>
      </x:c>
      <x:c r="F20" s="11" t="str">
        <x:v>Navigation reservation only in inspected implementation; no IFC element-to-schedule activity binding or persisted 4D simulation service located.</x:v>
      </x:c>
      <x:c r="G20" s="11" t="str">
        <x:v>Do not claim that a 4D Model navigation item implements 4D playback, synchronization or sequencing.
Future association must preserve IFC model revision+element identity, schedule import/activity identity and operational/canonical project binding without copying either source aggregate.</x:v>
      </x:c>
      <x:c r="H20" s="11" t="str">
        <x:v>Ver autoridad propuesta del dominio D01–D25; no nuevo maestro.</x:v>
      </x:c>
      <x:c r="I20" s="11" t="str">
        <x:v>frontend/src/navigation/applicationNavigation.ts:226; frontend/src/navigation/applicationNavigation.ts:412; frontend/src/navigation/applicationNavigation.ts:640</x:v>
      </x:c>
      <x:c r="J20" s="11" t="str"/>
      <x:c r="K20" s="11" t="str">
        <x:v>SOURCE_INSPECTED_ONLY / NOT_RUN</x:v>
      </x:c>
    </x:row>
    <x:row r="21" ht="147" customHeight="1">
      <x:c r="A21" s="11" t="str">
        <x:v>BE-14</x:v>
      </x:c>
      <x:c r="B21" s="11" t="str">
        <x:v>BACKEND</x:v>
      </x:c>
      <x:c r="C21" s="11" t="str">
        <x:v>Standalone schedule_parser versus canonical schedule ingestion</x:v>
      </x:c>
      <x:c r="D21" s="11" t="str">
        <x:v>REFACTOR</x:v>
      </x:c>
      <x:c r="E21" s="11" t="str">
        <x:v>A smaller independently tested parser exists, but production consumers inspected use ScheduleIngestionService, not this standalone module.</x:v>
      </x:c>
      <x:c r="F21" s="11" t="str">
        <x:v>A smaller independently tested parser exists, but production consumers inspected use ScheduleIngestionService, not this standalone module.</x:v>
      </x:c>
      <x:c r="G21" s="11" t="str">
        <x:v>Tests of standalone parser do not prove the richer canonical ingestion path or vice versa.
Do not introduce a third parser; future consolidation needs compatibility fixtures for supported XER variants, P6 namespaces, MS Project XML, raw metadata and cost-loading semantics.</x:v>
      </x:c>
      <x:c r="H21" s="11" t="str">
        <x:v>Ver autoridad propuesta del dominio D01–D25; no nuevo maestro.</x:v>
      </x:c>
      <x:c r="I21" s="11" t="str">
        <x:v>backend/app/services/schedule_parser.py:1; backend/app/services/schedule_parser.py:72; backend/app/services/schedule_parser.py:120; backend/app/api/v1/router.py:4142; backend/app/api/v1/routers/projects.py:639; backend/app/services/forensic_window_analysis.py:8</x:v>
      </x:c>
      <x:c r="J21" s="11" t="str">
        <x:v>backend/tests/test_schedule_parser.py:24
backend/tests/test_schedule_parser.py:41
backend/tests/test_schedule_parser.py:62
backend/tests/test_schedule_ingestion.py:9</x:v>
      </x:c>
      <x:c r="K21" s="11" t="str">
        <x:v>SOURCE_INSPECTED_ONLY / NOT_RUN</x:v>
      </x:c>
    </x:row>
    <x:row r="22" ht="147" customHeight="1">
      <x:c r="A22" s="11" t="str">
        <x:v>BE-15</x:v>
      </x:c>
      <x:c r="B22" s="11" t="str">
        <x:v>BACKEND</x:v>
      </x:c>
      <x:c r="C22" s="11" t="str">
        <x:v>Strategic portfolio budget/resource scenarios, financial model, readiness and QRA</x:v>
      </x:c>
      <x:c r="D22" s="11" t="str">
        <x:v>NOT_RELEVANT</x:v>
      </x:c>
      <x:c r="E22" s="11" t="str">
        <x:v>Existing strategic authorities are relevant only as governed upstream references and read-only source adapters, not operational replacement targets.</x:v>
      </x:c>
      <x:c r="F22" s="11" t="str">
        <x:v>Existing strategic authorities are relevant only as governed upstream references and read-only source adapters, not operational replacement targets.</x:v>
      </x:c>
      <x:c r="G22" s="11" t="str">
        <x:v>Keep names, gates, lifecycle and snapshots unchanged.
Operational cost budget, actuals, forecasts and resource assignments require their own bounded contexts and explicit references; never change strategic assumptions or FID based merely on operational navigation.</x:v>
      </x:c>
      <x:c r="H22" s="11" t="str">
        <x:v>Ver autoridad propuesta del dominio D01–D25; no nuevo maestro.</x:v>
      </x:c>
      <x:c r="I22" s="11" t="str">
        <x:v>backend/app/modules/portfolio_budget/models.py:192; backend/app/modules/portfolio_resource/models.py:251; backend/app/modules/economic_financial_model/models.py:1; backend/app/modules/qra_foundation/adapters.py:1</x:v>
      </x:c>
      <x:c r="J22" s="11" t="str"/>
      <x:c r="K22" s="11" t="str">
        <x:v>SOURCE_INSPECTED_ONLY / NOT_RUN</x:v>
      </x:c>
    </x:row>
    <x:row r="23" ht="132" customHeight="1">
      <x:c r="A23" s="11" t="str">
        <x:v>OP01</x:v>
      </x:c>
      <x:c r="B23" s="11" t="str">
        <x:v>FRONTEND</x:v>
      </x:c>
      <x:c r="C23" s="11" t="str">
        <x:v>Project Governance &amp; Operational Setup</x:v>
      </x:c>
      <x:c r="D23" s="11" t="str">
        <x:v>IMPLEMENTED_PARTIAL</x:v>
      </x:c>
      <x:c r="E23" s="11" t="str">
        <x:v>project-creator
setup
workspace-context</x:v>
      </x:c>
      <x:c r="F23" s="11" t="str">
        <x:v>Active project creation drawer, setup readiness flags and WBS catalog exist. Workspace context identity is backend-derived. Legacy operational setup readiness is not proof of canonical Workspace activation or full operational readiness.</x:v>
      </x:c>
      <x:c r="G23" s="11" t="str">
        <x:v>No prueba de navegación ejecutada en este incremento.</x:v>
      </x:c>
      <x:c r="H23" s="11" t="str">
        <x:v>REUSE canonical Project Workspace creation/activation and separate configuration from transaction controls in a future increment.</x:v>
      </x:c>
      <x:c r="I23" s="11" t="str">
        <x:v>frontend/src/App.tsx:4248; frontend/src/App.tsx:4505; frontend/src/components/ProjectCreateDrawer.tsx:1; frontend/src/api/projects.ts:86; frontend/src/features/workspace-context/WorkspaceOperationalPage.tsx:105</x:v>
      </x:c>
      <x:c r="J23" s="11" t="str">
        <x:v>frontend/tests/AppFlow.test.tsx:1562
frontend/tests/AppFlow.test.tsx:2407
frontend/tests/AppFlow.test.tsx:2458
backend/tests/test_project_operational_setup_activity_sheet.py:1</x:v>
      </x:c>
      <x:c r="K23" s="11" t="str">
        <x:v>SOURCE_INSPECTED_ONLY / NOT_RUN</x:v>
      </x:c>
    </x:row>
    <x:row r="24" ht="162" customHeight="1">
      <x:c r="A24" s="11" t="str">
        <x:v>OP02</x:v>
      </x:c>
      <x:c r="B24" s="11" t="str">
        <x:v>FRONTEND</x:v>
      </x:c>
      <x:c r="C24" s="11" t="str">
        <x:v>Scope Management</x:v>
      </x:c>
      <x:c r="D24" s="11" t="str">
        <x:v>IMPLEMENTED_PARTIAL_WITH_PLACEHOLDERS</x:v>
      </x:c>
      <x:c r="E24" s="11" t="str">
        <x:v>quantity-takeoff
work-packages
decisions
scope-items
plan-items</x:v>
      </x:c>
      <x:c r="F24" s="11" t="str">
        <x:v>BIM Manager is a real IFC/Three.js/web-ifc viewer with quantity extraction/geometry measurement, Object Explorer hierarchy and Properties toggles, WBS/CBS/FBS/APU mapping, budget and AWP linkage. Scope Items and Plan Items remain title-only. BIM viewing is not 4D scheduling.</x:v>
      </x:c>
      <x:c r="G24" s="11" t="str">
        <x:v>No prueba de navegación ejecutada en este incremento.</x:v>
      </x:c>
      <x:c r="H24" s="11" t="str">
        <x:v>KEEP viewer/quantity/APU authority; define controlled scope baseline/revision/work-package links without recreating IFC engine.</x:v>
      </x:c>
      <x:c r="I24" s="11" t="str">
        <x:v>frontend/src/App.tsx:5654; frontend/src/App.tsx:5731; frontend/src/components/BimIfcModelViewer.tsx:28; frontend/src/components/BimIfcModelViewer.tsx:1349; frontend/src/api/projects.ts:117; frontend/src/api/projects.ts:165; frontend/src/api/projects.ts:204; frontend/src/navigation/applicationNavigation.ts:398; frontend/src/navigation/applicationNavigation.ts:637</x:v>
      </x:c>
      <x:c r="J24" s="11" t="str">
        <x:v>frontend/tests/BimIfcModelViewer.test.tsx:184
frontend/tests/BimIfcModelViewer.test.tsx:533
frontend/tests/BimIfcModelViewer.test.tsx:619
frontend/tests/AppFlow.test.tsx:2234
frontend/e2e/bim-viewer.spec.ts:8
backend/tests/test_bim_model_registry.py:74</x:v>
      </x:c>
      <x:c r="K24" s="11" t="str">
        <x:v>SOURCE_INSPECTED_ONLY / NOT_RUN</x:v>
      </x:c>
    </x:row>
    <x:row r="25" ht="192" customHeight="1">
      <x:c r="A25" s="11" t="str">
        <x:v>OP03</x:v>
      </x:c>
      <x:c r="B25" s="11" t="str">
        <x:v>FRONTEND</x:v>
      </x:c>
      <x:c r="C25" s="11" t="str">
        <x:v>Schedule Management</x:v>
      </x:c>
      <x:c r="D25" s="11" t="str">
        <x:v>IMPLEMENTED_PARTIAL_WITH_LOCAL_CONTROLS_AND_PLACEHOLDERS</x:v>
      </x:c>
      <x:c r="E25" s="11" t="str">
        <x:v>schedule-intake
schedule-control
schedule-4d
schedule-changes
baseline</x:v>
      </x:c>
      <x:c r="F25" s="11" t="str">
        <x:v>P6 XML/XER intake and Activity Sheet/WBS roll-up exist. Schedule control renders imported schedule through ProjectControlsHandbook, basic CPM/delay/lookahead/recovery calculations and localStorage project-local persistence. This is not a Primavera-equivalent scheduling engine or governed multiuser schedule-control database. 4D Model and Schedule Changes are explicitly empty.</x:v>
      </x:c>
      <x:c r="G25" s="11" t="str">
        <x:v>No prueba de navegación ejecutada en este incremento.</x:v>
      </x:c>
      <x:c r="H25" s="11" t="str">
        <x:v>REUSE P6 intake/source metadata and distinguish source-P6 calculations from supplemental P&amp;Pmis diagnostics; plan controlled revisions/calendar semantics before promoting local controls.</x:v>
      </x:c>
      <x:c r="I25" s="11" t="str">
        <x:v>frontend/src/App.tsx:4290; frontend/src/App.tsx:4432; frontend/src/App.tsx:7009; frontend/src/components/ProjectControlsHandbook.tsx:316; frontend/src/components/ProjectControlsHandbook.tsx:407; frontend/src/components/ProjectControlsHandbook.tsx:511; frontend/src/components/ProjectControlsHandbook.tsx:625; frontend/src/api/projects.ts:57; frontend/src/navigation/applicationNavigation.ts:639</x:v>
      </x:c>
      <x:c r="J25" s="11" t="str">
        <x:v>frontend/tests/ProjectControlsHandbook.test.tsx:13
frontend/tests/ProjectControlsHandbook.test.tsx:69
frontend/tests/ProjectControlsHandbook.test.tsx:150
frontend/tests/AppFlow.test.tsx:1725
frontend/tests/AppFlow.test.tsx:1944
backend/tests/test_schedule_ingestion.py:97
backend/tests/test_qra_schedule_import_metadata.py:24</x:v>
      </x:c>
      <x:c r="K25" s="11" t="str">
        <x:v>SOURCE_INSPECTED_ONLY / NOT_RUN</x:v>
      </x:c>
    </x:row>
    <x:row r="26" ht="147" customHeight="1">
      <x:c r="A26" s="11" t="str">
        <x:v>OP04</x:v>
      </x:c>
      <x:c r="B26" s="11" t="str">
        <x:v>FRONTEND</x:v>
      </x:c>
      <x:c r="C26" s="11" t="str">
        <x:v>Cost Management</x:v>
      </x:c>
      <x:c r="D26" s="11" t="str">
        <x:v>IMPLEMENTED_PARTIAL_WITH_PLACEHOLDERS</x:v>
      </x:c>
      <x:c r="E26" s="11" t="str">
        <x:v>costs
bim-budget
integrated-control
estimates
cash-flow
budget-changes
budget-transfer</x:v>
      </x:c>
      <x:c r="F26" s="11" t="str">
        <x:v>Real cost/funding traceability, CBS/FBS/control accounts, BIM budget consolidation, recost, SOV/commitment funding and reconciliation exist. Estimates, Cash Flow, Budget Changes and Budget Transfer menu screens are explicit placeholders; do not infer UI lifecycle completion from backend models.</x:v>
      </x:c>
      <x:c r="G26" s="11" t="str">
        <x:v>No prueba de navegación ejecutada en este incremento.</x:v>
      </x:c>
      <x:c r="H26" s="11" t="str">
        <x:v>REUSE operational cost-control core; distinguish operational approved control budget from strategic scenario/funding authority.</x:v>
      </x:c>
      <x:c r="I26" s="11" t="str">
        <x:v>frontend/src/App.tsx:5745; frontend/src/App.tsx:5924; frontend/src/App.tsx:7178; frontend/src/lib/bimBudget.ts:1; frontend/src/api/integratedControl.ts:154; frontend/src/api/integratedControl.ts:221; frontend/src/api/integratedControl.ts:245; frontend/src/navigation/applicationNavigation.ts:641</x:v>
      </x:c>
      <x:c r="J26" s="11" t="str">
        <x:v>frontend/tests/bim-budget.test.ts:51
frontend/tests/bim-budget.test.ts:103
frontend/tests/AppFlow.test.tsx:1904
frontend/tests/AppFlow.test.tsx:1994
backend/tests/test_integrated_control.py:40
backend/tests/test_integrated_control.py:266</x:v>
      </x:c>
      <x:c r="K26" s="11" t="str">
        <x:v>SOURCE_INSPECTED_ONLY / NOT_RUN</x:v>
      </x:c>
    </x:row>
    <x:row r="27" ht="147" customHeight="1">
      <x:c r="A27" s="11" t="str">
        <x:v>OP05</x:v>
      </x:c>
      <x:c r="B27" s="11" t="str">
        <x:v>FRONTEND</x:v>
      </x:c>
      <x:c r="C27" s="11" t="str">
        <x:v>Resource &amp; Productivity Management</x:v>
      </x:c>
      <x:c r="D27" s="11" t="str">
        <x:v>IMPLEMENTED_PARTIAL_NO_FULL_RESOURCE_ASSIGNMENT_UI</x:v>
      </x:c>
      <x:c r="E27" s="11" t="str">
        <x:v>apu-catalog
progress</x:v>
      </x:c>
      <x:c r="F27" s="11" t="str">
        <x:v>Master Rate Sheet uses Colombia APU catalog, sources, sync/search and quantity APU approvals. Progress records include installed quantities/labor hours; dashboard type exposes productivity summary. This does not establish workforce/equipment assignment, timesheets or resource calendars.</x:v>
      </x:c>
      <x:c r="G27" s="11" t="str">
        <x:v>No prueba de navegación ejecutada en este incremento.</x:v>
      </x:c>
      <x:c r="H27" s="11" t="str">
        <x:v>KEEP rate/APU authority; operational assignment/productivity controls are a distinct future capability, not the strategic portfolio resource scenario.</x:v>
      </x:c>
      <x:c r="I27" s="11" t="str">
        <x:v>frontend/src/navigation/applicationNavigation.ts:460; frontend/src/App.tsx:4982; frontend/src/App.tsx:7151; frontend/src/api/projects.ts:187; frontend/src/api/projects.ts:211; frontend/src/types/index.ts:2042</x:v>
      </x:c>
      <x:c r="J27" s="11" t="str">
        <x:v>frontend/tests/bim-apu-review.test.ts:1
frontend/tests/BimApuReviewPanel.test.tsx:1
backend/tests/test_colombia_apu_catalog.py:9</x:v>
      </x:c>
      <x:c r="K27" s="11" t="str">
        <x:v>SOURCE_INSPECTED_ONLY / NOT_RUN</x:v>
      </x:c>
    </x:row>
    <x:row r="28" ht="162" customHeight="1">
      <x:c r="A28" s="11" t="str">
        <x:v>OP06</x:v>
      </x:c>
      <x:c r="B28" s="11" t="str">
        <x:v>FRONTEND</x:v>
      </x:c>
      <x:c r="C28" s="11" t="str">
        <x:v>Progress Management</x:v>
      </x:c>
      <x:c r="D28" s="11" t="str">
        <x:v>IMPLEMENTED_PARTIAL_READ_UI_WITH_BACKEND_CAPTURE</x:v>
      </x:c>
      <x:c r="E28" s="11" t="str">
        <x:v>progress</x:v>
      </x:c>
      <x:c r="F28" s="11" t="str">
        <x:v>Active Measuring Progress view lists recent dashboard records by control account with physical %, installed quantity and labor hours. Current live view contains no capture form. Backend capture endpoint exists with can_capture_progress; absence of live UI form must not be described as complete field capture.</x:v>
      </x:c>
      <x:c r="G28" s="11" t="str">
        <x:v>No prueba de navegación ejecutada en este incremento.</x:v>
      </x:c>
      <x:c r="H28" s="11" t="str">
        <x:v>REUSE persisted progress records; design measurement approval/cutoff/supersession and field capture later.</x:v>
      </x:c>
      <x:c r="I28" s="11" t="str">
        <x:v>frontend/src/App.tsx:7151; backend/app/api/v1/router.py:771; backend/app/api/v1/router.py:788; backend/app/api/v1/router.py:797</x:v>
      </x:c>
      <x:c r="J28" s="11" t="str">
        <x:v>frontend/tests/evm-dashboard.test.ts:88
frontend/tests/evm-dashboard.test.ts:128
backend/tests/test_api_smoke.py:1</x:v>
      </x:c>
      <x:c r="K28" s="11" t="str">
        <x:v>SOURCE_INSPECTED_ONLY / NOT_RUN</x:v>
      </x:c>
    </x:row>
    <x:row r="29" ht="132" customHeight="1">
      <x:c r="A29" s="11" t="str">
        <x:v>OP07</x:v>
      </x:c>
      <x:c r="B29" s="11" t="str">
        <x:v>FRONTEND</x:v>
      </x:c>
      <x:c r="C29" s="11" t="str">
        <x:v>Forecast / ETC / EAC</x:v>
      </x:c>
      <x:c r="D29" s="11" t="str">
        <x:v>IMPLEMENTED_PARTIAL_REPORTING_NOT_STANDALONE_LIFECYCLE</x:v>
      </x:c>
      <x:c r="E29" s="11" t="str">
        <x:v>dashboard
integrated-control</x:v>
      </x:c>
      <x:c r="F29" s="11" t="str">
        <x:v>Dashboard EVM derives EAC/VAC; integrated-control displays forecast-versus-funding and reconciliation rows. No dedicated ETC/EAC forecast revision/approval screen is registered. Calculated display is not an approved forecast snapshot.</x:v>
      </x:c>
      <x:c r="G29" s="11" t="str">
        <x:v>No prueba de navegación ejecutada en este incremento.</x:v>
      </x:c>
      <x:c r="H29" s="11" t="str">
        <x:v>REUSE EVM and forecast query; define explicit source periods, ETC assumptions, governance and approved history rather than a second cost authority.</x:v>
      </x:c>
      <x:c r="I29" s="11" t="str">
        <x:v>frontend/src/App.tsx:3510; frontend/src/App.tsx:5825; frontend/src/App.tsx:6202; frontend/src/App.tsx:6915; frontend/src/api/integratedControl.ts:154; backend/app/api/v1/router.py:4189</x:v>
      </x:c>
      <x:c r="J29" s="11" t="str">
        <x:v>frontend/tests/evm-dashboard.test.ts:88
frontend/tests/evm-dashboard.test.ts:104
backend/tests/test_integrated_control.py:40</x:v>
      </x:c>
      <x:c r="K29" s="11" t="str">
        <x:v>SOURCE_INSPECTED_ONLY / NOT_RUN</x:v>
      </x:c>
    </x:row>
    <x:row r="30" ht="147" customHeight="1">
      <x:c r="A30" s="11" t="str">
        <x:v>OP08</x:v>
      </x:c>
      <x:c r="B30" s="11" t="str">
        <x:v>FRONTEND</x:v>
      </x:c>
      <x:c r="C30" s="11" t="str">
        <x:v>Change Management</x:v>
      </x:c>
      <x:c r="D30" s="11" t="str">
        <x:v>IMPLEMENTED_PARTIAL_READ_UI_WITH_BACKEND_CREATE</x:v>
      </x:c>
      <x:c r="E30" s="11" t="str">
        <x:v>decisions</x:v>
      </x:c>
      <x:c r="F30" s="11" t="str">
        <x:v>Scope Changes view lists dashboard changes including impacts/status. Backend change creation exists; Schedule/Budget/Contract/PO Changes screens are placeholders. No evidence here of a fully connected end-to-end multi-domain change approval/baseline update lifecycle.</x:v>
      </x:c>
      <x:c r="G30" s="11" t="str">
        <x:v>No prueba de navegación ejecutada en este incremento.</x:v>
      </x:c>
      <x:c r="H30" s="11" t="str">
        <x:v>REUSE ChangeRequest; govern source-domain impact assessments and explicit approval/update orchestration.</x:v>
      </x:c>
      <x:c r="I30" s="11" t="str">
        <x:v>frontend/src/App.tsx:7255; backend/app/api/v1/router.py:3401; frontend/src/navigation/applicationNavigation.ts:640; frontend/src/navigation/applicationNavigation.ts:643; frontend/src/navigation/applicationNavigation.ts:652</x:v>
      </x:c>
      <x:c r="J30" s="11" t="str">
        <x:v>backend/tests/test_api_smoke.py:1</x:v>
      </x:c>
      <x:c r="K30" s="11" t="str">
        <x:v>SOURCE_INSPECTED_ONLY / NOT_RUN</x:v>
      </x:c>
    </x:row>
    <x:row r="31" ht="117" customHeight="1">
      <x:c r="A31" s="11" t="str">
        <x:v>OP09</x:v>
      </x:c>
      <x:c r="B31" s="11" t="str">
        <x:v>FRONTEND</x:v>
      </x:c>
      <x:c r="C31" s="11" t="str">
        <x:v>Risk Management</x:v>
      </x:c>
      <x:c r="D31" s="11" t="str">
        <x:v>OPERATIONAL_PLACEHOLDER_STRATEGIC_PROVIDER_EXISTS</x:v>
      </x:c>
      <x:c r="E31" s="11" t="str">
        <x:v>risk-register
risk-evaluation-matrix
risk-quantification-analysis
contingency-quantification</x:v>
      </x:c>
      <x:c r="F31" s="11" t="str">
        <x:v>All four operational Risk Manager screens are in the empty-view set. Strategic risk-readiness and QRA components are real but belong upstream; neither proves an operational risk register lifecycle or operational SRA execution.</x:v>
      </x:c>
      <x:c r="G31" s="11" t="str">
        <x:v>No prueba de navegación ejecutada en este incremento.</x:v>
      </x:c>
      <x:c r="H31" s="11" t="str">
        <x:v>EXTEND future operational risk register using references to governed strategic inputs; do not duplicate accepted strategic evidence.</x:v>
      </x:c>
      <x:c r="I31" s="11" t="str">
        <x:v>frontend/src/navigation/applicationNavigation.ts:430; frontend/src/navigation/applicationNavigation.ts:645; frontend/src/features/enterprise-strategy/navigation/strategicNavigationBlueprint.ts:1</x:v>
      </x:c>
      <x:c r="J31" s="11" t="str">
        <x:v>frontend/e2e/risk-readiness.spec.ts:1
frontend/e2e/qra-engine.spec.ts:1</x:v>
      </x:c>
      <x:c r="K31" s="11" t="str">
        <x:v>SOURCE_INSPECTED_ONLY / NOT_RUN</x:v>
      </x:c>
    </x:row>
    <x:row r="32" ht="72" customHeight="1">
      <x:c r="A32" s="11" t="str">
        <x:v>OP10</x:v>
      </x:c>
      <x:c r="B32" s="11" t="str">
        <x:v>FRONTEND</x:v>
      </x:c>
      <x:c r="C32" s="11" t="str">
        <x:v>Issue Management</x:v>
      </x:c>
      <x:c r="D32" s="11" t="str">
        <x:v>PLACEHOLDER</x:v>
      </x:c>
      <x:c r="E32" s="11" t="str">
        <x:v>issues</x:v>
      </x:c>
      <x:c r="F32" s="11" t="str">
        <x:v>Issues menu is explicitly empty; AWP constraints are implemented but are not a general project issue register.</x:v>
      </x:c>
      <x:c r="G32" s="11" t="str">
        <x:v>No prueba de navegación ejecutada en este incremento.</x:v>
      </x:c>
      <x:c r="H32" s="11" t="str">
        <x:v>FUTURE issue lifecycle with explicit links to source domain and escalation, preserving AWP constraint authority.</x:v>
      </x:c>
      <x:c r="I32" s="11" t="str">
        <x:v>frontend/src/navigation/applicationNavigation.ts:388; frontend/src/navigation/applicationNavigation.ts:658; frontend/src/App.tsx:4284; frontend/src/api/integratedControl.ts:303</x:v>
      </x:c>
      <x:c r="J32" s="11" t="str">
        <x:v>frontend/tests/AppFlow.test.tsx:2844</x:v>
      </x:c>
      <x:c r="K32" s="11" t="str">
        <x:v>SOURCE_INSPECTED_ONLY / NOT_RUN</x:v>
      </x:c>
    </x:row>
    <x:row r="33" ht="117" customHeight="1">
      <x:c r="A33" s="11" t="str">
        <x:v>OP11</x:v>
      </x:c>
      <x:c r="B33" s="11" t="str">
        <x:v>FRONTEND</x:v>
      </x:c>
      <x:c r="C33" s="11" t="str">
        <x:v>Procurement Management</x:v>
      </x:c>
      <x:c r="D33" s="11" t="str">
        <x:v>REGISTERED_PLACEHOLDER_WITH_REUSABLE_BACKEND</x:v>
      </x:c>
      <x:c r="E33" s="11" t="str">
        <x:v>request-for-bid</x:v>
      </x:c>
      <x:c r="F33" s="11" t="str">
        <x:v>Request for Bid is empty in current live registry. Legacy RfqView is unimported; backend rfq router is included and dashboard has RFQ summary. Backend availability does not establish current live procurement UI completeness.</x:v>
      </x:c>
      <x:c r="G33" s="11" t="str">
        <x:v>No prueba de navegación ejecutada en este incremento.</x:v>
      </x:c>
      <x:c r="H33" s="11" t="str">
        <x:v>REUSE RFQ backend and explicitly evaluate legacy forms before a future procurement workflow, with current strategic commercial strategy as upstream reference only.</x:v>
      </x:c>
      <x:c r="I33" s="11" t="str">
        <x:v>frontend/src/navigation/applicationNavigation.ts:443; frontend/src/navigation/applicationNavigation.ts:649; frontend/src/views/RfqView.tsx:4; backend/app/api/v1/router.py:356; backend/app/api/v1/router.py:4647</x:v>
      </x:c>
      <x:c r="J33" s="11" t="str">
        <x:v>backend/tests/test_api_smoke.py:1</x:v>
      </x:c>
      <x:c r="K33" s="11" t="str">
        <x:v>SOURCE_INSPECTED_ONLY / NOT_RUN</x:v>
      </x:c>
    </x:row>
    <x:row r="34" ht="162" customHeight="1">
      <x:c r="A34" s="11" t="str">
        <x:v>OP12</x:v>
      </x:c>
      <x:c r="B34" s="11" t="str">
        <x:v>FRONTEND</x:v>
      </x:c>
      <x:c r="C34" s="11" t="str">
        <x:v>Commitments / Contract Administration</x:v>
      </x:c>
      <x:c r="D34" s="11" t="str">
        <x:v>PLACEHOLDER_MENU_WITH_PARTIAL_INTEGRATED_CONTROL</x:v>
      </x:c>
      <x:c r="E34" s="11" t="str">
        <x:v>contracts
contracts-changes
contract-payments
purchase-order
po-changes
po-payments
sales-contracts
commitment-purchase-order</x:v>
      </x:c>
      <x:c r="F34" s="11" t="str">
        <x:v>Dedicated contract/PO/payment and alternate Commitments screens are empty. Integrated control has active SOV and commitment-funding wiring; backend contracts/commitments exist. User labels 'Purchase Order' occur in distinct sales/commitment vs procurement branches: do not merge business meaning based on label alone.</x:v>
      </x:c>
      <x:c r="G34" s="11" t="str">
        <x:v>No prueba de navegación ejecutada en este incremento.</x:v>
      </x:c>
      <x:c r="H34" s="11" t="str">
        <x:v>KEEP contracts/commitment authority and alternate creation routes; define seller/buyer applicability and lifecycle ownership before UI consolidation.</x:v>
      </x:c>
      <x:c r="I34" s="11" t="str">
        <x:v>frontend/src/navigation/applicationNavigation.ts:364; frontend/src/navigation/applicationNavigation.ts:444; frontend/src/navigation/applicationNavigation.ts:650; frontend/src/api/integratedControl.ts:221; frontend/src/api/integratedControl.ts:228; backend/app/api/v1/router.py:2353; backend/app/api/v1/router.py:2370</x:v>
      </x:c>
      <x:c r="J34" s="11" t="str">
        <x:v>backend/tests/test_integrated_control.py:40</x:v>
      </x:c>
      <x:c r="K34" s="11" t="str">
        <x:v>SOURCE_INSPECTED_ONLY / NOT_RUN</x:v>
      </x:c>
    </x:row>
    <x:row r="35" ht="102" customHeight="1">
      <x:c r="A35" s="11" t="str">
        <x:v>OP13</x:v>
      </x:c>
      <x:c r="B35" s="11" t="str">
        <x:v>FRONTEND</x:v>
      </x:c>
      <x:c r="C35" s="11" t="str">
        <x:v>Engineering &amp; Design Management</x:v>
      </x:c>
      <x:c r="D35" s="11" t="str">
        <x:v>NO_DEDICATED_OPERATIONAL_SCREEN_IDENTIFIED</x:v>
      </x:c>
      <x:c r="E35" s="11" t="str"/>
      <x:c r="F35" s="11" t="str">
        <x:v>No engineering/design domain is declared in current operational blueprint. BIM geometry and controlled documents can be reused but do not prove design package/check/review/issue/approval lifecycle.</x:v>
      </x:c>
      <x:c r="G35" s="11" t="str">
        <x:v>No prueba de navegación ejecutada en este incremento.</x:v>
      </x:c>
      <x:c r="H35" s="11" t="str">
        <x:v>FUTURE engineering workflow linked to document revisions and interfaces; do not implement in this architecture increment.</x:v>
      </x:c>
      <x:c r="I35" s="11" t="str">
        <x:v>frontend/src/navigation/applicationNavigation.ts:377; frontend/src/navigation/applicationNavigation.ts:475</x:v>
      </x:c>
      <x:c r="J35" s="11" t="str"/>
      <x:c r="K35" s="11" t="str">
        <x:v>SOURCE_INSPECTED_ONLY / NOT_RUN</x:v>
      </x:c>
    </x:row>
    <x:row r="36" ht="177" customHeight="1">
      <x:c r="A36" s="11" t="str">
        <x:v>OP14</x:v>
      </x:c>
      <x:c r="B36" s="11" t="str">
        <x:v>FRONTEND</x:v>
      </x:c>
      <x:c r="C36" s="11" t="str">
        <x:v>Document &amp; Information Management</x:v>
      </x:c>
      <x:c r="D36" s="11" t="str">
        <x:v>PARTIAL_BACKEND_AND_EVIDENCE_READ_VIEW_WITH_PLACEHOLDER_DEDICATED_UI</x:v>
      </x:c>
      <x:c r="E36" s="11" t="str">
        <x:v>evidence
document-approval
submittals</x:v>
      </x:c>
      <x:c r="F36" s="11" t="str">
        <x:v>Dedicated Document Approval/Submittals menu screens are empty. Evidence read view exists in App, but is not a direct current navigation submodule; current focus guard can redirect views absent from the blueprint. Backend controlled documents/transmittals/mail/reviews and attachment security exist. Legacy DocumentsView is not mounted.</x:v>
      </x:c>
      <x:c r="G36" s="11" t="str">
        <x:v>No prueba de navegación ejecutada en este incremento.</x:v>
      </x:c>
      <x:c r="H36" s="11" t="str">
        <x:v>REUSE controlled document/revision/security backend; plan restoring scoped UI, approval routing and submission semantics without independent document master.</x:v>
      </x:c>
      <x:c r="I36" s="11" t="str">
        <x:v>frontend/src/App.tsx:227; frontend/src/App.tsx:3757; frontend/src/App.tsx:7282; frontend/src/navigation/applicationNavigation.ts:475; frontend/src/navigation/applicationNavigation.ts:662; frontend/src/views/DocumentsView.tsx:4; backend/app/api/v1/router.py:355</x:v>
      </x:c>
      <x:c r="J36" s="11" t="str">
        <x:v>backend/tests/test_api_smoke.py:352
backend/tests/test_api_smoke.py:455
backend/tests/test_api_smoke.py:530
backend/tests/test_api_smoke.py:584</x:v>
      </x:c>
      <x:c r="K36" s="11" t="str">
        <x:v>SOURCE_INSPECTED_ONLY / NOT_RUN</x:v>
      </x:c>
    </x:row>
    <x:row r="37" ht="87" customHeight="1">
      <x:c r="A37" s="11" t="str">
        <x:v>OP15</x:v>
      </x:c>
      <x:c r="B37" s="11" t="str">
        <x:v>FRONTEND</x:v>
      </x:c>
      <x:c r="C37" s="11" t="str">
        <x:v>Interface Management</x:v>
      </x:c>
      <x:c r="D37" s="11" t="str">
        <x:v>NO_DEDICATED_OPERATIONAL_SCREEN_IDENTIFIED</x:v>
      </x:c>
      <x:c r="E37" s="11" t="str"/>
      <x:c r="F37" s="11" t="str">
        <x:v>No interface register, interface agreement or resolution screen identified in operational blueprint. Communications and issues titles are not evidence.</x:v>
      </x:c>
      <x:c r="G37" s="11" t="str">
        <x:v>No prueba de navegación ejecutada en este incremento.</x:v>
      </x:c>
      <x:c r="H37" s="11" t="str">
        <x:v>FUTURE cross-domain workflow referencing real scope/packages/contracts and responsible parties.</x:v>
      </x:c>
      <x:c r="I37" s="11" t="str">
        <x:v>frontend/src/navigation/applicationNavigation.ts:377; frontend/src/navigation/applicationNavigation.ts:387</x:v>
      </x:c>
      <x:c r="J37" s="11" t="str"/>
      <x:c r="K37" s="11" t="str">
        <x:v>SOURCE_INSPECTED_ONLY / NOT_RUN</x:v>
      </x:c>
    </x:row>
    <x:row r="38" ht="147" customHeight="1">
      <x:c r="A38" s="11" t="str">
        <x:v>OP16</x:v>
      </x:c>
      <x:c r="B38" s="11" t="str">
        <x:v>FRONTEND</x:v>
      </x:c>
      <x:c r="C38" s="11" t="str">
        <x:v>Construction / Field Management</x:v>
      </x:c>
      <x:c r="D38" s="11" t="str">
        <x:v>IMPLEMENTED_PARTIAL_AWP_NOT_FULL_FIELD_SUITE</x:v>
      </x:c>
      <x:c r="E38" s="11" t="str">
        <x:v>work-packages
progress</x:v>
      </x:c>
      <x:c r="F38" s="11" t="str">
        <x:v>Work Packages has active CWP/IWP/TWP/TOP summary, hierarchy, path of construction, package draft creation and constraints. Measuring Progress reads field records. No complete daily diary, workforce/time capture, permits-to-work or field inspection suite follows from AWP alone.</x:v>
      </x:c>
      <x:c r="G38" s="11" t="str">
        <x:v>No prueba de navegación ejecutada en este incremento.</x:v>
      </x:c>
      <x:c r="H38" s="11" t="str">
        <x:v>REUSE AWP work packages and constraints; future field workflow consumes approved scope/schedule/method/evidence rather than owning those sources.</x:v>
      </x:c>
      <x:c r="I38" s="11" t="str">
        <x:v>frontend/src/App.tsx:7332; frontend/src/App.tsx:7591; frontend/src/api/integratedControl.ts:272; frontend/src/api/integratedControl.ts:303</x:v>
      </x:c>
      <x:c r="J38" s="11" t="str">
        <x:v>frontend/tests/AppFlow.test.tsx:2844
frontend/e2e/production-readiness.spec.ts:3
backend/tests/test_api_smoke.py:927</x:v>
      </x:c>
      <x:c r="K38" s="11" t="str">
        <x:v>SOURCE_INSPECTED_ONLY / NOT_RUN</x:v>
      </x:c>
    </x:row>
    <x:row r="39" ht="87" customHeight="1">
      <x:c r="A39" s="11" t="str">
        <x:v>OP17</x:v>
      </x:c>
      <x:c r="B39" s="11" t="str">
        <x:v>FRONTEND</x:v>
      </x:c>
      <x:c r="C39" s="11" t="str">
        <x:v>Quality Management</x:v>
      </x:c>
      <x:c r="D39" s="11" t="str">
        <x:v>NO_FULL_QUALITY_DOMAIN_UI_IDENTIFIED</x:v>
      </x:c>
      <x:c r="E39" s="11" t="str">
        <x:v>punch-list-items</x:v>
      </x:c>
      <x:c r="F39" s="11" t="str">
        <x:v>Punch List Items is empty. Schedule Data Quality Gate and IFC quantity-quality rules are source validation, not construction QA/QC, ITP, inspection/NCR lifecycle.</x:v>
      </x:c>
      <x:c r="G39" s="11" t="str">
        <x:v>No prueba de navegación ejecutada en este incremento.</x:v>
      </x:c>
      <x:c r="H39" s="11" t="str">
        <x:v>FUTURE quality domain reusing evidence and work-package references; keep ingestion quality checks separate.</x:v>
      </x:c>
      <x:c r="I39" s="11" t="str">
        <x:v>frontend/src/navigation/applicationNavigation.ts:390; frontend/src/navigation/applicationNavigation.ts:660; frontend/src/App.tsx:4320; frontend/src/components/BimScopeValidationPanel.tsx:1</x:v>
      </x:c>
      <x:c r="J39" s="11" t="str">
        <x:v>frontend/tests/BimScopeValidationPanel.test.tsx:1
backend/tests/test_guided_flow.py:102</x:v>
      </x:c>
      <x:c r="K39" s="11" t="str">
        <x:v>SOURCE_INSPECTED_ONLY / NOT_RUN</x:v>
      </x:c>
    </x:row>
    <x:row r="40" ht="102" customHeight="1">
      <x:c r="A40" s="11" t="str">
        <x:v>OP18</x:v>
      </x:c>
      <x:c r="B40" s="11" t="str">
        <x:v>FRONTEND</x:v>
      </x:c>
      <x:c r="C40" s="11" t="str">
        <x:v>HSE Management</x:v>
      </x:c>
      <x:c r="D40" s="11" t="str">
        <x:v>NO_DEDICATED_OPERATIONAL_SCREEN_IDENTIFIED</x:v>
      </x:c>
      <x:c r="E40" s="11" t="str"/>
      <x:c r="F40" s="11" t="str">
        <x:v>No HSE operational screen or lifecycle is declared. AWP constraints, risk readiness and permits readiness are not a demonstrated HSE incident/inspection/work-permit system.</x:v>
      </x:c>
      <x:c r="G40" s="11" t="str">
        <x:v>No prueba de navegación ejecutada en este incremento.</x:v>
      </x:c>
      <x:c r="H40" s="11" t="str">
        <x:v>FUTURE bounded HSE capability with explicit field/permit/risk links; no invented safety compliance claim.</x:v>
      </x:c>
      <x:c r="I40" s="11" t="str">
        <x:v>frontend/src/navigation/applicationNavigation.ts:377</x:v>
      </x:c>
      <x:c r="J40" s="11" t="str"/>
      <x:c r="K40" s="11" t="str">
        <x:v>SOURCE_INSPECTED_ONLY / NOT_RUN</x:v>
      </x:c>
    </x:row>
    <x:row r="41" ht="147" customHeight="1">
      <x:c r="A41" s="11" t="str">
        <x:v>OP19</x:v>
      </x:c>
      <x:c r="B41" s="11" t="str">
        <x:v>FRONTEND</x:v>
      </x:c>
      <x:c r="C41" s="11" t="str">
        <x:v>Project Controls &amp; Reporting</x:v>
      </x:c>
      <x:c r="D41" s="11" t="str">
        <x:v>IMPLEMENTED_PARTIAL_INTEGRATION_REPORTING</x:v>
      </x:c>
      <x:c r="E41" s="11" t="str">
        <x:v>dashboard
opc-gap
integrated-control
process-flow</x:v>
      </x:c>
      <x:c r="F41" s="11" t="str">
        <x:v>Active EVM dashboard/S-curve, maturity gaps, control matrix, reconciliation export, cost/funding audit agent, recost history and process-flow board exist. Reports derive domain values; they should not become a new source-data owner or substitute for actual approval.</x:v>
      </x:c>
      <x:c r="G41" s="11" t="str">
        <x:v>No prueba de navegación ejecutada en este incremento.</x:v>
      </x:c>
      <x:c r="H41" s="11" t="str">
        <x:v>KEEP integration/read-model layer with explicit source/cutoff lineage and future consolidated snapshots; no universal monolithic Project Controls data owner.</x:v>
      </x:c>
      <x:c r="I41" s="11" t="str">
        <x:v>frontend/src/App.tsx:5755; frontend/src/App.tsx:5924; frontend/src/App.tsx:6935; frontend/src/App.tsx:4444; frontend/src/lib/evm.ts:1; frontend/src/lib/opcGap.ts:1; frontend/src/api/integratedControl.ts:257</x:v>
      </x:c>
      <x:c r="J41" s="11" t="str">
        <x:v>frontend/tests/evm-dashboard.test.ts:88
frontend/tests/opc-gap.test.ts:37
frontend/tests/AppFlow.test.tsx:1970
frontend/tests/AppFlow.test.tsx:1994
frontend/e2e/production-readiness.spec.ts:3</x:v>
      </x:c>
      <x:c r="K41" s="11" t="str">
        <x:v>SOURCE_INSPECTED_ONLY / NOT_RUN</x:v>
      </x:c>
    </x:row>
    <x:row r="42" ht="132" customHeight="1">
      <x:c r="A42" s="11" t="str">
        <x:v>OP20</x:v>
      </x:c>
      <x:c r="B42" s="11" t="str">
        <x:v>FRONTEND</x:v>
      </x:c>
      <x:c r="C42" s="11" t="str">
        <x:v>Claims / Delay / Forensic Analysis</x:v>
      </x:c>
      <x:c r="D42" s="11" t="str">
        <x:v>IMPLEMENTED_PARTIAL</x:v>
      </x:c>
      <x:c r="E42" s="11" t="str">
        <x:v>claims-audit
window-analysis-37</x:v>
      </x:c>
      <x:c r="F42" s="11" t="str">
        <x:v>Active dossier upload/analysis, claims/entitlement/impact read results and chronological XER/XML MIP 3.7 window-analysis UI/API clients exist. Intended professional support is not legal entitlement determination or proof of full accepted contractual workflow.</x:v>
      </x:c>
      <x:c r="G42" s="11" t="str">
        <x:v>No prueba de navegación ejecutada en este incremento.</x:v>
      </x:c>
      <x:c r="H42" s="11" t="str">
        <x:v>REUSE immutable source schedule/dossier lineage, constraints and contract refs; governed reviewer remains decision authority.</x:v>
      </x:c>
      <x:c r="I42" s="11" t="str">
        <x:v>frontend/src/App.tsx:5192; frontend/src/App.tsx:5374; frontend/src/api/integratedControl.ts:278; frontend/src/api/integratedControl.ts:292; backend/app/api/v1/router.py:3278</x:v>
      </x:c>
      <x:c r="J42" s="11" t="str">
        <x:v>backend/tests/test_claims_forensic_dossier.py:11
backend/tests/test_forensic_window_analysis_api.py:11
backend/tests/test_forensic_window_analysis.py:1</x:v>
      </x:c>
      <x:c r="K42" s="11" t="str">
        <x:v>SOURCE_INSPECTED_ONLY / NOT_RUN</x:v>
      </x:c>
    </x:row>
    <x:row r="43" ht="87" customHeight="1">
      <x:c r="A43" s="11" t="str">
        <x:v>OP21</x:v>
      </x:c>
      <x:c r="B43" s="11" t="str">
        <x:v>FRONTEND</x:v>
      </x:c>
      <x:c r="C43" s="11" t="str">
        <x:v>Commissioning</x:v>
      </x:c>
      <x:c r="D43" s="11" t="str">
        <x:v>NO_DEDICATED_LIFECYCLE_SCREEN_IDENTIFIED</x:v>
      </x:c>
      <x:c r="E43" s="11" t="str">
        <x:v>work-packages</x:v>
      </x:c>
      <x:c r="F43" s="11" t="str">
        <x:v>TWP/TOP counts appear in AWP package taxonomy, not proof of system/subsystem completion, test packs, energization or commissioning acceptance lifecycle.</x:v>
      </x:c>
      <x:c r="G43" s="11" t="str">
        <x:v>No prueba de navegación ejecutada en este incremento.</x:v>
      </x:c>
      <x:c r="H43" s="11" t="str">
        <x:v>FUTURE commissioning workflow with systemization and signed test evidence; reuse package/document links.</x:v>
      </x:c>
      <x:c r="I43" s="11" t="str">
        <x:v>frontend/src/App.tsx:7339; backend/tests/test_api_smoke.py:927</x:v>
      </x:c>
      <x:c r="J43" s="11" t="str">
        <x:v>backend/tests/test_api_smoke.py:927</x:v>
      </x:c>
      <x:c r="K43" s="11" t="str">
        <x:v>SOURCE_INSPECTED_ONLY / NOT_RUN</x:v>
      </x:c>
    </x:row>
    <x:row r="44" ht="102" customHeight="1">
      <x:c r="A44" s="11" t="str">
        <x:v>OP22</x:v>
      </x:c>
      <x:c r="B44" s="11" t="str">
        <x:v>FRONTEND</x:v>
      </x:c>
      <x:c r="C44" s="11" t="str">
        <x:v>Handover</x:v>
      </x:c>
      <x:c r="D44" s="11" t="str">
        <x:v>NO_DEDICATED_HANDOVER_LIFECYCLE_UI_IDENTIFIED</x:v>
      </x:c>
      <x:c r="E44" s="11" t="str">
        <x:v>work-packages
evidence</x:v>
      </x:c>
      <x:c r="F44" s="11" t="str">
        <x:v>TOP and evidence/closeout language are existing primitives only; no demonstrated handover dossier acceptance, custody transfer, punch close or owner acknowledgment workflow.</x:v>
      </x:c>
      <x:c r="G44" s="11" t="str">
        <x:v>No prueba de navegación ejecutada en este incremento.</x:v>
      </x:c>
      <x:c r="H44" s="11" t="str">
        <x:v>FUTURE governed handover dossier/workflow; no invented completion or transfer.</x:v>
      </x:c>
      <x:c r="I44" s="11" t="str">
        <x:v>frontend/src/App.tsx:7339; frontend/src/App.tsx:3630; frontend/src/App.tsx:7282</x:v>
      </x:c>
      <x:c r="J44" s="11" t="str"/>
      <x:c r="K44" s="11" t="str">
        <x:v>SOURCE_INSPECTED_ONLY / NOT_RUN</x:v>
      </x:c>
    </x:row>
    <x:row r="45" ht="102" customHeight="1">
      <x:c r="A45" s="11" t="str">
        <x:v>OP23</x:v>
      </x:c>
      <x:c r="B45" s="11" t="str">
        <x:v>FRONTEND</x:v>
      </x:c>
      <x:c r="C45" s="11" t="str">
        <x:v>Operational Readiness</x:v>
      </x:c>
      <x:c r="D45" s="11" t="str">
        <x:v>PARTIAL_PROJECT_SETUP_GATE_NOT_ASSET_OPERATIONS_READINESS</x:v>
      </x:c>
      <x:c r="E45" s="11" t="str">
        <x:v>setup</x:v>
      </x:c>
      <x:c r="F45" s="11" t="str">
        <x:v>Existing setup readiness gate validates configuration for Activity Sheet loading. It is not commissioning-to-operation readiness, staffing/training/spares/O&amp;M permit acceptance.</x:v>
      </x:c>
      <x:c r="G45" s="11" t="str">
        <x:v>No prueba de navegación ejecutada en este incremento.</x:v>
      </x:c>
      <x:c r="H45" s="11" t="str">
        <x:v>KEEP source setup readiness distinct; future operations-readiness checklist consumes approved commissioning/handover evidence.</x:v>
      </x:c>
      <x:c r="I45" s="11" t="str">
        <x:v>frontend/src/App.tsx:3410; frontend/src/App.tsx:4505; frontend/src/api/projects.ts:86</x:v>
      </x:c>
      <x:c r="J45" s="11" t="str">
        <x:v>frontend/tests/AppFlow.test.tsx:2407
backend/tests/test_project_operational_setup_activity_sheet.py:1</x:v>
      </x:c>
      <x:c r="K45" s="11" t="str">
        <x:v>SOURCE_INSPECTED_ONLY / NOT_RUN</x:v>
      </x:c>
    </x:row>
    <x:row r="46" ht="117" customHeight="1">
      <x:c r="A46" s="11" t="str">
        <x:v>OP24</x:v>
      </x:c>
      <x:c r="B46" s="11" t="str">
        <x:v>FRONTEND</x:v>
      </x:c>
      <x:c r="C46" s="11" t="str">
        <x:v>Project Closeout</x:v>
      </x:c>
      <x:c r="D46" s="11" t="str">
        <x:v>PARTIAL_FINANCIAL_REPORT_NOT_TOTAL_PROJECT_CLOSEOUT</x:v>
      </x:c>
      <x:c r="E46" s="11" t="str">
        <x:v>integrated-control</x:v>
      </x:c>
      <x:c r="F46" s="11" t="str">
        <x:v>Integrated-control displays unused balance/open commitments; backend closeout report and financial-closeout action exist. Current UI evidence does not establish full commercial/technical/records closeout lifecycle.</x:v>
      </x:c>
      <x:c r="G46" s="11" t="str">
        <x:v>No prueba de navegación ejecutada en este incremento.</x:v>
      </x:c>
      <x:c r="H46" s="11" t="str">
        <x:v>REUSE financial closeout report, keep technical/contractual/records approvals explicit and separate.</x:v>
      </x:c>
      <x:c r="I46" s="11" t="str">
        <x:v>frontend/src/App.tsx:6197; frontend/src/api/integratedControl.ts:157; backend/app/api/v1/router.py:1977; backend/app/api/v1/router.py:1990</x:v>
      </x:c>
      <x:c r="J46" s="11" t="str">
        <x:v>backend/tests/test_integrated_control.py:208</x:v>
      </x:c>
      <x:c r="K46" s="11" t="str">
        <x:v>SOURCE_INSPECTED_ONLY / NOT_RUN</x:v>
      </x:c>
    </x:row>
    <x:row r="47" ht="147" customHeight="1">
      <x:c r="A47" s="11" t="str">
        <x:v>OP25</x:v>
      </x:c>
      <x:c r="B47" s="11" t="str">
        <x:v>FRONTEND</x:v>
      </x:c>
      <x:c r="C47" s="11" t="str">
        <x:v>Asset Handover / Transition</x:v>
      </x:c>
      <x:c r="D47" s="11" t="str">
        <x:v>PLACEHOLDER_ASSET_MENU_AND_REUSABLE_CANONICAL_PHYSICAL_WORKSPACE</x:v>
      </x:c>
      <x:c r="E47" s="11" t="str">
        <x:v>setup
asset-inventory
asset-warranty
asset-meter</x:v>
      </x:c>
      <x:c r="F47" s="11" t="str">
        <x:v>Asset Creator/Receipt is the label of existing operational setup, not an implemented asset receipt workflow. Facility Asset Manager entries are empty. Physical Workspace infrastructure exists upstream but does not prove asset commissioning/receipt or maintenance master transfer.</x:v>
      </x:c>
      <x:c r="G47" s="11" t="str">
        <x:v>No prueba de navegación ejecutada en este incremento.</x:v>
      </x:c>
      <x:c r="H47" s="11" t="str">
        <x:v>FUTURE explicit canonical Facility/Property/asset reference and acceptance contract; no parallel Project/asset registry.</x:v>
      </x:c>
      <x:c r="I47" s="11" t="str">
        <x:v>frontend/src/navigation/applicationNavigation.ts:354; frontend/src/navigation/applicationNavigation.ts:491; frontend/src/navigation/applicationNavigation.ts:664; frontend/src/App.tsx:4505</x:v>
      </x:c>
      <x:c r="J47" s="11" t="str">
        <x:v>backend/tests/test_physical_workspace_creation.py:628
backend/tests/test_physical_workspace_initialization.py:1</x:v>
      </x:c>
      <x:c r="K47" s="11" t="str">
        <x:v>SOURCE_INSPECTED_ONLY / NOT_RUN</x:v>
      </x:c>
    </x:row>
    <x:row r="48" ht="72" customHeight="1">
      <x:c r="A48" s="11" t="str">
        <x:v>PH-C01</x:v>
      </x:c>
      <x:c r="B48" s="11" t="str">
        <x:v>PROCUREMENT / HANDOFF</x:v>
      </x:c>
      <x:c r="C48" s="11" t="str">
        <x:v>Partners / Join Venture</x:v>
      </x:c>
      <x:c r="D48" s="11" t="str">
        <x:v>RESERVED</x:v>
      </x:c>
      <x:c r="E48" s="11" t="str">
        <x:v>Navigation placeholder; no implemented normalized partner master established by inspected operational schema/API/test paths.</x:v>
      </x:c>
      <x:c r="F48" s="11" t="str">
        <x:v>SHARED MASTER DATA</x:v>
      </x:c>
      <x:c r="G48" s="11" t="str">
        <x:v>No flujo ejecutado ni datos de negocio modificados.</x:v>
      </x:c>
      <x:c r="H48" s="11" t="str">
        <x:v>Shared party/reference-data capability under Enterprise configuration; Procurement and Contracts consume scoped references.</x:v>
      </x:c>
      <x:c r="I48" s="11" t="str">
        <x:v>frontend/src/navigation/applicationNavigation.ts:354; frontend/src/navigation/applicationNavigation.ts:630; frontend/src/App.tsx:4284</x:v>
      </x:c>
      <x:c r="J48" s="11" t="str"/>
      <x:c r="K48" s="11" t="str">
        <x:v>SOURCE_INSPECTED_ONLY / NOT_RUN</x:v>
      </x:c>
    </x:row>
    <x:row r="49" ht="72" customHeight="1">
      <x:c r="A49" s="11" t="str">
        <x:v>PH-C02</x:v>
      </x:c>
      <x:c r="B49" s="11" t="str">
        <x:v>PROCUREMENT / HANDOFF</x:v>
      </x:c>
      <x:c r="C49" s="11" t="str">
        <x:v>Vendors / Vendors List</x:v>
      </x:c>
      <x:c r="D49" s="11" t="str">
        <x:v>RESERVED</x:v>
      </x:c>
      <x:c r="E49" s="11" t="str">
        <x:v>Reserved menu. PO.vendor, Contract.counterparty and RFQBid.bidder_name are strings, not shared Party foreign keys.</x:v>
      </x:c>
      <x:c r="F49" s="11" t="str">
        <x:v>SHARED MASTER DATA</x:v>
      </x:c>
      <x:c r="G49" s="11" t="str">
        <x:v>No flujo ejecutado ni datos de negocio modificados.</x:v>
      </x:c>
      <x:c r="H49" s="11" t="str">
        <x:v>Single scoped party master; transactional owner retains approved historical counterparty details and role references.</x:v>
      </x:c>
      <x:c r="I49" s="11" t="str">
        <x:v>frontend/src/navigation/applicationNavigation.ts:359; frontend/src/navigation/applicationNavigation.ts:631; backend/app/domain/models.py:1410; backend/app/domain/models.py:1535; backend/app/domain/models.py:1620</x:v>
      </x:c>
      <x:c r="J49" s="11" t="str"/>
      <x:c r="K49" s="11" t="str">
        <x:v>SOURCE_INSPECTED_ONLY / NOT_RUN</x:v>
      </x:c>
    </x:row>
    <x:row r="50" ht="102" customHeight="1">
      <x:c r="A50" s="11" t="str">
        <x:v>PH-C03</x:v>
      </x:c>
      <x:c r="B50" s="11" t="str">
        <x:v>PROCUREMENT / HANDOFF</x:v>
      </x:c>
      <x:c r="C50" s="11" t="str">
        <x:v>Commitments / Sales Contracts / SC Changes / SC Payments menu</x:v>
      </x:c>
      <x:c r="D50" s="11" t="str">
        <x:v>RESERVED</x:v>
      </x:c>
      <x:c r="E50" s="11" t="str">
        <x:v>Labels reserved; do not infer a distinct sales-contract, AR or change/payment lifecycle. Contract register lacks explicit revenue-versus-spend direction in inspected schema.</x:v>
      </x:c>
      <x:c r="F50" s="11" t="str">
        <x:v>MOVE / REUSE OPERATIONAL</x:v>
      </x:c>
      <x:c r="G50" s="11" t="str">
        <x:v>No flujo ejecutado ni datos de negocio modificados.</x:v>
      </x:c>
      <x:c r="H50" s="11" t="str">
        <x:v>Contract Administration single register with explicit contract direction and commitment semantics; sales/client contract references must not be counted as purchase cost obligations.</x:v>
      </x:c>
      <x:c r="I50" s="11" t="str">
        <x:v>frontend/src/navigation/applicationNavigation.ts:364; frontend/src/navigation/applicationNavigation.ts:632; backend/app/domain/models.py:1400</x:v>
      </x:c>
      <x:c r="J50" s="11" t="str"/>
      <x:c r="K50" s="11" t="str">
        <x:v>SOURCE_INSPECTED_ONLY / NOT_RUN</x:v>
      </x:c>
    </x:row>
    <x:row r="51" ht="102" customHeight="1">
      <x:c r="A51" s="11" t="str">
        <x:v>PH-C04</x:v>
      </x:c>
      <x:c r="B51" s="11" t="str">
        <x:v>PROCUREMENT / HANDOFF</x:v>
      </x:c>
      <x:c r="C51" s="11" t="str">
        <x:v>Purchase Order menus in Commitments and Procurement</x:v>
      </x:c>
      <x:c r="D51" s="11" t="str">
        <x:v>REFACTOR</x:v>
      </x:c>
      <x:c r="E51" s="11" t="str">
        <x:v>Two reserved menu concepts, one existing PurchaseOrder table/API authority. Deprecation applies to duplicate authority/navigation concept, not removal of the existing API/table.</x:v>
      </x:c>
      <x:c r="F51" s="11" t="str">
        <x:v>DEPRECATE</x:v>
      </x:c>
      <x:c r="G51" s="11" t="str">
        <x:v>No flujo ejecutado ni datos de negocio modificados.</x:v>
      </x:c>
      <x:c r="H51" s="11" t="str">
        <x:v>Contract Administration owns existing PO obligation. Procurement shows an access/reference into that same register.</x:v>
      </x:c>
      <x:c r="I51" s="11" t="str">
        <x:v>frontend/src/navigation/applicationNavigation.ts:370; frontend/src/navigation/applicationNavigation.ts:447; frontend/src/navigation/applicationNavigation.ts:635; frontend/src/navigation/applicationNavigation.ts:654; backend/app/domain/models.py:1524; backend/app/api/v1/router.py:2640</x:v>
      </x:c>
      <x:c r="J51" s="11" t="str"/>
      <x:c r="K51" s="11" t="str">
        <x:v>SOURCE_INSPECTED_ONLY / NOT_RUN</x:v>
      </x:c>
    </x:row>
    <x:row r="52" ht="132" customHeight="1">
      <x:c r="A52" s="11" t="str">
        <x:v>PH-C05</x:v>
      </x:c>
      <x:c r="B52" s="11" t="str">
        <x:v>PROCUREMENT / HANDOFF</x:v>
      </x:c>
      <x:c r="C52" s="11" t="str">
        <x:v>RFQ packages / bids / weighted evaluation</x:v>
      </x:c>
      <x:c r="D52" s="11" t="str">
        <x:v>EXTEND</x:v>
      </x:c>
      <x:c r="E52" s="11" t="str">
        <x:v>Real versioned backend package/bid CRUD, membership checks, optimistic version and audit; hardcoded 35/35/15/15 weights and highest-score summary are not governed award approval. Reserved request-for-bid navigation is not a complete sourcing workspace.</x:v>
      </x:c>
      <x:c r="F52" s="11" t="str">
        <x:v>MOVE / REUSE OPERATIONAL</x:v>
      </x:c>
      <x:c r="G52" s="11" t="str">
        <x:v>No flujo ejecutado ni datos de negocio modificados.</x:v>
      </x:c>
      <x:c r="H52" s="11" t="str">
        <x:v>Procurement sourcing; ADMIN publishes configurable scoring/approval policy, USER manages packages and submits recommendations; independent award authority before contractual materialization.</x:v>
      </x:c>
      <x:c r="I52" s="11" t="str">
        <x:v>backend/app/domain/models.py:1591; backend/app/domain/models.py:1613; backend/app/api/v1/routers/rfq.py:63; backend/app/api/v1/routers/rfq.py:108; backend/app/api/v1/routers/rfq.py:133; backend/app/api/v1/routers/rfq.py:190; backend/tests/test_api_smoke.py:293; frontend/src/navigation/applicationNavigation.ts:650</x:v>
      </x:c>
      <x:c r="J52" s="11" t="str"/>
      <x:c r="K52" s="11" t="str">
        <x:v>SOURCE_INSPECTED_ONLY / NOT_RUN</x:v>
      </x:c>
    </x:row>
    <x:row r="53" ht="102" customHeight="1">
      <x:c r="A53" s="11" t="str">
        <x:v>PH-C06</x:v>
      </x:c>
      <x:c r="B53" s="11" t="str">
        <x:v>PROCUREMENT / HANDOFF</x:v>
      </x:c>
      <x:c r="C53" s="11" t="str">
        <x:v>Procurement Plan / Requisition / RFP / approved award workflow</x:v>
      </x:c>
      <x:c r="D53" s="11" t="str">
        <x:v>RESERVED</x:v>
      </x:c>
      <x:c r="E53" s="11" t="str">
        <x:v>RFQPackage procurement_method and bid summary are reusable primitives; a complete governed requisition, package plan, award SoD and award-to-contract link is not demonstrated.</x:v>
      </x:c>
      <x:c r="F53" s="11" t="str">
        <x:v>FUTURE</x:v>
      </x:c>
      <x:c r="G53" s="11" t="str">
        <x:v>No flujo ejecutado ni datos de negocio modificados.</x:v>
      </x:c>
      <x:c r="H53" s="11" t="str">
        <x:v>Procurement, Wave O2 after O1 identity/control foundation. No new module now.</x:v>
      </x:c>
      <x:c r="I53" s="11" t="str">
        <x:v>backend/app/domain/models.py:1601; backend/app/api/v1/routers/rfq.py:63; backend/app/domain/process_catalog.py:285; backend/app/domain/process_catalog.py:331</x:v>
      </x:c>
      <x:c r="J53" s="11" t="str"/>
      <x:c r="K53" s="11" t="str">
        <x:v>SOURCE_INSPECTED_ONLY / NOT_RUN</x:v>
      </x:c>
    </x:row>
    <x:row r="54" ht="132" customHeight="1">
      <x:c r="A54" s="11" t="str">
        <x:v>PH-C07</x:v>
      </x:c>
      <x:c r="B54" s="11" t="str">
        <x:v>PROCUREMENT / HANDOFF</x:v>
      </x:c>
      <x:c r="C54" s="11" t="str">
        <x:v>Contracts / original value / Contract Administration display</x:v>
      </x:c>
      <x:c r="D54" s="11" t="str">
        <x:v>REFACTOR</x:v>
      </x:c>
      <x:c r="E54" s="11" t="str">
        <x:v>Existing Contract has unique tenant/project/code, FBS/control account, type/value/status and real create API. Display exists; approved value-history, formal amendment/award authorization and canonical Workspace binding need future design.</x:v>
      </x:c>
      <x:c r="F54" s="11" t="str">
        <x:v>MOVE / REUSE OPERATIONAL</x:v>
      </x:c>
      <x:c r="G54" s="11" t="str">
        <x:v>No flujo ejecutado ni datos de negocio modificados.</x:v>
      </x:c>
      <x:c r="H54" s="11" t="str">
        <x:v>Contract Administration; publish one contractual commitment source for Cost. Preserve existing records and API compatibility under explicit adapter.</x:v>
      </x:c>
      <x:c r="I54" s="11" t="str">
        <x:v>backend/app/domain/models.py:1400; backend/app/api/v1/router.py:2370; frontend/src/views/ContractsView.tsx:11; backend/tests/test_integrated_control.py:40; backend/tests/test_api_smoke.py:243</x:v>
      </x:c>
      <x:c r="J54" s="11" t="str"/>
      <x:c r="K54" s="11" t="str">
        <x:v>SOURCE_INSPECTED_ONLY / NOT_RUN</x:v>
      </x:c>
    </x:row>
    <x:row r="55" ht="102" customHeight="1">
      <x:c r="A55" s="11" t="str">
        <x:v>PH-C08</x:v>
      </x:c>
      <x:c r="B55" s="11" t="str">
        <x:v>PROCUREMENT / HANDOFF</x:v>
      </x:c>
      <x:c r="C55" s="11" t="str">
        <x:v>PurchaseOrder register</x:v>
      </x:c>
      <x:c r="D55" s="11" t="str">
        <x:v>REFACTOR</x:v>
      </x:c>
      <x:c r="E55" s="11" t="str">
        <x:v>Real unique PO number, linked Contract optional, positive committed_amount, FBS availability validation, versioned update and audit. No second PO owner should be created.</x:v>
      </x:c>
      <x:c r="F55" s="11" t="str">
        <x:v>MOVE / REUSE OPERATIONAL</x:v>
      </x:c>
      <x:c r="G55" s="11" t="str">
        <x:v>No flujo ejecutado ni datos de negocio modificados.</x:v>
      </x:c>
      <x:c r="H55" s="11" t="str">
        <x:v>Contract Administration/Commitments owns PO, Procurement consumes award linkage, Cost consumes net obligation by economic-event identity.</x:v>
      </x:c>
      <x:c r="I55" s="11" t="str">
        <x:v>backend/app/domain/models.py:1524; backend/app/api/v1/router.py:2640; backend/app/api/v1/router.py:2706; backend/tests/test_api_smoke.py:258; backend/tests/test_integrated_control.py:146</x:v>
      </x:c>
      <x:c r="J55" s="11" t="str"/>
      <x:c r="K55" s="11" t="str">
        <x:v>SOURCE_INSPECTED_ONLY / NOT_RUN</x:v>
      </x:c>
    </x:row>
    <x:row r="56" ht="102" customHeight="1">
      <x:c r="A56" s="11" t="str">
        <x:v>PH-C09</x:v>
      </x:c>
      <x:c r="B56" s="11" t="str">
        <x:v>PROCUREMENT / HANDOFF</x:v>
      </x:c>
      <x:c r="C56" s="11" t="str">
        <x:v>Contract SOV and CommitmentFundingLine</x:v>
      </x:c>
      <x:c r="D56" s="11" t="str">
        <x:v>EXTEND</x:v>
      </x:c>
      <x:c r="E56" s="11" t="str">
        <x:v>Actual SOV contract/CBS/WBS/control-account allocation and funding lines with allocation limits. Funding allocation is not another commitment amount or independent award authority.</x:v>
      </x:c>
      <x:c r="F56" s="11" t="str">
        <x:v>MOVE / REUSE OPERATIONAL</x:v>
      </x:c>
      <x:c r="G56" s="11" t="str">
        <x:v>No flujo ejecutado ni datos de negocio modificados.</x:v>
      </x:c>
      <x:c r="H56" s="11" t="str">
        <x:v>Contract Administration owns SOV, Cost consumes coding/distribution, operational FBS owns funding allocation; domain writes through owner commands only.</x:v>
      </x:c>
      <x:c r="I56" s="11" t="str">
        <x:v>backend/app/domain/models.py:1418; backend/app/domain/models.py:1439; backend/app/api/v1/router.py:2452; backend/app/api/v1/router.py:2524; backend/tests/test_unifier_priority_flow.py:11; frontend/src/App.tsx:6446</x:v>
      </x:c>
      <x:c r="J56" s="11" t="str"/>
      <x:c r="K56" s="11" t="str">
        <x:v>SOURCE_INSPECTED_ONLY / NOT_RUN</x:v>
      </x:c>
    </x:row>
    <x:row r="57" ht="87" customHeight="1">
      <x:c r="A57" s="11" t="str">
        <x:v>PH-C10</x:v>
      </x:c>
      <x:c r="B57" s="11" t="str">
        <x:v>PROCUREMENT / HANDOFF</x:v>
      </x:c>
      <x:c r="C57" s="11" t="str">
        <x:v>Contract notices / communications</x:v>
      </x:c>
      <x:c r="D57" s="11" t="str">
        <x:v>EXTEND</x:v>
      </x:c>
      <x:c r="E57" s="11" t="str">
        <x:v>Existing notice/communication primitives. Reuse contractual references/evidence, not a standalone enterprise DMS or complete RFI/submittal lifecycle.</x:v>
      </x:c>
      <x:c r="F57" s="11" t="str">
        <x:v>MOVE / REUSE OPERATIONAL</x:v>
      </x:c>
      <x:c r="G57" s="11" t="str">
        <x:v>No flujo ejecutado ni datos de negocio modificados.</x:v>
      </x:c>
      <x:c r="H57" s="11" t="str">
        <x:v>Contract Administration legal notices; Document capability owns document revision/distribution; Claims references immutable notices.</x:v>
      </x:c>
      <x:c r="I57" s="11" t="str">
        <x:v>backend/app/domain/models.py:1344; backend/app/domain/models.py:1637; backend/app/api/v1/router.py:3079; backend/app/api/v1/router.py:3142; frontend/src/views/ContractsView.tsx:87</x:v>
      </x:c>
      <x:c r="J57" s="11" t="str"/>
      <x:c r="K57" s="11" t="str">
        <x:v>SOURCE_INSPECTED_ONLY / NOT_RUN</x:v>
      </x:c>
    </x:row>
    <x:row r="58" ht="132" customHeight="1">
      <x:c r="A58" s="11" t="str">
        <x:v>PH-C11</x:v>
      </x:c>
      <x:c r="B58" s="11" t="str">
        <x:v>PROCUREMENT / HANDOFF</x:v>
      </x:c>
      <x:c r="C58" s="11" t="str">
        <x:v>Payment certificates / retention / warehouse receipts</x:v>
      </x:c>
      <x:c r="D58" s="11" t="str">
        <x:v>REFACTOR</x:v>
      </x:c>
      <x:c r="E58" s="11" t="str">
        <x:v>Real operational certified/received cost records with contract/PO/control-account references. They are not proof of bank settlement, invoice accounting or tax postings. Reservation liquidation and duplicate economic-origin handling need definition.</x:v>
      </x:c>
      <x:c r="F58" s="11" t="str">
        <x:v>MOVE / REUSE OPERATIONAL</x:v>
      </x:c>
      <x:c r="G58" s="11" t="str">
        <x:v>No flujo ejecutado ni datos de negocio modificados.</x:v>
      </x:c>
      <x:c r="H58" s="11" t="str">
        <x:v>Contract Administration certifies contract milestones/retention; material receipt owner certifies delivery; Cost consumes certified/accrual evidence once. Accounting/Treasury payment execution remains external future boundary.</x:v>
      </x:c>
      <x:c r="I58" s="11" t="str">
        <x:v>backend/app/domain/models.py:1546; backend/app/domain/models.py:1568; backend/app/services/integrated_control.py:419; frontend/src/views/ContractsView.tsx:56; backend/tests/test_integrated_control.py:266</x:v>
      </x:c>
      <x:c r="J58" s="11" t="str"/>
      <x:c r="K58" s="11" t="str">
        <x:v>SOURCE_INSPECTED_ONLY / NOT_RUN</x:v>
      </x:c>
    </x:row>
    <x:row r="59" ht="117" customHeight="1">
      <x:c r="A59" s="11" t="str">
        <x:v>PH-C12</x:v>
      </x:c>
      <x:c r="B59" s="11" t="str">
        <x:v>PROCUREMENT / HANDOFF</x:v>
      </x:c>
      <x:c r="C59" s="11" t="str">
        <x:v>Subcontract / Change Order / contract closeout lifecycle</x:v>
      </x:c>
      <x:c r="D59" s="11" t="str">
        <x:v>RESERVED</x:v>
      </x:c>
      <x:c r="E59" s="11" t="str">
        <x:v>contract_type free text and existing status/closeout controls are primitives only. Reserved changes/payments screens do not establish a separately governed subcontract or contractual change order workflow.</x:v>
      </x:c>
      <x:c r="F59" s="11" t="str">
        <x:v>FUTURE</x:v>
      </x:c>
      <x:c r="G59" s="11" t="str">
        <x:v>No flujo ejecutado ni datos de negocio modificados.</x:v>
      </x:c>
      <x:c r="H59" s="11" t="str">
        <x:v>Contract Administration specializes shared contract aggregate; Change domain owns common impact/decision event; no disconnected per-module approval records.</x:v>
      </x:c>
      <x:c r="I59" s="11" t="str">
        <x:v>backend/app/domain/models.py:1411; frontend/src/navigation/applicationNavigation.ts:445; backend/tests/test_integrated_control.py:208</x:v>
      </x:c>
      <x:c r="J59" s="11" t="str"/>
      <x:c r="K59" s="11" t="str">
        <x:v>SOURCE_INSPECTED_ONLY / NOT_RUN</x:v>
      </x:c>
    </x:row>
    <x:row r="60" ht="117" customHeight="1">
      <x:c r="A60" s="11" t="str">
        <x:v>PH-C13</x:v>
      </x:c>
      <x:c r="B60" s="11" t="str">
        <x:v>PROCUREMENT / HANDOFF</x:v>
      </x:c>
      <x:c r="C60" s="11" t="str">
        <x:v>Strategic Commercial &amp; Contracting Strategy</x:v>
      </x:c>
      <x:c r="D60" s="11" t="str">
        <x:v>REUSE</x:v>
      </x:c>
      <x:c r="E60" s="11" t="str">
        <x:v>Canonical Workspace-linked immutable completed strategy versions/readiness, configured ADMIN/USER permissions and governed provider. Packages are explicitly commercial concepts, not procurement transactions.</x:v>
      </x:c>
      <x:c r="F60" s="11" t="str">
        <x:v>KEEP STRATEGIC</x:v>
      </x:c>
      <x:c r="G60" s="11" t="str">
        <x:v>No flujo ejecutado ni datos de negocio modificados.</x:v>
      </x:c>
      <x:c r="H60" s="11" t="str">
        <x:v>Strategic commercial authority; Procurement references completed strategy version/hash and elaborates operational sourcing plan. Any strategic deviation requires explicit governed review, not local overwrite.</x:v>
      </x:c>
      <x:c r="I60" s="11" t="str">
        <x:v>backend/app/modules/commercial_strategy/models.py:1; backend/app/modules/commercial_strategy/models.py:30; backend/app/modules/commercial_strategy/models.py:88; backend/app/modules/commercial_strategy/router.py:373; frontend/src/features/commercial-strategy/CommercialStrategyWorkspace.tsx:316; backend/tests/test_commercial_strategy_gate07m_comm.py:325; backend/tests/test_commercial_strategy_gate07m_comm.py:632</x:v>
      </x:c>
      <x:c r="J60" s="11" t="str"/>
      <x:c r="K60" s="11" t="str">
        <x:v>SOURCE_INSPECTED_ONLY / NOT_RUN</x:v>
      </x:c>
    </x:row>
    <x:row r="61" ht="117" customHeight="1">
      <x:c r="A61" s="11" t="str">
        <x:v>PH-C14</x:v>
      </x:c>
      <x:c r="B61" s="11" t="str">
        <x:v>PROCUREMENT / HANDOFF</x:v>
      </x:c>
      <x:c r="C61" s="11" t="str">
        <x:v>Funds Manager / StrategicFundingSource / Fund / FundingAssignment</x:v>
      </x:c>
      <x:c r="D61" s="11" t="str">
        <x:v>REUSE</x:v>
      </x:c>
      <x:c r="E61" s="11" t="str">
        <x:v>Governed capital sources/envelopes/assignments/readiness use enterprise_workspaces references; Decimal monetary fields, revision/hash/idempotency/SoD and history. Not a procurement or operational actual-cost authority.</x:v>
      </x:c>
      <x:c r="F61" s="11" t="str">
        <x:v>KEEP STRATEGIC</x:v>
      </x:c>
      <x:c r="G61" s="11" t="str">
        <x:v>No flujo ejecutado ni datos de negocio modificados.</x:v>
      </x:c>
      <x:c r="H61" s="11" t="str">
        <x:v>Strategic Funding; downstream consumes assignment restrictions/coverage and frozen authorization references. No automatic copying to operational budget, available FBS, PO or cash actuals.</x:v>
      </x:c>
      <x:c r="I61" s="11" t="str">
        <x:v>backend/app/modules/funds_manager/models.py:1; backend/app/modules/funds_manager/models.py:33; backend/app/modules/funds_manager/models.py:80; backend/app/modules/funds_manager/models.py:139; backend/app/modules/funds_manager/router.py:522; frontend/e2e/funds-manager.spec.ts:1; backend/tests/test_funds_manager_gate07j_fund.py:179; backend/tests/test_funds_manager_gate07j_fund.py:247; backend/tests/test_funds_manager_gate07j_fund.py:300</x:v>
      </x:c>
      <x:c r="J61" s="11" t="str"/>
      <x:c r="K61" s="11" t="str">
        <x:v>SOURCE_INSPECTED_ONLY / NOT_RUN</x:v>
      </x:c>
    </x:row>
    <x:row r="62" ht="132" customHeight="1">
      <x:c r="A62" s="11" t="str">
        <x:v>PH-C15</x:v>
      </x:c>
      <x:c r="B62" s="11" t="str">
        <x:v>PROCUREMENT / HANDOFF</x:v>
      </x:c>
      <x:c r="C62" s="11" t="str">
        <x:v>Operational funding_sources / FBS and Integrated Control balances</x:v>
      </x:c>
      <x:c r="D62" s="11" t="str">
        <x:v>REFACTOR</x:v>
      </x:c>
      <x:c r="E62" s="11" t="str">
        <x:v>Distinct existing projects-linked FBS allocation/balance and commitment availability service, separate by explicit design from strategic_funding_sources. Uses Float, mutable balances and additive aggregates; not a strategic envelope.</x:v>
      </x:c>
      <x:c r="F62" s="11" t="str">
        <x:v>MOVE / REUSE OPERATIONAL</x:v>
      </x:c>
      <x:c r="G62" s="11" t="str">
        <x:v>No flujo ejecutado ni datos de negocio modificados.</x:v>
      </x:c>
      <x:c r="H62" s="11" t="str">
        <x:v>Operational Cost owns approved control funding mapping and derived balance; strategic funding remains referenced source/constraint. Reconcile original/current commitment, outstanding reservation and cost actuals before wider rollout.</x:v>
      </x:c>
      <x:c r="I62" s="11" t="str">
        <x:v>backend/app/domain/models.py:1077; backend/app/api/v1/router.py:911; backend/app/services/integrated_control.py:102; backend/app/services/integrated_control.py:125; backend/app/modules/funds_manager/models.py:1; backend/tests/test_integrated_control.py:40</x:v>
      </x:c>
      <x:c r="J62" s="11" t="str"/>
      <x:c r="K62" s="11" t="str">
        <x:v>SOURCE_INSPECTED_ONLY / NOT_RUN</x:v>
      </x:c>
    </x:row>
    <x:row r="63" ht="87" customHeight="1">
      <x:c r="A63" s="11" t="str">
        <x:v>PH-C16</x:v>
      </x:c>
      <x:c r="B63" s="11" t="str">
        <x:v>PROCUREMENT / HANDOFF</x:v>
      </x:c>
      <x:c r="C63" s="11" t="str">
        <x:v>Invoice / payment / Accounting and Treasury execution</x:v>
      </x:c>
      <x:c r="D63" s="11" t="str">
        <x:v>NOT_RELEVANT</x:v>
      </x:c>
      <x:c r="E63" s="11" t="str">
        <x:v>Out of this increment; PO/SC payment labels are reserved and certificates are not payments. No new payment/accounting function authorized.</x:v>
      </x:c>
      <x:c r="F63" s="11" t="str">
        <x:v>FUTURE</x:v>
      </x:c>
      <x:c r="G63" s="11" t="str">
        <x:v>No flujo ejecutado ni datos de negocio modificados.</x:v>
      </x:c>
      <x:c r="H63" s="11" t="str">
        <x:v>External Accounting/Treasury integration with explicit references, reconciliation and posting/settlement statuses. Retain operational certificates as evidence only.</x:v>
      </x:c>
      <x:c r="I63" s="11" t="str">
        <x:v>frontend/src/navigation/applicationNavigation.ts:369; frontend/src/navigation/applicationNavigation.ts:372; frontend/src/navigation/applicationNavigation.ts:449; backend/app/domain/models.py:1546</x:v>
      </x:c>
      <x:c r="J63" s="11" t="str"/>
      <x:c r="K63" s="11" t="str">
        <x:v>SOURCE_INSPECTED_ONLY / NOT_RUN</x:v>
      </x:c>
    </x:row>
  </x:sheetData>
  <x:pageMargins left="0.7" right="0.7" top="0.75" bottom="0.75" header="0.3" footer="0.3"/>
  <x:tableParts count="1">
    <x:tablePart xmlns:r="http://schemas.openxmlformats.org/officeDocument/2006/relationships" r:id="Ra9fd0d7bed9e417d"/>
  </x:tableParts>
</x:worksheet>
</file>

<file path=xl/worksheets/sheet8.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 min="7" max="7" width="36" hidden="0" customWidth="1"/>
    <x:col min="8" max="8" width="36" hidden="0" customWidth="1"/>
  </x:cols>
  <x:sheetData>
    <x:row r="1" ht="24" customHeight="1">
      <x:c r="A1" s="2"/>
      <x:c r="B1" s="2"/>
      <x:c r="C1" s="2"/>
      <x:c r="D1" s="2"/>
      <x:c r="E1" s="2"/>
      <x:c r="F1" s="2"/>
      <x:c r="G1" s="2"/>
      <x:c r="H1" s="2"/>
    </x:row>
    <x:row r="2" ht="24" customHeight="1">
      <x:c r="A2" s="3" t="str">
        <x:v>Brechas verificadas y requisitos futuros · sin corrección de producto aquí</x:v>
      </x:c>
      <x:c r="B2" s="2"/>
      <x:c r="C2" s="2"/>
      <x:c r="D2" s="2"/>
      <x:c r="E2" s="2"/>
      <x:c r="F2" s="2"/>
      <x:c r="G2" s="2"/>
      <x:c r="H2" s="2"/>
    </x:row>
    <x:row r="3" ht="24" customHeight="1">
      <x:c r="A3" s="4"/>
      <x:c r="B3" s="4"/>
      <x:c r="C3" s="4"/>
      <x:c r="D3" s="4"/>
      <x:c r="E3" s="4"/>
      <x:c r="F3" s="4"/>
      <x:c r="G3" s="4"/>
      <x:c r="H3" s="4"/>
    </x:row>
    <x:row r="4" ht="24" customHeight="1">
      <x:c r="A4" s="5" t="str">
        <x:v>Corte 19 oct 2026 · Inspección estática; propuestas no aprobadas ni desplegadas. Referencias path:line locales.</x:v>
      </x:c>
      <x:c r="B4" s="2"/>
      <x:c r="C4" s="2"/>
      <x:c r="D4" s="2"/>
      <x:c r="E4" s="2"/>
      <x:c r="F4" s="2"/>
      <x:c r="G4" s="2"/>
      <x:c r="H4" s="2"/>
    </x:row>
    <x:row r="5" ht="24" customHeight="1">
      <x:c r="A5" s="2"/>
      <x:c r="B5" s="2"/>
      <x:c r="C5" s="2"/>
      <x:c r="D5" s="2"/>
      <x:c r="E5" s="2"/>
      <x:c r="F5" s="2"/>
      <x:c r="G5" s="2"/>
      <x:c r="H5" s="2"/>
    </x:row>
    <x:row r="6" ht="24" customHeight="1">
      <x:c r="A6" s="2"/>
      <x:c r="B6" s="2"/>
      <x:c r="C6" s="2"/>
      <x:c r="D6" s="2"/>
      <x:c r="E6" s="2"/>
      <x:c r="F6" s="2"/>
      <x:c r="G6" s="2"/>
      <x:c r="H6" s="2"/>
    </x:row>
    <x:row r="7" ht="48" customHeight="1">
      <x:c r="A7" s="9" t="str">
        <x:v>ID</x:v>
      </x:c>
      <x:c r="B7" s="9" t="str">
        <x:v>Severidad de diseño</x:v>
      </x:c>
      <x:c r="C7" s="9" t="str">
        <x:v>Área</x:v>
      </x:c>
      <x:c r="D7" s="9" t="str">
        <x:v>Estado observado</x:v>
      </x:c>
      <x:c r="E7" s="9" t="str">
        <x:v>Objetivo</x:v>
      </x:c>
      <x:c r="F7" s="9" t="str">
        <x:v>Ola</x:v>
      </x:c>
      <x:c r="G7" s="9" t="str">
        <x:v>Evidencia</x:v>
      </x:c>
      <x:c r="H7" s="9" t="str">
        <x:v>Guardrail</x:v>
      </x:c>
    </x:row>
    <x:row r="8" ht="72" customHeight="1">
      <x:c r="A8" s="11" t="str">
        <x:v>GAP-01</x:v>
      </x:c>
      <x:c r="B8" s="11" t="str">
        <x:v>P0</x:v>
      </x:c>
      <x:c r="C8" s="11" t="str">
        <x:v>Identidad canónica / legacy</x:v>
      </x:c>
      <x:c r="D8" s="11" t="str">
        <x:v>enterprise_workspaces y projects son espacios de ID distintos. Creación canónica no crea Project legacy.</x:v>
      </x:c>
      <x:c r="E8" s="11" t="str">
        <x:v>Binding explícito tenant-scoped, único y versionado; rechazo de ausente/ambiguo, membresía/estado/autorización vigentes.</x:v>
      </x:c>
      <x:c r="F8" s="11" t="str">
        <x:v>O1A</x:v>
      </x:c>
      <x:c r="G8" s="11" t="str">
        <x:v>backend/tests/test_project_creation_process.py:642</x:v>
      </x:c>
      <x:c r="H8" s="11" t="str">
        <x:v>No asumir igualdad de ID/nombre; no crear segundo maestro.</x:v>
      </x:c>
    </x:row>
    <x:row r="9" ht="72" customHeight="1">
      <x:c r="A9" s="11" t="str">
        <x:v>GAP-02</x:v>
      </x:c>
      <x:c r="B9" s="11" t="str">
        <x:v>P0</x:v>
      </x:c>
      <x:c r="C9" s="11" t="str">
        <x:v>Condiciones para comprometer</x:v>
      </x:c>
      <x:c r="D9" s="11" t="str">
        <x:v>ACTIVE no demuestra autorización de compromiso; Post-FID distingue activation-blocking y commitment-only.</x:v>
      </x:c>
      <x:c r="E9" s="11" t="str">
        <x:v>Cada comando de obligación consulta autoridad/condiciones actuales antes de promover.</x:v>
      </x:c>
      <x:c r="F9" s="11" t="str">
        <x:v>O1A / O2</x:v>
      </x:c>
      <x:c r="G9" s="11" t="str">
        <x:v>backend/app/modules/post_fid_governance/service.py:492</x:v>
      </x:c>
      <x:c r="H9" s="11" t="str">
        <x:v>No resolver condiciones estratégicas localmente.</x:v>
      </x:c>
    </x:row>
    <x:row r="10" ht="57" customHeight="1">
      <x:c r="A10" s="11" t="str">
        <x:v>GAP-03</x:v>
      </x:c>
      <x:c r="B10" s="11" t="str">
        <x:v>P0</x:v>
      </x:c>
      <x:c r="C10" s="11" t="str">
        <x:v>Presupuesto con múltiples escritores</x:v>
      </x:c>
      <x:c r="D10" s="11" t="str">
        <x:v>Ingestión schedule y BP-CBS-WBS materializan Budget/CostCode fuera de una autoridad uniforme.</x:v>
      </x:c>
      <x:c r="E10" s="11" t="str">
        <x:v>Cost único escritor mediante comando aprobado; adaptadores emiten propuestas.</x:v>
      </x:c>
      <x:c r="F10" s="11" t="str">
        <x:v>O1B</x:v>
      </x:c>
      <x:c r="G10" s="11" t="str">
        <x:v>backend/app/services/schedule_ingestion.py:1176</x:v>
      </x:c>
      <x:c r="H10" s="11" t="str">
        <x:v>Conservar datos/historial; migración posterior acotada y autorizada.</x:v>
      </x:c>
    </x:row>
    <x:row r="11" ht="57" customHeight="1">
      <x:c r="A11" s="11" t="str">
        <x:v>GAP-04</x:v>
      </x:c>
      <x:c r="B11" s="11" t="str">
        <x:v>P0</x:v>
      </x:c>
      <x:c r="C11" s="11" t="str">
        <x:v>Baselines inmutables</x:v>
      </x:c>
      <x:c r="D11" s="11" t="str">
        <x:v>Campos baseline se actualizan durante ingestión legacy.</x:v>
      </x:c>
      <x:c r="E11" s="11" t="str">
        <x:v>Original/aprobada/current/update/forecast separados; aceptación de importación no aprueba baseline.</x:v>
      </x:c>
      <x:c r="F11" s="11" t="str">
        <x:v>O1B</x:v>
      </x:c>
      <x:c r="G11" s="11" t="str">
        <x:v>backend/app/services/schedule_ingestion.py:1612</x:v>
      </x:c>
      <x:c r="H11" s="11" t="str">
        <x:v>Nunca sobrescribir aprobación histórica.</x:v>
      </x:c>
    </x:row>
    <x:row r="12" ht="57" customHeight="1">
      <x:c r="A12" s="11" t="str">
        <x:v>GAP-05</x:v>
      </x:c>
      <x:c r="B12" s="11" t="str">
        <x:v>P0</x:v>
      </x:c>
      <x:c r="C12" s="11" t="str">
        <x:v>Compromisos / actual / accrual</x:v>
      </x:c>
      <x:c r="D12" s="11" t="str">
        <x:v>Agregación Contract + PO y committed + executed sin semántica neta uniforme localizada.</x:v>
      </x:c>
      <x:c r="E12" s="11" t="str">
        <x:v>INCLUDED/CALL_OFF/ADDITIVE, liquidación y clave de origen económico; reversión accrual/actual.</x:v>
      </x:c>
      <x:c r="F12" s="11" t="str">
        <x:v>O1B contrato mínimo / O2</x:v>
      </x:c>
      <x:c r="G12" s="11" t="str">
        <x:v>backend/app/services/integrated_control.py:392</x:v>
      </x:c>
      <x:c r="H12" s="11" t="str">
        <x:v>Riesgo de diseño; no se afirma doble conteo de importes reales.</x:v>
      </x:c>
    </x:row>
    <x:row r="13" ht="57" customHeight="1">
      <x:c r="A13" s="11" t="str">
        <x:v>GAP-06</x:v>
      </x:c>
      <x:c r="B13" s="11" t="str">
        <x:v>P1</x:v>
      </x:c>
      <x:c r="C13" s="11" t="str">
        <x:v>P6 calendario/unidades</x:v>
      </x:c>
      <x:c r="D13" s="11" t="str">
        <x:v>Fallback critical por float y conversión horas/8 no constituyen fidelidad P6 completa.</x:v>
      </x:c>
      <x:c r="E13" s="11" t="str">
        <x:v>Conservar fechas/critical/float/calendarios/unidades importadas; bloquear conversión desconocida.</x:v>
      </x:c>
      <x:c r="F13" s="11" t="str">
        <x:v>O1B</x:v>
      </x:c>
      <x:c r="G13" s="11" t="str">
        <x:v>backend/app/services/schedule_ingestion.py:1731</x:v>
      </x:c>
      <x:c r="H13" s="11" t="str">
        <x:v>P6 calcula CPM; no CPM operacional nativo.</x:v>
      </x:c>
    </x:row>
    <x:row r="14" ht="87" customHeight="1">
      <x:c r="A14" s="11" t="str">
        <x:v>GAP-07</x:v>
      </x:c>
      <x:c r="B14" s="11" t="str">
        <x:v>P1</x:v>
      </x:c>
      <x:c r="C14" s="11" t="str">
        <x:v>P6 ciclo de intercambio</x:v>
      </x:c>
      <x:c r="D14" s="11" t="str">
        <x:v>XML/XER importados; exportador completo con roundtrip no demostrado.</x:v>
      </x:c>
      <x:c r="E14" s="11" t="str">
        <x:v>Subset soportado explícito; staging/diff/revisión/promoción/rollback. XML para intercambio de baseline; XER requiere vínculo separado.</x:v>
      </x:c>
      <x:c r="F14" s="11" t="str">
        <x:v>O1B</x:v>
      </x:c>
      <x:c r="G14" s="11" t="str">
        <x:v>backend/app/services/schedule_ingestion.py:402</x:v>
      </x:c>
      <x:c r="H14" s="11" t="str">
        <x:v>No API/OPC/direct sync ni promesa de exportación existente.</x:v>
      </x:c>
    </x:row>
    <x:row r="15" ht="57" customHeight="1">
      <x:c r="A15" s="11" t="str">
        <x:v>GAP-08</x:v>
      </x:c>
      <x:c r="B15" s="11" t="str">
        <x:v>P1</x:v>
      </x:c>
      <x:c r="C15" s="11" t="str">
        <x:v>Scope y BIM/APU</x:v>
      </x:c>
      <x:c r="D15" s="11" t="str">
        <x:v>Asignación BIM/APU en raw_data no es publicación de presupuesto Cost.</x:v>
      </x:c>
      <x:c r="E15" s="11" t="str">
        <x:v>Scope Item/revisión/cantidad/método/unidad y mappings M:N con aprobación de fuente.</x:v>
      </x:c>
      <x:c r="F15" s="11" t="str">
        <x:v>O1B</x:v>
      </x:c>
      <x:c r="G15" s="11" t="str">
        <x:v>backend/app/api/v1/routers/projects.py:1165</x:v>
      </x:c>
      <x:c r="H15" s="11" t="str">
        <x:v>Reutilizar GUID/ExpressID/hash/lineage sin nuevo maestro BIM.</x:v>
      </x:c>
    </x:row>
    <x:row r="16" ht="57" customHeight="1">
      <x:c r="A16" s="11" t="str">
        <x:v>GAP-09</x:v>
      </x:c>
      <x:c r="B16" s="11" t="str">
        <x:v>P1</x:v>
      </x:c>
      <x:c r="C16" s="11" t="str">
        <x:v>Progress tipado</x:v>
      </x:c>
      <x:c r="D16" s="11" t="str">
        <x:v>Capturas/registros reales pero ciclo método-aprobación-corte incompleto.</x:v>
      </x:c>
      <x:c r="E16" s="11" t="str">
        <x:v>Distinguir físico/schedule/costo/earned/cantidad/weighted/milestone, denominador y aprobación.</x:v>
      </x:c>
      <x:c r="F16" s="11" t="str">
        <x:v>O1B</x:v>
      </x:c>
      <x:c r="G16" s="11" t="str">
        <x:v>backend/app/domain/models.py:685</x:v>
      </x:c>
      <x:c r="H16" s="11" t="str">
        <x:v>No promediar porcentajes de métodos distintos.</x:v>
      </x:c>
    </x:row>
    <x:row r="17" ht="57" customHeight="1">
      <x:c r="A17" s="11" t="str">
        <x:v>GAP-10</x:v>
      </x:c>
      <x:c r="B17" s="11" t="str">
        <x:v>P1</x:v>
      </x:c>
      <x:c r="C17" s="11" t="str">
        <x:v>Período común</x:v>
      </x:c>
      <x:c r="D17" s="11" t="str">
        <x:v>Snapshots/reportes no demuestran cierre y freeze de todas las fuentes.</x:v>
      </x:c>
      <x:c r="E17" s="11" t="str">
        <x:v>OPEN → REVIEW → CLOSED → PUBLISHED, ajuste/reapertura versionada y data date explícito.</x:v>
      </x:c>
      <x:c r="F17" s="11" t="str">
        <x:v>O1A / O1C</x:v>
      </x:c>
      <x:c r="G17" s="11" t="str">
        <x:v>backend/app/domain/models.py:1234</x:v>
      </x:c>
      <x:c r="H17" s="11" t="str">
        <x:v>No calendario independiente por módulo.</x:v>
      </x:c>
    </x:row>
    <x:row r="18" ht="57" customHeight="1">
      <x:c r="A18" s="11" t="str">
        <x:v>GAP-11</x:v>
      </x:c>
      <x:c r="B18" s="11" t="str">
        <x:v>P1</x:v>
      </x:c>
      <x:c r="C18" s="11" t="str">
        <x:v>Forecast gobernado</x:v>
      </x:c>
      <x:c r="D18" s="11" t="str">
        <x:v>Fórmulas CPI/SPI heurísticas no equivalen a forecast aprobado y versionado.</x:v>
      </x:c>
      <x:c r="E18" s="11" t="str">
        <x:v>ETC bottom-up/estadístico declarado, EAC=actual reconocido+ETC, contingencia/reservas una sola vez.</x:v>
      </x:c>
      <x:c r="F18" s="11" t="str">
        <x:v>O1C</x:v>
      </x:c>
      <x:c r="G18" s="11" t="str">
        <x:v>backend/app/services/control_core.py:221</x:v>
      </x:c>
      <x:c r="H18" s="11" t="str">
        <x:v>Ningún forecast cambia baseline o autorización de inversión.</x:v>
      </x:c>
    </x:row>
    <x:row r="19" ht="57" customHeight="1">
      <x:c r="A19" s="11" t="str">
        <x:v>GAP-12</x:v>
      </x:c>
      <x:c r="B19" s="11" t="str">
        <x:v>P1</x:v>
      </x:c>
      <x:c r="C19" s="11" t="str">
        <x:v>Dashboard con efectos</x:v>
      </x:c>
      <x:c r="D19" s="11" t="str">
        <x:v>GET dashboard puede producir KPI/snapshots/forecast cuando faltan.</x:v>
      </x:c>
      <x:c r="E19" s="11" t="str">
        <x:v>Consultas de reporting sin escrituras transaccionales; publicación explícita del snapshot.</x:v>
      </x:c>
      <x:c r="F19" s="11" t="str">
        <x:v>O1C</x:v>
      </x:c>
      <x:c r="G19" s="11" t="str">
        <x:v>backend/app/services/control_core.py:27</x:v>
      </x:c>
      <x:c r="H19" s="11" t="str">
        <x:v>No se ejecutó GET en esta auditoría.</x:v>
      </x:c>
    </x:row>
    <x:row r="20" ht="57" customHeight="1">
      <x:c r="A20" s="11" t="str">
        <x:v>GAP-13</x:v>
      </x:c>
      <x:c r="B20" s="11" t="str">
        <x:v>P1</x:v>
      </x:c>
      <x:c r="C20" s="11" t="str">
        <x:v>Risk / Issue / Change</x:v>
      </x:c>
      <x:c r="D20" s="11" t="str">
        <x:v>Menús reservados no son registro operacional completo; ChangeRequest parcial.</x:v>
      </x:c>
      <x:c r="E20" s="11" t="str">
        <x:v>Riesgo incierto, issue ocurrido y change con assessments, aprobación e implementación separadas.</x:v>
      </x:c>
      <x:c r="F20" s="11" t="str">
        <x:v>O1B</x:v>
      </x:c>
      <x:c r="G20" s="11" t="str">
        <x:v>frontend/src/navigation/applicationNavigation.ts:626</x:v>
      </x:c>
      <x:c r="H20" s="11" t="str">
        <x:v>No duplicar riesgo estratégico/QRA ni sustituir NCR/claims.</x:v>
      </x:c>
    </x:row>
    <x:row r="21" ht="57" customHeight="1">
      <x:c r="A21" s="11" t="str">
        <x:v>GAP-14</x:v>
      </x:c>
      <x:c r="B21" s="11" t="str">
        <x:v>P1</x:v>
      </x:c>
      <x:c r="C21" s="11" t="str">
        <x:v>Procurement UI / autoridad</x:v>
      </x:c>
      <x:c r="D21" s="11" t="str">
        <x:v>RFQ/Contract/PO backend parciales; varias pantallas reservadas.</x:v>
      </x:c>
      <x:c r="E21" s="11" t="str">
        <x:v>Sourcing/recomendación en Procurement, obligación única en Contract Administration.</x:v>
      </x:c>
      <x:c r="F21" s="11" t="str">
        <x:v>O2</x:v>
      </x:c>
      <x:c r="G21" s="11" t="str">
        <x:v>frontend/src/navigation/applicationNavigation.ts:354</x:v>
      </x:c>
      <x:c r="H21" s="11" t="str">
        <x:v>Vendors/Partners compartidos; Funds conserva gobierno estratégico.</x:v>
      </x:c>
    </x:row>
    <x:row r="22" ht="72" customHeight="1">
      <x:c r="A22" s="11" t="str">
        <x:v>GAP-15</x:v>
      </x:c>
      <x:c r="B22" s="11" t="str">
        <x:v>P2</x:v>
      </x:c>
      <x:c r="C22" s="11" t="str">
        <x:v>BIM 4D</x:v>
      </x:c>
      <x:c r="D22" s="11" t="str">
        <x:v>Visor/selección y cantidades reales; vínculo persistente IFC-actividad y simulación 4D no demostrados.</x:v>
      </x:c>
      <x:c r="E22" s="11" t="str">
        <x:v>Capability transversal que consume modelo/versiones y activity references.</x:v>
      </x:c>
      <x:c r="F22" s="11" t="str">
        <x:v>O2 / O3</x:v>
      </x:c>
      <x:c r="G22" s="11" t="str">
        <x:v>frontend/src/components/BimIfcModelViewer.tsx:1</x:v>
      </x:c>
      <x:c r="H22" s="11" t="str">
        <x:v>No segundo cronograma ni recálculo de CPM.</x:v>
      </x:c>
    </x:row>
    <x:row r="23" ht="57" customHeight="1">
      <x:c r="A23" s="11" t="str">
        <x:v>GAP-16</x:v>
      </x:c>
      <x:c r="B23" s="11" t="str">
        <x:v>P1</x:v>
      </x:c>
      <x:c r="C23" s="11" t="str">
        <x:v>Ingeniería / QA / HSE / Field</x:v>
      </x:c>
      <x:c r="D23" s="11" t="str">
        <x:v>Primitivas AWP/documentales no prueban suite de ejecución ni QA/QC/HSE.</x:v>
      </x:c>
      <x:c r="E23" s="11" t="str">
        <x:v>Límites por fuente, evidencia mínima, restricciones vigentes y release según proyecto.</x:v>
      </x:c>
      <x:c r="F23" s="11" t="str">
        <x:v>O2 / O3</x:v>
      </x:c>
      <x:c r="G23" s="11" t="str">
        <x:v>backend/app/domain/models.py:822</x:v>
      </x:c>
      <x:c r="H23" s="11" t="str">
        <x:v>No declarar cumplimiento HSE ni habilitación automática de workfront.</x:v>
      </x:c>
    </x:row>
    <x:row r="24" ht="57" customHeight="1">
      <x:c r="A24" s="11" t="str">
        <x:v>GAP-17</x:v>
      </x:c>
      <x:c r="B24" s="11" t="str">
        <x:v>P2</x:v>
      </x:c>
      <x:c r="C24" s="11" t="str">
        <x:v>Claims y closeout</x:v>
      </x:c>
      <x:c r="D24" s="11" t="str">
        <x:v>MIP3.7/expediente y reportes de cierre son parciales.</x:v>
      </x:c>
      <x:c r="E24" s="11" t="str">
        <x:v>Forensic sobre snapshots aislados; commissioning/handover/readiness/asset/closeout distintos.</x:v>
      </x:c>
      <x:c r="F24" s="11" t="str">
        <x:v>O4</x:v>
      </x:c>
      <x:c r="G24" s="11" t="str">
        <x:v>frontend/src/navigation/applicationNavigation.ts:626</x:v>
      </x:c>
      <x:c r="H24" s="11" t="str">
        <x:v>No modificar schedule actual desde simulación de claim.</x:v>
      </x:c>
    </x:row>
    <x:row r="25" ht="72" customHeight="1">
      <x:c r="A25" s="11" t="str">
        <x:v>GAP-18</x:v>
      </x:c>
      <x:c r="B25" s="11" t="str">
        <x:v>P1</x:v>
      </x:c>
      <x:c r="C25" s="11" t="str">
        <x:v>Deuda / rutas / formatos</x:v>
      </x:c>
      <x:c r="D25" s="11" t="str">
        <x:v>Vistas legacy y branches baseline/evidence requieren validar accesibilidad; .xls/.mpp detectados no demuestran parser binario.</x:v>
      </x:c>
      <x:c r="E25" s="11" t="str">
        <x:v>Auditoría de uso/paridad/compatibilidad y formatos soportados antes de deprecar o publicitar.</x:v>
      </x:c>
      <x:c r="F25" s="11" t="str">
        <x:v>O1–O4</x:v>
      </x:c>
      <x:c r="G25" s="11" t="str">
        <x:v>frontend/src/App.tsx:7009</x:v>
      </x:c>
      <x:c r="H25" s="11" t="str">
        <x:v>SAFE_TO_REMOVE=0; cero borrados propuestos en este incremento.</x:v>
      </x:c>
    </x:row>
  </x:sheetData>
  <x:pageMargins left="0.7" right="0.7" top="0.75" bottom="0.75" header="0.3" footer="0.3"/>
  <x:tableParts count="1">
    <x:tablePart xmlns:r="http://schemas.openxmlformats.org/officeDocument/2006/relationships" r:id="R93dedc7183094b1a"/>
  </x:tableParts>
</x:worksheet>
</file>

<file path=xl/worksheets/sheet9.xml><?xml version="1.0" encoding="utf-8"?>
<x:worksheet xmlns:x="http://schemas.openxmlformats.org/spreadsheetml/2006/main">
  <x:sheetPr>
    <x:tabColor rgb="FF17324D"/>
  </x:sheetPr>
  <x:sheetViews>
    <x:sheetView showGridLines="0" workbookViewId="0">
      <x:pane xSplit="2" ySplit="9" topLeftCell="C10" activePane="bottomRight" state="frozen"/>
    </x:sheetView>
  </x:sheetViews>
  <x:sheetFormatPr defaultRowHeight="15"/>
  <x:cols>
    <x:col min="1" max="1" width="16" hidden="0" customWidth="1"/>
    <x:col min="2" max="2" width="32"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26" hidden="0" customWidth="1"/>
    <x:col min="15" max="15" width="18" hidden="0" customWidth="1"/>
    <x:col min="16" max="16" width="18" hidden="0" customWidth="1"/>
    <x:col min="17" max="17" width="16" hidden="0" customWidth="1"/>
    <x:col min="18" max="18" width="13" hidden="0" customWidth="1"/>
    <x:col min="19" max="19" width="22" hidden="0" customWidth="1"/>
    <x:col min="20" max="20" width="55" hidden="0" customWidth="1"/>
    <x:col min="21" max="21" width="55" hidden="0" customWidth="1"/>
  </x:cols>
  <x:sheetData>
    <x:row r="1" ht="24" customHeight="1">
      <x:c r="A1" s="2"/>
      <x:c r="B1" s="2"/>
      <x:c r="C1" s="2"/>
      <x:c r="D1" s="2"/>
      <x:c r="E1" s="2"/>
      <x:c r="F1" s="2"/>
      <x:c r="G1" s="2"/>
      <x:c r="H1" s="2"/>
      <x:c r="I1" s="2"/>
      <x:c r="J1" s="2"/>
      <x:c r="K1" s="2"/>
      <x:c r="L1" s="2"/>
      <x:c r="M1" s="2"/>
      <x:c r="N1" s="2"/>
      <x:c r="O1" s="2"/>
      <x:c r="P1" s="2"/>
      <x:c r="Q1" s="2"/>
      <x:c r="R1" s="2"/>
      <x:c r="S1" s="2"/>
      <x:c r="T1" s="2"/>
      <x:c r="U1" s="2"/>
    </x:row>
    <x:row r="2" ht="24" customHeight="1">
      <x:c r="A2" s="3" t="str">
        <x:v>Priorización arquitectónica propuesta · dependencias prevalecen</x:v>
      </x:c>
      <x:c r="B2" s="2"/>
      <x:c r="C2" s="2"/>
      <x:c r="D2" s="2"/>
      <x:c r="E2" s="2"/>
      <x:c r="F2" s="2"/>
      <x:c r="G2" s="2"/>
      <x:c r="H2" s="2"/>
      <x:c r="I2" s="2"/>
      <x:c r="J2" s="2"/>
      <x:c r="K2" s="2"/>
      <x:c r="L2" s="2"/>
      <x:c r="M2" s="2"/>
      <x:c r="N2" s="2"/>
      <x:c r="O2" s="2"/>
      <x:c r="P2" s="2"/>
      <x:c r="Q2" s="2"/>
      <x:c r="R2" s="2"/>
      <x:c r="S2" s="2"/>
      <x:c r="T2" s="2"/>
      <x:c r="U2" s="2"/>
    </x:row>
    <x:row r="3" ht="24" customHeight="1">
      <x:c r="A3" s="4"/>
      <x:c r="B3" s="4"/>
      <x:c r="C3" s="4"/>
      <x:c r="D3" s="4"/>
      <x:c r="E3" s="4"/>
      <x:c r="F3" s="4"/>
      <x:c r="G3" s="4"/>
      <x:c r="H3" s="4"/>
      <x:c r="I3" s="4"/>
      <x:c r="J3" s="4"/>
      <x:c r="K3" s="4"/>
      <x:c r="L3" s="4"/>
      <x:c r="M3" s="4"/>
      <x:c r="N3" s="4"/>
      <x:c r="O3" s="4"/>
      <x:c r="P3" s="4"/>
      <x:c r="Q3" s="4"/>
      <x:c r="R3" s="4"/>
      <x:c r="S3" s="4"/>
      <x:c r="T3" s="4"/>
      <x:c r="U3" s="4"/>
    </x:row>
    <x:row r="4" ht="24" customHeight="1">
      <x:c r="A4" s="5" t="str">
        <x:v>Escala 1–5. Mayor score indica prioridad propuesta. No autoriza desarrollo.</x:v>
      </x:c>
      <x:c r="B4" s="2"/>
      <x:c r="C4" s="2"/>
      <x:c r="D4" s="2"/>
      <x:c r="E4" s="2"/>
      <x:c r="F4" s="2"/>
      <x:c r="G4" s="2"/>
      <x:c r="H4" s="2"/>
      <x:c r="I4" s="2"/>
      <x:c r="J4" s="2"/>
      <x:c r="K4" s="2"/>
      <x:c r="L4" s="2"/>
      <x:c r="M4" s="2"/>
      <x:c r="N4" s="2"/>
      <x:c r="O4" s="2"/>
      <x:c r="P4" s="2"/>
      <x:c r="Q4" s="2"/>
      <x:c r="R4" s="2"/>
      <x:c r="S4" s="2"/>
      <x:c r="T4" s="2"/>
      <x:c r="U4" s="2"/>
    </x:row>
    <x:row r="5" ht="32" customHeight="1">
      <x:c r="A5" s="10" t="str">
        <x:v>Peso</x:v>
      </x:c>
      <x:c r="B5" s="10" t="str">
        <x:v>Suma de pesos</x:v>
      </x:c>
      <x:c r="C5" s="15" t="n">
        <x:v>0.15</x:v>
      </x:c>
      <x:c r="D5" s="15" t="n">
        <x:v>0.15</x:v>
      </x:c>
      <x:c r="E5" s="15" t="n">
        <x:v>0.1</x:v>
      </x:c>
      <x:c r="F5" s="15" t="n">
        <x:v>0.1</x:v>
      </x:c>
      <x:c r="G5" s="15" t="n">
        <x:v>0.1</x:v>
      </x:c>
      <x:c r="H5" s="15" t="n">
        <x:v>0.1</x:v>
      </x:c>
      <x:c r="I5" s="15" t="n">
        <x:v>0.1</x:v>
      </x:c>
      <x:c r="J5" s="15" t="n">
        <x:v>0.05</x:v>
      </x:c>
      <x:c r="K5" s="15" t="n">
        <x:v>0.05</x:v>
      </x:c>
      <x:c r="L5" s="15" t="n">
        <x:v>0.05</x:v>
      </x:c>
      <x:c r="M5" s="15" t="n">
        <x:v>0.05</x:v>
      </x:c>
      <x:c r="N5" s="2"/>
      <x:c r="O5" s="2"/>
      <x:c r="P5" s="2"/>
      <x:c r="Q5" s="2"/>
      <x:c r="R5" s="2"/>
      <x:c r="S5" s="2"/>
      <x:c r="T5" s="2"/>
      <x:c r="U5" s="2"/>
    </x:row>
    <x:row r="6" ht="32" customHeight="1">
      <x:c r="A6" s="10" t="str">
        <x:v>Signo</x:v>
      </x:c>
      <x:c r="B6" s="13" t="n">
        <x:f>SUM(C5:M5)</x:f>
        <x:v>1</x:v>
      </x:c>
      <x:c r="C6" s="16" t="n">
        <x:v>1</x:v>
      </x:c>
      <x:c r="D6" s="16" t="n">
        <x:v>1</x:v>
      </x:c>
      <x:c r="E6" s="16" t="n">
        <x:v>1</x:v>
      </x:c>
      <x:c r="F6" s="16" t="n">
        <x:v>-1</x:v>
      </x:c>
      <x:c r="G6" s="16" t="n">
        <x:v>-1</x:v>
      </x:c>
      <x:c r="H6" s="16" t="n">
        <x:v>-1</x:v>
      </x:c>
      <x:c r="I6" s="16" t="n">
        <x:v>1</x:v>
      </x:c>
      <x:c r="J6" s="16" t="n">
        <x:v>1</x:v>
      </x:c>
      <x:c r="K6" s="16" t="n">
        <x:v>1</x:v>
      </x:c>
      <x:c r="L6" s="16" t="n">
        <x:v>1</x:v>
      </x:c>
      <x:c r="M6" s="16" t="n">
        <x:v>1</x:v>
      </x:c>
      <x:c r="N6" s="2"/>
      <x:c r="O6" s="2"/>
      <x:c r="P6" s="2"/>
      <x:c r="Q6" s="2"/>
      <x:c r="R6" s="2"/>
      <x:c r="S6" s="2"/>
      <x:c r="T6" s="2"/>
      <x:c r="U6" s="2"/>
    </x:row>
    <x:row r="7" ht="24" customHeight="1">
      <x:c r="A7" s="2" t="str">
        <x:v>Control de pesos</x:v>
      </x:c>
      <x:c r="B7" s="2" t="str">
        <x:f>IF(AND(COUNT(C5:M5)=11,MIN(C5:M5)&gt;0,ABS(SUM(C5:M5)-1)&lt;0.000000001),"VALID","INVALID_WEIGHTS")</x:f>
        <x:v>VALID</x:v>
      </x:c>
      <x:c r="C7" s="2"/>
      <x:c r="D7" s="2"/>
      <x:c r="E7" s="2"/>
      <x:c r="F7" s="2"/>
      <x:c r="G7" s="2"/>
      <x:c r="H7" s="2"/>
      <x:c r="I7" s="2"/>
      <x:c r="J7" s="2"/>
      <x:c r="K7" s="2"/>
      <x:c r="L7" s="2"/>
      <x:c r="M7" s="2"/>
      <x:c r="N7" s="2"/>
      <x:c r="O7" s="2"/>
      <x:c r="P7" s="2"/>
      <x:c r="Q7" s="2"/>
      <x:c r="R7" s="2"/>
      <x:c r="S7" s="2"/>
      <x:c r="T7" s="2"/>
      <x:c r="U7" s="2"/>
    </x:row>
    <x:row r="8" ht="24" customHeight="1">
      <x:c r="A8" s="2"/>
      <x:c r="B8" s="2"/>
      <x:c r="C8" s="2"/>
      <x:c r="D8" s="2"/>
      <x:c r="E8" s="2"/>
      <x:c r="F8" s="2"/>
      <x:c r="G8" s="2"/>
      <x:c r="H8" s="2"/>
      <x:c r="I8" s="2"/>
      <x:c r="J8" s="2"/>
      <x:c r="K8" s="2"/>
      <x:c r="L8" s="2"/>
      <x:c r="M8" s="2"/>
      <x:c r="N8" s="2"/>
      <x:c r="O8" s="2"/>
      <x:c r="P8" s="2"/>
      <x:c r="Q8" s="2"/>
      <x:c r="R8" s="2"/>
      <x:c r="S8" s="2"/>
      <x:c r="T8" s="2"/>
      <x:c r="U8" s="2"/>
    </x:row>
    <x:row r="9" ht="48" customHeight="1">
      <x:c r="A9" s="9" t="str">
        <x:v>Dominio ID</x:v>
      </x:c>
      <x:c r="B9" s="9" t="str">
        <x:v>Dominio</x:v>
      </x:c>
      <x:c r="C9" s="9" t="str">
        <x:v>Valor de negocio</x:v>
      </x:c>
      <x:c r="D9" s="9" t="str">
        <x:v>Centralidad</x:v>
      </x:c>
      <x:c r="E9" s="9" t="str">
        <x:v>Reutilización</x:v>
      </x:c>
      <x:c r="F9" s="9" t="str">
        <x:v>Complejidad</x:v>
      </x:c>
      <x:c r="G9" s="9" t="str">
        <x:v>Riesgo del modelo</x:v>
      </x:c>
      <x:c r="H9" s="9" t="str">
        <x:v>Acoplamiento</x:v>
      </x:c>
      <x:c r="I9" s="9" t="str">
        <x:v>Integración estratégica</x:v>
      </x:c>
      <x:c r="J9" s="9" t="str">
        <x:v>Aplicabilidad Owner</x:v>
      </x:c>
      <x:c r="K9" s="9" t="str">
        <x:v>Aplicabilidad Contractor</x:v>
      </x:c>
      <x:c r="L9" s="9" t="str">
        <x:v>Valor de reporting</x:v>
      </x:c>
      <x:c r="M9" s="9" t="str">
        <x:v>Urgencia declarada</x:v>
      </x:c>
      <x:c r="N9" s="9" t="str">
        <x:v>Validación de puntuaciones</x:v>
      </x:c>
      <x:c r="O9" s="9" t="str">
        <x:v>Beneficio ponderado</x:v>
      </x:c>
      <x:c r="P9" s="9" t="str">
        <x:v>Penalización ponderada</x:v>
      </x:c>
      <x:c r="Q9" s="9" t="str">
        <x:v>Score normalizado 0–100</x:v>
      </x:c>
      <x:c r="R9" s="9" t="str">
        <x:v>Ranking</x:v>
      </x:c>
      <x:c r="S9" s="9" t="str">
        <x:v>Wave propuesta</x:v>
      </x:c>
      <x:c r="T9" s="9" t="str">
        <x:v>Justificación</x:v>
      </x:c>
      <x:c r="U9" s="9" t="str">
        <x:v>Fuentes</x:v>
      </x:c>
    </x:row>
    <x:row r="10" ht="72" customHeight="1">
      <x:c r="A10" s="11" t="str">
        <x:v>D01</x:v>
      </x:c>
      <x:c r="B10" s="11" t="str">
        <x:v>Project Governance &amp; Operational Setup</x:v>
      </x:c>
      <x:c r="C10" s="19" t="n">
        <x:v>5</x:v>
      </x:c>
      <x:c r="D10" s="19" t="n">
        <x:v>5</x:v>
      </x:c>
      <x:c r="E10" s="19" t="n">
        <x:v>4</x:v>
      </x:c>
      <x:c r="F10" s="19" t="n">
        <x:v>5</x:v>
      </x:c>
      <x:c r="G10" s="19" t="n">
        <x:v>5</x:v>
      </x:c>
      <x:c r="H10" s="19" t="n">
        <x:v>5</x:v>
      </x:c>
      <x:c r="I10" s="19" t="n">
        <x:v>5</x:v>
      </x:c>
      <x:c r="J10" s="19" t="n">
        <x:v>5</x:v>
      </x:c>
      <x:c r="K10" s="19" t="n">
        <x:v>5</x:v>
      </x:c>
      <x:c r="L10" s="19" t="n">
        <x:v>4</x:v>
      </x:c>
      <x:c r="M10" s="19" t="n">
        <x:v>3</x:v>
      </x:c>
      <x:c r="N10" s="11" t="str">
        <x:f>IF(NOT($B$7="VALID"),"PESOS_INVALIDOS",IF(COUNTBLANK(C10:M10)&gt;0,"FALTAN_PUNTUACIONES",IF(AND(COUNT(C10:M10)=11,MIN(C10:M10)&gt;=1,MAX(C10:M10)&lt;=5,IF(ISNUMBER(C10),MOD(C10,1)=0,FALSE),IF(ISNUMBER(D10),MOD(D10,1)=0,FALSE),IF(ISNUMBER(E10),MOD(E10,1)=0,FALSE),IF(ISNUMBER(F10),MOD(F10,1)=0,FALSE),IF(ISNUMBER(G10),MOD(G10,1)=0,FALSE),IF(ISNUMBER(H10),MOD(H10,1)=0,FALSE),IF(ISNUMBER(I10),MOD(I10,1)=0,FALSE),IF(ISNUMBER(J10),MOD(J10,1)=0,FALSE),IF(ISNUMBER(K10),MOD(K10,1)=0,FALSE),IF(ISNUMBER(L10),MOD(L10,1)=0,FALSE),IF(ISNUMBER(M10),MOD(M10,1)=0,FALSE)),"COMPLETO","PUNTUACION_INVALIDA")))</x:f>
        <x:v>COMPLETO</x:v>
      </x:c>
      <x:c r="O10" s="20" t="n">
        <x:f>IF(N10="COMPLETO",SUMPRODUCT(C10:E10,$C$5:$E$5)+SUMPRODUCT(I10:M10,$I$5:$M$5),"")</x:f>
        <x:v>3.25</x:v>
      </x:c>
      <x:c r="P10" s="20" t="n">
        <x:f>IF(N10="COMPLETO",SUMPRODUCT(F10:H10,$F$5:$H$5),"")</x:f>
        <x:v>1.5</x:v>
      </x:c>
      <x:c r="Q10" s="20" t="n">
        <x:f>IF(N10="COMPLETO",ROUND(100*(O10-P10-(SUM($C$5:$E$5)+SUM($I$5:$M$5)-5*SUM($F$5:$H$5)))/(4*SUM($C$5:$M$5)),8),"")</x:f>
        <x:v>63.75</x:v>
      </x:c>
      <x:c r="R10" s="21" t="n">
        <x:f>IF(ISNUMBER(Q10),RANK(Q10,$Q$10:$Q$34,0),"")</x:f>
        <x:v>9</x:v>
      </x:c>
      <x:c r="S10" s="11" t="str">
        <x:v>O1</x:v>
      </x:c>
      <x:c r="T10" s="11" t="str">
        <x:v>Resolver identidad, membresía y límites de autorización antes de exponer fuentes operacionales; protege reutilización sin nuevo Project master.
Detalle íntegro en nota.</x:v>
      </x:c>
      <x:c r="U10" s="11" t="str">
        <x:v>backend/app/modules/qra_foundation/adapters.py:31
backend/tests/test_project_creation_process.py:642
frontend/src/App.tsx:4505</x:v>
      </x:c>
    </x:row>
    <x:row r="11" ht="72" customHeight="1">
      <x:c r="A11" s="11" t="str">
        <x:v>D02</x:v>
      </x:c>
      <x:c r="B11" s="11" t="str">
        <x:v>Scope Management</x:v>
      </x:c>
      <x:c r="C11" s="19" t="n">
        <x:v>5</x:v>
      </x:c>
      <x:c r="D11" s="19" t="n">
        <x:v>5</x:v>
      </x:c>
      <x:c r="E11" s="19" t="n">
        <x:v>5</x:v>
      </x:c>
      <x:c r="F11" s="19" t="n">
        <x:v>4</x:v>
      </x:c>
      <x:c r="G11" s="19" t="n">
        <x:v>4</x:v>
      </x:c>
      <x:c r="H11" s="19" t="n">
        <x:v>4</x:v>
      </x:c>
      <x:c r="I11" s="19" t="n">
        <x:v>5</x:v>
      </x:c>
      <x:c r="J11" s="19" t="n">
        <x:v>5</x:v>
      </x:c>
      <x:c r="K11" s="19" t="n">
        <x:v>5</x:v>
      </x:c>
      <x:c r="L11" s="19" t="n">
        <x:v>5</x:v>
      </x:c>
      <x:c r="M11" s="19" t="n">
        <x:v>3</x:v>
      </x:c>
      <x:c r="N11" s="11" t="str">
        <x:f>IF(NOT($B$7="VALID"),"PESOS_INVALIDOS",IF(COUNTBLANK(C11:M11)&gt;0,"FALTAN_PUNTUACIONES",IF(AND(COUNT(C11:M11)=11,MIN(C11:M11)&gt;=1,MAX(C11:M11)&lt;=5,IF(ISNUMBER(C11),MOD(C11,1)=0,FALSE),IF(ISNUMBER(D11),MOD(D11,1)=0,FALSE),IF(ISNUMBER(E11),MOD(E11,1)=0,FALSE),IF(ISNUMBER(F11),MOD(F11,1)=0,FALSE),IF(ISNUMBER(G11),MOD(G11,1)=0,FALSE),IF(ISNUMBER(H11),MOD(H11,1)=0,FALSE),IF(ISNUMBER(I11),MOD(I11,1)=0,FALSE),IF(ISNUMBER(J11),MOD(J11,1)=0,FALSE),IF(ISNUMBER(K11),MOD(K11,1)=0,FALSE),IF(ISNUMBER(L11),MOD(L11,1)=0,FALSE),IF(ISNUMBER(M11),MOD(M11,1)=0,FALSE)),"COMPLETO","PUNTUACION_INVALIDA")))</x:f>
        <x:v>COMPLETO</x:v>
      </x:c>
      <x:c r="O11" s="20" t="n">
        <x:f>IF(N11="COMPLETO",SUMPRODUCT(C11:E11,$C$5:$E$5)+SUMPRODUCT(I11:M11,$I$5:$M$5),"")</x:f>
        <x:v>3.4</x:v>
      </x:c>
      <x:c r="P11" s="20" t="n">
        <x:f>IF(N11="COMPLETO",SUMPRODUCT(F11:H11,$F$5:$H$5),"")</x:f>
        <x:v>1.2000000000000002</x:v>
      </x:c>
      <x:c r="Q11" s="20" t="n">
        <x:f>IF(N11="COMPLETO",ROUND(100*(O11-P11-(SUM($C$5:$E$5)+SUM($I$5:$M$5)-5*SUM($F$5:$H$5)))/(4*SUM($C$5:$M$5)),8),"")</x:f>
        <x:v>75</x:v>
      </x:c>
      <x:c r="R11" s="21" t="n">
        <x:f>IF(ISNUMBER(Q11),RANK(Q11,$Q$10:$Q$34,0),"")</x:f>
        <x:v>1</x:v>
      </x:c>
      <x:c r="S11" s="11" t="str">
        <x:v>O1</x:v>
      </x:c>
      <x:c r="T11" s="11" t="str">
        <x:v>Reutilizar BIM/cantidades/APU sin construir otro motor; completar identidad de Scope Item y sus revisiones en un incremento posterior.
Detalle íntegro en nota.</x:v>
      </x:c>
      <x:c r="U11" s="11" t="str">
        <x:v>frontend/src/App.tsx:5654
frontend/src/navigation/applicationNavigation.ts:637
backend/app/services/quantity_takeoff.py:206</x:v>
      </x:c>
    </x:row>
    <x:row r="12" ht="117" customHeight="1">
      <x:c r="A12" s="11" t="str">
        <x:v>D03</x:v>
      </x:c>
      <x:c r="B12" s="11" t="str">
        <x:v>Schedule Management</x:v>
      </x:c>
      <x:c r="C12" s="19" t="n">
        <x:v>5</x:v>
      </x:c>
      <x:c r="D12" s="19" t="n">
        <x:v>5</x:v>
      </x:c>
      <x:c r="E12" s="19" t="n">
        <x:v>5</x:v>
      </x:c>
      <x:c r="F12" s="19" t="n">
        <x:v>5</x:v>
      </x:c>
      <x:c r="G12" s="19" t="n">
        <x:v>5</x:v>
      </x:c>
      <x:c r="H12" s="19" t="n">
        <x:v>5</x:v>
      </x:c>
      <x:c r="I12" s="19" t="n">
        <x:v>5</x:v>
      </x:c>
      <x:c r="J12" s="19" t="n">
        <x:v>5</x:v>
      </x:c>
      <x:c r="K12" s="19" t="n">
        <x:v>5</x:v>
      </x:c>
      <x:c r="L12" s="19" t="n">
        <x:v>5</x:v>
      </x:c>
      <x:c r="M12" s="19" t="n">
        <x:v>3</x:v>
      </x:c>
      <x:c r="N12" s="11" t="str">
        <x:f>IF(NOT($B$7="VALID"),"PESOS_INVALIDOS",IF(COUNTBLANK(C12:M12)&gt;0,"FALTAN_PUNTUACIONES",IF(AND(COUNT(C12:M12)=11,MIN(C12:M12)&gt;=1,MAX(C12:M12)&lt;=5,IF(ISNUMBER(C12),MOD(C12,1)=0,FALSE),IF(ISNUMBER(D12),MOD(D12,1)=0,FALSE),IF(ISNUMBER(E12),MOD(E12,1)=0,FALSE),IF(ISNUMBER(F12),MOD(F12,1)=0,FALSE),IF(ISNUMBER(G12),MOD(G12,1)=0,FALSE),IF(ISNUMBER(H12),MOD(H12,1)=0,FALSE),IF(ISNUMBER(I12),MOD(I12,1)=0,FALSE),IF(ISNUMBER(J12),MOD(J12,1)=0,FALSE),IF(ISNUMBER(K12),MOD(K12,1)=0,FALSE),IF(ISNUMBER(L12),MOD(L12,1)=0,FALSE),IF(ISNUMBER(M12),MOD(M12,1)=0,FALSE)),"COMPLETO","PUNTUACION_INVALIDA")))</x:f>
        <x:v>COMPLETO</x:v>
      </x:c>
      <x:c r="O12" s="20" t="n">
        <x:f>IF(N12="COMPLETO",SUMPRODUCT(C12:E12,$C$5:$E$5)+SUMPRODUCT(I12:M12,$I$5:$M$5),"")</x:f>
        <x:v>3.4</x:v>
      </x:c>
      <x:c r="P12" s="20" t="n">
        <x:f>IF(N12="COMPLETO",SUMPRODUCT(F12:H12,$F$5:$H$5),"")</x:f>
        <x:v>1.5</x:v>
      </x:c>
      <x:c r="Q12" s="20" t="n">
        <x:f>IF(N12="COMPLETO",ROUND(100*(O12-P12-(SUM($C$5:$E$5)+SUM($I$5:$M$5)-5*SUM($F$5:$H$5)))/(4*SUM($C$5:$M$5)),8),"")</x:f>
        <x:v>67.5</x:v>
      </x:c>
      <x:c r="R12" s="21" t="n">
        <x:f>IF(ISNUMBER(Q12),RANK(Q12,$Q$10:$Q$34,0),"")</x:f>
        <x:v>3</x:v>
      </x:c>
      <x:c r="S12" s="11" t="str">
        <x:v>O1</x:v>
      </x:c>
      <x:c r="T12" s="11" t="str">
        <x:v>Separar gestión de datos de cálculo externo; preservar semántica de calendarios/constraints y trazabilidad sin equivalencia funcional falsa.
Detalle íntegro en nota.</x:v>
      </x:c>
      <x:c r="U12" s="11" t="str">
        <x:v>frontend/src/App.tsx:4290
frontend/src/components/ProjectControlsHandbook.tsx:407
frontend/src/components/ProjectControlsHandbook.tsx:625
backend/tests/test_qra_schedule_import_metadata.py:24</x:v>
      </x:c>
    </x:row>
    <x:row r="13" ht="72" customHeight="1">
      <x:c r="A13" s="11" t="str">
        <x:v>D04</x:v>
      </x:c>
      <x:c r="B13" s="11" t="str">
        <x:v>Cost Management</x:v>
      </x:c>
      <x:c r="C13" s="19" t="n">
        <x:v>5</x:v>
      </x:c>
      <x:c r="D13" s="19" t="n">
        <x:v>5</x:v>
      </x:c>
      <x:c r="E13" s="19" t="n">
        <x:v>5</x:v>
      </x:c>
      <x:c r="F13" s="19" t="n">
        <x:v>5</x:v>
      </x:c>
      <x:c r="G13" s="19" t="n">
        <x:v>5</x:v>
      </x:c>
      <x:c r="H13" s="19" t="n">
        <x:v>5</x:v>
      </x:c>
      <x:c r="I13" s="19" t="n">
        <x:v>5</x:v>
      </x:c>
      <x:c r="J13" s="19" t="n">
        <x:v>5</x:v>
      </x:c>
      <x:c r="K13" s="19" t="n">
        <x:v>5</x:v>
      </x:c>
      <x:c r="L13" s="19" t="n">
        <x:v>5</x:v>
      </x:c>
      <x:c r="M13" s="19" t="n">
        <x:v>3</x:v>
      </x:c>
      <x:c r="N13" s="11" t="str">
        <x:f>IF(NOT($B$7="VALID"),"PESOS_INVALIDOS",IF(COUNTBLANK(C13:M13)&gt;0,"FALTAN_PUNTUACIONES",IF(AND(COUNT(C13:M13)=11,MIN(C13:M13)&gt;=1,MAX(C13:M13)&lt;=5,IF(ISNUMBER(C13),MOD(C13,1)=0,FALSE),IF(ISNUMBER(D13),MOD(D13,1)=0,FALSE),IF(ISNUMBER(E13),MOD(E13,1)=0,FALSE),IF(ISNUMBER(F13),MOD(F13,1)=0,FALSE),IF(ISNUMBER(G13),MOD(G13,1)=0,FALSE),IF(ISNUMBER(H13),MOD(H13,1)=0,FALSE),IF(ISNUMBER(I13),MOD(I13,1)=0,FALSE),IF(ISNUMBER(J13),MOD(J13,1)=0,FALSE),IF(ISNUMBER(K13),MOD(K13,1)=0,FALSE),IF(ISNUMBER(L13),MOD(L13,1)=0,FALSE),IF(ISNUMBER(M13),MOD(M13,1)=0,FALSE)),"COMPLETO","PUNTUACION_INVALIDA")))</x:f>
        <x:v>COMPLETO</x:v>
      </x:c>
      <x:c r="O13" s="20" t="n">
        <x:f>IF(N13="COMPLETO",SUMPRODUCT(C13:E13,$C$5:$E$5)+SUMPRODUCT(I13:M13,$I$5:$M$5),"")</x:f>
        <x:v>3.4</x:v>
      </x:c>
      <x:c r="P13" s="20" t="n">
        <x:f>IF(N13="COMPLETO",SUMPRODUCT(F13:H13,$F$5:$H$5),"")</x:f>
        <x:v>1.5</x:v>
      </x:c>
      <x:c r="Q13" s="20" t="n">
        <x:f>IF(N13="COMPLETO",ROUND(100*(O13-P13-(SUM($C$5:$E$5)+SUM($I$5:$M$5)-5*SUM($F$5:$H$5)))/(4*SUM($C$5:$M$5)),8),"")</x:f>
        <x:v>67.5</x:v>
      </x:c>
      <x:c r="R13" s="21" t="n">
        <x:f>IF(ISNUMBER(Q13),RANK(Q13,$Q$10:$Q$34,0),"")</x:f>
        <x:v>3</x:v>
      </x:c>
      <x:c r="S13" s="11" t="str">
        <x:v>O1</x:v>
      </x:c>
      <x:c r="T13" s="11" t="str">
        <x:v>Reutilizar core y resolver origen económico/semántica de costo antes de ampliar controles; evitar Funding/Commitment paralelo.
Detalle íntegro en nota.</x:v>
      </x:c>
      <x:c r="U13" s="11" t="str">
        <x:v>frontend/src/App.tsx:7178
backend/app/services/integrated_control.py:392
backend/tests/test_integrated_control.py:40</x:v>
      </x:c>
    </x:row>
    <x:row r="14" ht="72" customHeight="1">
      <x:c r="A14" s="11" t="str">
        <x:v>D05</x:v>
      </x:c>
      <x:c r="B14" s="11" t="str">
        <x:v>Resource &amp; Productivity Management</x:v>
      </x:c>
      <x:c r="C14" s="19" t="n">
        <x:v>4</x:v>
      </x:c>
      <x:c r="D14" s="19" t="n">
        <x:v>4</x:v>
      </x:c>
      <x:c r="E14" s="19" t="n">
        <x:v>4</x:v>
      </x:c>
      <x:c r="F14" s="19" t="n">
        <x:v>4</x:v>
      </x:c>
      <x:c r="G14" s="19" t="n">
        <x:v>4</x:v>
      </x:c>
      <x:c r="H14" s="19" t="n">
        <x:v>4</x:v>
      </x:c>
      <x:c r="I14" s="19" t="n">
        <x:v>3</x:v>
      </x:c>
      <x:c r="J14" s="19" t="n">
        <x:v>3</x:v>
      </x:c>
      <x:c r="K14" s="19" t="n">
        <x:v>5</x:v>
      </x:c>
      <x:c r="L14" s="19" t="n">
        <x:v>4</x:v>
      </x:c>
      <x:c r="M14" s="19" t="n">
        <x:v>3</x:v>
      </x:c>
      <x:c r="N14" s="11" t="str">
        <x:f>IF(NOT($B$7="VALID"),"PESOS_INVALIDOS",IF(COUNTBLANK(C14:M14)&gt;0,"FALTAN_PUNTUACIONES",IF(AND(COUNT(C14:M14)=11,MIN(C14:M14)&gt;=1,MAX(C14:M14)&lt;=5,IF(ISNUMBER(C14),MOD(C14,1)=0,FALSE),IF(ISNUMBER(D14),MOD(D14,1)=0,FALSE),IF(ISNUMBER(E14),MOD(E14,1)=0,FALSE),IF(ISNUMBER(F14),MOD(F14,1)=0,FALSE),IF(ISNUMBER(G14),MOD(G14,1)=0,FALSE),IF(ISNUMBER(H14),MOD(H14,1)=0,FALSE),IF(ISNUMBER(I14),MOD(I14,1)=0,FALSE),IF(ISNUMBER(J14),MOD(J14,1)=0,FALSE),IF(ISNUMBER(K14),MOD(K14,1)=0,FALSE),IF(ISNUMBER(L14),MOD(L14,1)=0,FALSE),IF(ISNUMBER(M14),MOD(M14,1)=0,FALSE)),"COMPLETO","PUNTUACION_INVALIDA")))</x:f>
        <x:v>COMPLETO</x:v>
      </x:c>
      <x:c r="O14" s="20" t="n">
        <x:f>IF(N14="COMPLETO",SUMPRODUCT(C14:E14,$C$5:$E$5)+SUMPRODUCT(I14:M14,$I$5:$M$5),"")</x:f>
        <x:v>2.6500000000000004</x:v>
      </x:c>
      <x:c r="P14" s="20" t="n">
        <x:f>IF(N14="COMPLETO",SUMPRODUCT(F14:H14,$F$5:$H$5),"")</x:f>
        <x:v>1.2000000000000002</x:v>
      </x:c>
      <x:c r="Q14" s="20" t="n">
        <x:f>IF(N14="COMPLETO",ROUND(100*(O14-P14-(SUM($C$5:$E$5)+SUM($I$5:$M$5)-5*SUM($F$5:$H$5)))/(4*SUM($C$5:$M$5)),8),"")</x:f>
        <x:v>56.25</x:v>
      </x:c>
      <x:c r="R14" s="21" t="n">
        <x:f>IF(ISNUMBER(Q14),RANK(Q14,$Q$10:$Q$34,0),"")</x:f>
        <x:v>17</x:v>
      </x:c>
      <x:c r="S14" s="11" t="str">
        <x:v>O3</x:v>
      </x:c>
      <x:c r="T14" s="11" t="str">
        <x:v>No convertir Master Rate Sheet en sistema completo de recursos ni duplicar escenario estratégico; extender desde hechos de campo y costo.
Detalle íntegro en nota.</x:v>
      </x:c>
      <x:c r="U14" s="11" t="str">
        <x:v>frontend/src/App.tsx:4982
frontend/src/App.tsx:7151
backend/app/api/v1/router.py:788</x:v>
      </x:c>
    </x:row>
    <x:row r="15" ht="72" customHeight="1">
      <x:c r="A15" s="11" t="str">
        <x:v>D06</x:v>
      </x:c>
      <x:c r="B15" s="11" t="str">
        <x:v>Progress Management</x:v>
      </x:c>
      <x:c r="C15" s="19" t="n">
        <x:v>5</x:v>
      </x:c>
      <x:c r="D15" s="19" t="n">
        <x:v>5</x:v>
      </x:c>
      <x:c r="E15" s="19" t="n">
        <x:v>4</x:v>
      </x:c>
      <x:c r="F15" s="19" t="n">
        <x:v>4</x:v>
      </x:c>
      <x:c r="G15" s="19" t="n">
        <x:v>4</x:v>
      </x:c>
      <x:c r="H15" s="19" t="n">
        <x:v>5</x:v>
      </x:c>
      <x:c r="I15" s="19" t="n">
        <x:v>4</x:v>
      </x:c>
      <x:c r="J15" s="19" t="n">
        <x:v>5</x:v>
      </x:c>
      <x:c r="K15" s="19" t="n">
        <x:v>5</x:v>
      </x:c>
      <x:c r="L15" s="19" t="n">
        <x:v>5</x:v>
      </x:c>
      <x:c r="M15" s="19" t="n">
        <x:v>3</x:v>
      </x:c>
      <x:c r="N15" s="11" t="str">
        <x:f>IF(NOT($B$7="VALID"),"PESOS_INVALIDOS",IF(COUNTBLANK(C15:M15)&gt;0,"FALTAN_PUNTUACIONES",IF(AND(COUNT(C15:M15)=11,MIN(C15:M15)&gt;=1,MAX(C15:M15)&lt;=5,IF(ISNUMBER(C15),MOD(C15,1)=0,FALSE),IF(ISNUMBER(D15),MOD(D15,1)=0,FALSE),IF(ISNUMBER(E15),MOD(E15,1)=0,FALSE),IF(ISNUMBER(F15),MOD(F15,1)=0,FALSE),IF(ISNUMBER(G15),MOD(G15,1)=0,FALSE),IF(ISNUMBER(H15),MOD(H15,1)=0,FALSE),IF(ISNUMBER(I15),MOD(I15,1)=0,FALSE),IF(ISNUMBER(J15),MOD(J15,1)=0,FALSE),IF(ISNUMBER(K15),MOD(K15,1)=0,FALSE),IF(ISNUMBER(L15),MOD(L15,1)=0,FALSE),IF(ISNUMBER(M15),MOD(M15,1)=0,FALSE)),"COMPLETO","PUNTUACION_INVALIDA")))</x:f>
        <x:v>COMPLETO</x:v>
      </x:c>
      <x:c r="O15" s="20" t="n">
        <x:f>IF(N15="COMPLETO",SUMPRODUCT(C15:E15,$C$5:$E$5)+SUMPRODUCT(I15:M15,$I$5:$M$5),"")</x:f>
        <x:v>3.1999999999999997</x:v>
      </x:c>
      <x:c r="P15" s="20" t="n">
        <x:f>IF(N15="COMPLETO",SUMPRODUCT(F15:H15,$F$5:$H$5),"")</x:f>
        <x:v>1.3</x:v>
      </x:c>
      <x:c r="Q15" s="20" t="n">
        <x:f>IF(N15="COMPLETO",ROUND(100*(O15-P15-(SUM($C$5:$E$5)+SUM($I$5:$M$5)-5*SUM($F$5:$H$5)))/(4*SUM($C$5:$M$5)),8),"")</x:f>
        <x:v>67.5</x:v>
      </x:c>
      <x:c r="R15" s="21" t="n">
        <x:f>IF(ISNUMBER(Q15),RANK(Q15,$Q$10:$Q$34,0),"")</x:f>
        <x:v>3</x:v>
      </x:c>
      <x:c r="S15" s="11" t="str">
        <x:v>O1</x:v>
      </x:c>
      <x:c r="T15" s="11" t="str">
        <x:v>Conservar registros y añadir semántica antes de alimentar Forecast/EVM; separar medición de aprobación y performance derivada.
Detalle íntegro en nota.</x:v>
      </x:c>
      <x:c r="U15" s="11" t="str">
        <x:v>frontend/src/App.tsx:7151
backend/app/api/v1/router.py:788
frontend/tests/evm-dashboard.test.ts:128</x:v>
      </x:c>
    </x:row>
    <x:row r="16" ht="57" customHeight="1">
      <x:c r="A16" s="11" t="str">
        <x:v>D07</x:v>
      </x:c>
      <x:c r="B16" s="11" t="str">
        <x:v>Forecast / ETC / EAC</x:v>
      </x:c>
      <x:c r="C16" s="19" t="n">
        <x:v>5</x:v>
      </x:c>
      <x:c r="D16" s="19" t="n">
        <x:v>4</x:v>
      </x:c>
      <x:c r="E16" s="19" t="n">
        <x:v>4</x:v>
      </x:c>
      <x:c r="F16" s="19" t="n">
        <x:v>4</x:v>
      </x:c>
      <x:c r="G16" s="19" t="n">
        <x:v>4</x:v>
      </x:c>
      <x:c r="H16" s="19" t="n">
        <x:v>5</x:v>
      </x:c>
      <x:c r="I16" s="19" t="n">
        <x:v>4</x:v>
      </x:c>
      <x:c r="J16" s="19" t="n">
        <x:v>5</x:v>
      </x:c>
      <x:c r="K16" s="19" t="n">
        <x:v>5</x:v>
      </x:c>
      <x:c r="L16" s="19" t="n">
        <x:v>5</x:v>
      </x:c>
      <x:c r="M16" s="19" t="n">
        <x:v>3</x:v>
      </x:c>
      <x:c r="N16" s="11" t="str">
        <x:f>IF(NOT($B$7="VALID"),"PESOS_INVALIDOS",IF(COUNTBLANK(C16:M16)&gt;0,"FALTAN_PUNTUACIONES",IF(AND(COUNT(C16:M16)=11,MIN(C16:M16)&gt;=1,MAX(C16:M16)&lt;=5,IF(ISNUMBER(C16),MOD(C16,1)=0,FALSE),IF(ISNUMBER(D16),MOD(D16,1)=0,FALSE),IF(ISNUMBER(E16),MOD(E16,1)=0,FALSE),IF(ISNUMBER(F16),MOD(F16,1)=0,FALSE),IF(ISNUMBER(G16),MOD(G16,1)=0,FALSE),IF(ISNUMBER(H16),MOD(H16,1)=0,FALSE),IF(ISNUMBER(I16),MOD(I16,1)=0,FALSE),IF(ISNUMBER(J16),MOD(J16,1)=0,FALSE),IF(ISNUMBER(K16),MOD(K16,1)=0,FALSE),IF(ISNUMBER(L16),MOD(L16,1)=0,FALSE),IF(ISNUMBER(M16),MOD(M16,1)=0,FALSE)),"COMPLETO","PUNTUACION_INVALIDA")))</x:f>
        <x:v>COMPLETO</x:v>
      </x:c>
      <x:c r="O16" s="20" t="n">
        <x:f>IF(N16="COMPLETO",SUMPRODUCT(C16:E16,$C$5:$E$5)+SUMPRODUCT(I16:M16,$I$5:$M$5),"")</x:f>
        <x:v>3.05</x:v>
      </x:c>
      <x:c r="P16" s="20" t="n">
        <x:f>IF(N16="COMPLETO",SUMPRODUCT(F16:H16,$F$5:$H$5),"")</x:f>
        <x:v>1.3</x:v>
      </x:c>
      <x:c r="Q16" s="20" t="n">
        <x:f>IF(N16="COMPLETO",ROUND(100*(O16-P16-(SUM($C$5:$E$5)+SUM($I$5:$M$5)-5*SUM($F$5:$H$5)))/(4*SUM($C$5:$M$5)),8),"")</x:f>
        <x:v>63.75</x:v>
      </x:c>
      <x:c r="R16" s="21" t="n">
        <x:f>IF(ISNUMBER(Q16),RANK(Q16,$Q$10:$Q$34,0),"")</x:f>
        <x:v>9</x:v>
      </x:c>
      <x:c r="S16" s="11" t="str">
        <x:v>O1</x:v>
      </x:c>
      <x:c r="T16" s="11" t="str">
        <x:v>Consolidación bajo Project Controls sin otro dueño de actuals, contratos o baseline.
Detalle íntegro en nota.</x:v>
      </x:c>
      <x:c r="U16" s="11" t="str">
        <x:v>frontend/src/App.tsx:3510
frontend/src/App.tsx:6202
backend/app/api/v1/router.py:4189</x:v>
      </x:c>
    </x:row>
    <x:row r="17" ht="72" customHeight="1">
      <x:c r="A17" s="11" t="str">
        <x:v>D08</x:v>
      </x:c>
      <x:c r="B17" s="11" t="str">
        <x:v>Change Management</x:v>
      </x:c>
      <x:c r="C17" s="19" t="n">
        <x:v>5</x:v>
      </x:c>
      <x:c r="D17" s="19" t="n">
        <x:v>5</x:v>
      </x:c>
      <x:c r="E17" s="19" t="n">
        <x:v>3</x:v>
      </x:c>
      <x:c r="F17" s="19" t="n">
        <x:v>4</x:v>
      </x:c>
      <x:c r="G17" s="19" t="n">
        <x:v>4</x:v>
      </x:c>
      <x:c r="H17" s="19" t="n">
        <x:v>5</x:v>
      </x:c>
      <x:c r="I17" s="19" t="n">
        <x:v>5</x:v>
      </x:c>
      <x:c r="J17" s="19" t="n">
        <x:v>5</x:v>
      </x:c>
      <x:c r="K17" s="19" t="n">
        <x:v>5</x:v>
      </x:c>
      <x:c r="L17" s="19" t="n">
        <x:v>5</x:v>
      </x:c>
      <x:c r="M17" s="19" t="n">
        <x:v>3</x:v>
      </x:c>
      <x:c r="N17" s="11" t="str">
        <x:f>IF(NOT($B$7="VALID"),"PESOS_INVALIDOS",IF(COUNTBLANK(C17:M17)&gt;0,"FALTAN_PUNTUACIONES",IF(AND(COUNT(C17:M17)=11,MIN(C17:M17)&gt;=1,MAX(C17:M17)&lt;=5,IF(ISNUMBER(C17),MOD(C17,1)=0,FALSE),IF(ISNUMBER(D17),MOD(D17,1)=0,FALSE),IF(ISNUMBER(E17),MOD(E17,1)=0,FALSE),IF(ISNUMBER(F17),MOD(F17,1)=0,FALSE),IF(ISNUMBER(G17),MOD(G17,1)=0,FALSE),IF(ISNUMBER(H17),MOD(H17,1)=0,FALSE),IF(ISNUMBER(I17),MOD(I17,1)=0,FALSE),IF(ISNUMBER(J17),MOD(J17,1)=0,FALSE),IF(ISNUMBER(K17),MOD(K17,1)=0,FALSE),IF(ISNUMBER(L17),MOD(L17,1)=0,FALSE),IF(ISNUMBER(M17),MOD(M17,1)=0,FALSE)),"COMPLETO","PUNTUACION_INVALIDA")))</x:f>
        <x:v>COMPLETO</x:v>
      </x:c>
      <x:c r="O17" s="20" t="n">
        <x:f>IF(N17="COMPLETO",SUMPRODUCT(C17:E17,$C$5:$E$5)+SUMPRODUCT(I17:M17,$I$5:$M$5),"")</x:f>
        <x:v>3.2</x:v>
      </x:c>
      <x:c r="P17" s="20" t="n">
        <x:f>IF(N17="COMPLETO",SUMPRODUCT(F17:H17,$F$5:$H$5),"")</x:f>
        <x:v>1.3</x:v>
      </x:c>
      <x:c r="Q17" s="20" t="n">
        <x:f>IF(N17="COMPLETO",ROUND(100*(O17-P17-(SUM($C$5:$E$5)+SUM($I$5:$M$5)-5*SUM($F$5:$H$5)))/(4*SUM($C$5:$M$5)),8),"")</x:f>
        <x:v>67.5</x:v>
      </x:c>
      <x:c r="R17" s="21" t="n">
        <x:f>IF(ISNUMBER(Q17),RANK(Q17,$Q$10:$Q$34,0),"")</x:f>
        <x:v>3</x:v>
      </x:c>
      <x:c r="S17" s="11" t="str">
        <x:v>O1</x:v>
      </x:c>
      <x:c r="T17" s="11" t="str">
        <x:v>Unificar orquestación del cambio sin convertirla en dueño de todos los datos ni duplicar variaciones legales.
Detalle íntegro en nota.</x:v>
      </x:c>
      <x:c r="U17" s="11" t="str">
        <x:v>frontend/src/App.tsx:7255
backend/app/api/v1/router.py:3401
frontend/src/navigation/applicationNavigation.ts:640</x:v>
      </x:c>
    </x:row>
    <x:row r="18" ht="72" customHeight="1">
      <x:c r="A18" s="11" t="str">
        <x:v>D09</x:v>
      </x:c>
      <x:c r="B18" s="11" t="str">
        <x:v>Risk Management</x:v>
      </x:c>
      <x:c r="C18" s="19" t="n">
        <x:v>4</x:v>
      </x:c>
      <x:c r="D18" s="19" t="n">
        <x:v>4</x:v>
      </x:c>
      <x:c r="E18" s="19" t="n">
        <x:v>2</x:v>
      </x:c>
      <x:c r="F18" s="19" t="n">
        <x:v>4</x:v>
      </x:c>
      <x:c r="G18" s="19" t="n">
        <x:v>4</x:v>
      </x:c>
      <x:c r="H18" s="19" t="n">
        <x:v>4</x:v>
      </x:c>
      <x:c r="I18" s="19" t="n">
        <x:v>5</x:v>
      </x:c>
      <x:c r="J18" s="19" t="n">
        <x:v>5</x:v>
      </x:c>
      <x:c r="K18" s="19" t="n">
        <x:v>5</x:v>
      </x:c>
      <x:c r="L18" s="19" t="n">
        <x:v>4</x:v>
      </x:c>
      <x:c r="M18" s="19" t="n">
        <x:v>3</x:v>
      </x:c>
      <x:c r="N18" s="11" t="str">
        <x:f>IF(NOT($B$7="VALID"),"PESOS_INVALIDOS",IF(COUNTBLANK(C18:M18)&gt;0,"FALTAN_PUNTUACIONES",IF(AND(COUNT(C18:M18)=11,MIN(C18:M18)&gt;=1,MAX(C18:M18)&lt;=5,IF(ISNUMBER(C18),MOD(C18,1)=0,FALSE),IF(ISNUMBER(D18),MOD(D18,1)=0,FALSE),IF(ISNUMBER(E18),MOD(E18,1)=0,FALSE),IF(ISNUMBER(F18),MOD(F18,1)=0,FALSE),IF(ISNUMBER(G18),MOD(G18,1)=0,FALSE),IF(ISNUMBER(H18),MOD(H18,1)=0,FALSE),IF(ISNUMBER(I18),MOD(I18,1)=0,FALSE),IF(ISNUMBER(J18),MOD(J18,1)=0,FALSE),IF(ISNUMBER(K18),MOD(K18,1)=0,FALSE),IF(ISNUMBER(L18),MOD(L18,1)=0,FALSE),IF(ISNUMBER(M18),MOD(M18,1)=0,FALSE)),"COMPLETO","PUNTUACION_INVALIDA")))</x:f>
        <x:v>COMPLETO</x:v>
      </x:c>
      <x:c r="O18" s="20" t="n">
        <x:f>IF(N18="COMPLETO",SUMPRODUCT(C18:E18,$C$5:$E$5)+SUMPRODUCT(I18:M18,$I$5:$M$5),"")</x:f>
        <x:v>2.75</x:v>
      </x:c>
      <x:c r="P18" s="20" t="n">
        <x:f>IF(N18="COMPLETO",SUMPRODUCT(F18:H18,$F$5:$H$5),"")</x:f>
        <x:v>1.2000000000000002</x:v>
      </x:c>
      <x:c r="Q18" s="20" t="n">
        <x:f>IF(N18="COMPLETO",ROUND(100*(O18-P18-(SUM($C$5:$E$5)+SUM($I$5:$M$5)-5*SUM($F$5:$H$5)))/(4*SUM($C$5:$M$5)),8),"")</x:f>
        <x:v>58.75</x:v>
      </x:c>
      <x:c r="R18" s="21" t="n">
        <x:f>IF(ISNUMBER(Q18),RANK(Q18,$Q$10:$Q$34,0),"")</x:f>
        <x:v>12</x:v>
      </x:c>
      <x:c r="S18" s="11" t="str">
        <x:v>O1</x:v>
      </x:c>
      <x:c r="T18" s="11" t="str">
        <x:v>Nuevo comportamiento operacional cohesivo, pero solo diseño actual; evita contaminar políticas estratégicas ya gobernadas.
Detalle íntegro en nota.</x:v>
      </x:c>
      <x:c r="U18" s="11" t="str">
        <x:v>frontend/src/navigation/applicationNavigation.ts:645
frontend/e2e/risk-readiness.spec.ts:1</x:v>
      </x:c>
    </x:row>
    <x:row r="19" ht="72" customHeight="1">
      <x:c r="A19" s="11" t="str">
        <x:v>D10</x:v>
      </x:c>
      <x:c r="B19" s="11" t="str">
        <x:v>Issue Management</x:v>
      </x:c>
      <x:c r="C19" s="19" t="n">
        <x:v>4</x:v>
      </x:c>
      <x:c r="D19" s="19" t="n">
        <x:v>4</x:v>
      </x:c>
      <x:c r="E19" s="19" t="n">
        <x:v>2</x:v>
      </x:c>
      <x:c r="F19" s="19" t="n">
        <x:v>3</x:v>
      </x:c>
      <x:c r="G19" s="19" t="n">
        <x:v>3</x:v>
      </x:c>
      <x:c r="H19" s="19" t="n">
        <x:v>4</x:v>
      </x:c>
      <x:c r="I19" s="19" t="n">
        <x:v>3</x:v>
      </x:c>
      <x:c r="J19" s="19" t="n">
        <x:v>5</x:v>
      </x:c>
      <x:c r="K19" s="19" t="n">
        <x:v>5</x:v>
      </x:c>
      <x:c r="L19" s="19" t="n">
        <x:v>4</x:v>
      </x:c>
      <x:c r="M19" s="19" t="n">
        <x:v>3</x:v>
      </x:c>
      <x:c r="N19" s="11" t="str">
        <x:f>IF(NOT($B$7="VALID"),"PESOS_INVALIDOS",IF(COUNTBLANK(C19:M19)&gt;0,"FALTAN_PUNTUACIONES",IF(AND(COUNT(C19:M19)=11,MIN(C19:M19)&gt;=1,MAX(C19:M19)&lt;=5,IF(ISNUMBER(C19),MOD(C19,1)=0,FALSE),IF(ISNUMBER(D19),MOD(D19,1)=0,FALSE),IF(ISNUMBER(E19),MOD(E19,1)=0,FALSE),IF(ISNUMBER(F19),MOD(F19,1)=0,FALSE),IF(ISNUMBER(G19),MOD(G19,1)=0,FALSE),IF(ISNUMBER(H19),MOD(H19,1)=0,FALSE),IF(ISNUMBER(I19),MOD(I19,1)=0,FALSE),IF(ISNUMBER(J19),MOD(J19,1)=0,FALSE),IF(ISNUMBER(K19),MOD(K19,1)=0,FALSE),IF(ISNUMBER(L19),MOD(L19,1)=0,FALSE),IF(ISNUMBER(M19),MOD(M19,1)=0,FALSE)),"COMPLETO","PUNTUACION_INVALIDA")))</x:f>
        <x:v>COMPLETO</x:v>
      </x:c>
      <x:c r="O19" s="20" t="n">
        <x:f>IF(N19="COMPLETO",SUMPRODUCT(C19:E19,$C$5:$E$5)+SUMPRODUCT(I19:M19,$I$5:$M$5),"")</x:f>
        <x:v>2.55</x:v>
      </x:c>
      <x:c r="P19" s="20" t="n">
        <x:f>IF(N19="COMPLETO",SUMPRODUCT(F19:H19,$F$5:$H$5),"")</x:f>
        <x:v>1</x:v>
      </x:c>
      <x:c r="Q19" s="20" t="n">
        <x:f>IF(N19="COMPLETO",ROUND(100*(O19-P19-(SUM($C$5:$E$5)+SUM($I$5:$M$5)-5*SUM($F$5:$H$5)))/(4*SUM($C$5:$M$5)),8),"")</x:f>
        <x:v>58.75</x:v>
      </x:c>
      <x:c r="R19" s="21" t="n">
        <x:f>IF(ISNUMBER(Q19),RANK(Q19,$Q$10:$Q$34,0),"")</x:f>
        <x:v>12</x:v>
      </x:c>
      <x:c r="S19" s="11" t="str">
        <x:v>O1</x:v>
      </x:c>
      <x:c r="T19" s="11" t="str">
        <x:v>Subdominio pequeño reutilizable; coordina acciones sin inventar otro registro de riesgos o restricciones.
Detalle íntegro en nota.</x:v>
      </x:c>
      <x:c r="U19" s="11" t="str">
        <x:v>frontend/src/navigation/applicationNavigation.ts:658
frontend/src/api/integratedControl.ts:303</x:v>
      </x:c>
    </x:row>
    <x:row r="20" ht="72" customHeight="1">
      <x:c r="A20" s="11" t="str">
        <x:v>D11</x:v>
      </x:c>
      <x:c r="B20" s="11" t="str">
        <x:v>Procurement Management</x:v>
      </x:c>
      <x:c r="C20" s="19" t="n">
        <x:v>4</x:v>
      </x:c>
      <x:c r="D20" s="19" t="n">
        <x:v>4</x:v>
      </x:c>
      <x:c r="E20" s="19" t="n">
        <x:v>4</x:v>
      </x:c>
      <x:c r="F20" s="19" t="n">
        <x:v>4</x:v>
      </x:c>
      <x:c r="G20" s="19" t="n">
        <x:v>4</x:v>
      </x:c>
      <x:c r="H20" s="19" t="n">
        <x:v>5</x:v>
      </x:c>
      <x:c r="I20" s="19" t="n">
        <x:v>4</x:v>
      </x:c>
      <x:c r="J20" s="19" t="n">
        <x:v>5</x:v>
      </x:c>
      <x:c r="K20" s="19" t="n">
        <x:v>5</x:v>
      </x:c>
      <x:c r="L20" s="19" t="n">
        <x:v>4</x:v>
      </x:c>
      <x:c r="M20" s="19" t="n">
        <x:v>3</x:v>
      </x:c>
      <x:c r="N20" s="11" t="str">
        <x:f>IF(NOT($B$7="VALID"),"PESOS_INVALIDOS",IF(COUNTBLANK(C20:M20)&gt;0,"FALTAN_PUNTUACIONES",IF(AND(COUNT(C20:M20)=11,MIN(C20:M20)&gt;=1,MAX(C20:M20)&lt;=5,IF(ISNUMBER(C20),MOD(C20,1)=0,FALSE),IF(ISNUMBER(D20),MOD(D20,1)=0,FALSE),IF(ISNUMBER(E20),MOD(E20,1)=0,FALSE),IF(ISNUMBER(F20),MOD(F20,1)=0,FALSE),IF(ISNUMBER(G20),MOD(G20,1)=0,FALSE),IF(ISNUMBER(H20),MOD(H20,1)=0,FALSE),IF(ISNUMBER(I20),MOD(I20,1)=0,FALSE),IF(ISNUMBER(J20),MOD(J20,1)=0,FALSE),IF(ISNUMBER(K20),MOD(K20,1)=0,FALSE),IF(ISNUMBER(L20),MOD(L20,1)=0,FALSE),IF(ISNUMBER(M20),MOD(M20,1)=0,FALSE)),"COMPLETO","PUNTUACION_INVALIDA")))</x:f>
        <x:v>COMPLETO</x:v>
      </x:c>
      <x:c r="O20" s="20" t="n">
        <x:f>IF(N20="COMPLETO",SUMPRODUCT(C20:E20,$C$5:$E$5)+SUMPRODUCT(I20:M20,$I$5:$M$5),"")</x:f>
        <x:v>2.85</x:v>
      </x:c>
      <x:c r="P20" s="20" t="n">
        <x:f>IF(N20="COMPLETO",SUMPRODUCT(F20:H20,$F$5:$H$5),"")</x:f>
        <x:v>1.3</x:v>
      </x:c>
      <x:c r="Q20" s="20" t="n">
        <x:f>IF(N20="COMPLETO",ROUND(100*(O20-P20-(SUM($C$5:$E$5)+SUM($I$5:$M$5)-5*SUM($F$5:$H$5)))/(4*SUM($C$5:$M$5)),8),"")</x:f>
        <x:v>58.75</x:v>
      </x:c>
      <x:c r="R20" s="21" t="n">
        <x:f>IF(ISNUMBER(Q20),RANK(Q20,$Q$10:$Q$34,0),"")</x:f>
        <x:v>12</x:v>
      </x:c>
      <x:c r="S20" s="11" t="str">
        <x:v>O2</x:v>
      </x:c>
      <x:c r="T20" s="11" t="str">
        <x:v>Reutilizar RFQ y configurar evaluación/autoridad antes de cualquier nueva pantalla; sourcing distinto de compromiso.
Detalle íntegro en nota.</x:v>
      </x:c>
      <x:c r="U20" s="11" t="str">
        <x:v>backend/app/api/v1/routers/rfq.py:63
backend/app/api/v1/routers/rfq.py:190
frontend/src/navigation/applicationNavigation.ts:649</x:v>
      </x:c>
    </x:row>
    <x:row r="21" ht="87" customHeight="1">
      <x:c r="A21" s="11" t="str">
        <x:v>D12</x:v>
      </x:c>
      <x:c r="B21" s="11" t="str">
        <x:v>Commitments / Contract Administration</x:v>
      </x:c>
      <x:c r="C21" s="19" t="n">
        <x:v>5</x:v>
      </x:c>
      <x:c r="D21" s="19" t="n">
        <x:v>5</x:v>
      </x:c>
      <x:c r="E21" s="19" t="n">
        <x:v>5</x:v>
      </x:c>
      <x:c r="F21" s="19" t="n">
        <x:v>5</x:v>
      </x:c>
      <x:c r="G21" s="19" t="n">
        <x:v>5</x:v>
      </x:c>
      <x:c r="H21" s="19" t="n">
        <x:v>5</x:v>
      </x:c>
      <x:c r="I21" s="19" t="n">
        <x:v>5</x:v>
      </x:c>
      <x:c r="J21" s="19" t="n">
        <x:v>5</x:v>
      </x:c>
      <x:c r="K21" s="19" t="n">
        <x:v>5</x:v>
      </x:c>
      <x:c r="L21" s="19" t="n">
        <x:v>5</x:v>
      </x:c>
      <x:c r="M21" s="19" t="n">
        <x:v>3</x:v>
      </x:c>
      <x:c r="N21" s="11" t="str">
        <x:f>IF(NOT($B$7="VALID"),"PESOS_INVALIDOS",IF(COUNTBLANK(C21:M21)&gt;0,"FALTAN_PUNTUACIONES",IF(AND(COUNT(C21:M21)=11,MIN(C21:M21)&gt;=1,MAX(C21:M21)&lt;=5,IF(ISNUMBER(C21),MOD(C21,1)=0,FALSE),IF(ISNUMBER(D21),MOD(D21,1)=0,FALSE),IF(ISNUMBER(E21),MOD(E21,1)=0,FALSE),IF(ISNUMBER(F21),MOD(F21,1)=0,FALSE),IF(ISNUMBER(G21),MOD(G21,1)=0,FALSE),IF(ISNUMBER(H21),MOD(H21,1)=0,FALSE),IF(ISNUMBER(I21),MOD(I21,1)=0,FALSE),IF(ISNUMBER(J21),MOD(J21,1)=0,FALSE),IF(ISNUMBER(K21),MOD(K21,1)=0,FALSE),IF(ISNUMBER(L21),MOD(L21,1)=0,FALSE),IF(ISNUMBER(M21),MOD(M21,1)=0,FALSE)),"COMPLETO","PUNTUACION_INVALIDA")))</x:f>
        <x:v>COMPLETO</x:v>
      </x:c>
      <x:c r="O21" s="20" t="n">
        <x:f>IF(N21="COMPLETO",SUMPRODUCT(C21:E21,$C$5:$E$5)+SUMPRODUCT(I21:M21,$I$5:$M$5),"")</x:f>
        <x:v>3.4</x:v>
      </x:c>
      <x:c r="P21" s="20" t="n">
        <x:f>IF(N21="COMPLETO",SUMPRODUCT(F21:H21,$F$5:$H$5),"")</x:f>
        <x:v>1.5</x:v>
      </x:c>
      <x:c r="Q21" s="20" t="n">
        <x:f>IF(N21="COMPLETO",ROUND(100*(O21-P21-(SUM($C$5:$E$5)+SUM($I$5:$M$5)-5*SUM($F$5:$H$5)))/(4*SUM($C$5:$M$5)),8),"")</x:f>
        <x:v>67.5</x:v>
      </x:c>
      <x:c r="R21" s="21" t="n">
        <x:f>IF(ISNUMBER(Q21),RANK(Q21,$Q$10:$Q$34,0),"")</x:f>
        <x:v>3</x:v>
      </x:c>
      <x:c r="S21" s="11" t="str">
        <x:v>O2</x:v>
      </x:c>
      <x:c r="T21" s="11" t="str">
        <x:v>Separación cohesiva de sourcing por obligación legal; conservar APIs/datos y sustituir conceptos duplicados solo con deprecación aprobada.
Detalle íntegro en nota.</x:v>
      </x:c>
      <x:c r="U21" s="11" t="str">
        <x:v>backend/app/domain/models.py:1400
backend/app/domain/models.py:1524
backend/app/api/v1/router.py:2379
backend/app/modules/post_fid_governance/service.py:492</x:v>
      </x:c>
    </x:row>
    <x:row r="22" ht="57" customHeight="1">
      <x:c r="A22" s="11" t="str">
        <x:v>D13</x:v>
      </x:c>
      <x:c r="B22" s="11" t="str">
        <x:v>Engineering &amp; Design Management</x:v>
      </x:c>
      <x:c r="C22" s="19" t="n">
        <x:v>4</x:v>
      </x:c>
      <x:c r="D22" s="19" t="n">
        <x:v>4</x:v>
      </x:c>
      <x:c r="E22" s="19" t="n">
        <x:v>2</x:v>
      </x:c>
      <x:c r="F22" s="19" t="n">
        <x:v>4</x:v>
      </x:c>
      <x:c r="G22" s="19" t="n">
        <x:v>4</x:v>
      </x:c>
      <x:c r="H22" s="19" t="n">
        <x:v>4</x:v>
      </x:c>
      <x:c r="I22" s="19" t="n">
        <x:v>4</x:v>
      </x:c>
      <x:c r="J22" s="19" t="n">
        <x:v>4</x:v>
      </x:c>
      <x:c r="K22" s="19" t="n">
        <x:v>4</x:v>
      </x:c>
      <x:c r="L22" s="19" t="n">
        <x:v>4</x:v>
      </x:c>
      <x:c r="M22" s="19" t="n">
        <x:v>3</x:v>
      </x:c>
      <x:c r="N22" s="11" t="str">
        <x:f>IF(NOT($B$7="VALID"),"PESOS_INVALIDOS",IF(COUNTBLANK(C22:M22)&gt;0,"FALTAN_PUNTUACIONES",IF(AND(COUNT(C22:M22)=11,MIN(C22:M22)&gt;=1,MAX(C22:M22)&lt;=5,IF(ISNUMBER(C22),MOD(C22,1)=0,FALSE),IF(ISNUMBER(D22),MOD(D22,1)=0,FALSE),IF(ISNUMBER(E22),MOD(E22,1)=0,FALSE),IF(ISNUMBER(F22),MOD(F22,1)=0,FALSE),IF(ISNUMBER(G22),MOD(G22,1)=0,FALSE),IF(ISNUMBER(H22),MOD(H22,1)=0,FALSE),IF(ISNUMBER(I22),MOD(I22,1)=0,FALSE),IF(ISNUMBER(J22),MOD(J22,1)=0,FALSE),IF(ISNUMBER(K22),MOD(K22,1)=0,FALSE),IF(ISNUMBER(L22),MOD(L22,1)=0,FALSE),IF(ISNUMBER(M22),MOD(M22,1)=0,FALSE)),"COMPLETO","PUNTUACION_INVALIDA")))</x:f>
        <x:v>COMPLETO</x:v>
      </x:c>
      <x:c r="O22" s="20" t="n">
        <x:f>IF(N22="COMPLETO",SUMPRODUCT(C22:E22,$C$5:$E$5)+SUMPRODUCT(I22:M22,$I$5:$M$5),"")</x:f>
        <x:v>2.55</x:v>
      </x:c>
      <x:c r="P22" s="20" t="n">
        <x:f>IF(N22="COMPLETO",SUMPRODUCT(F22:H22,$F$5:$H$5),"")</x:f>
        <x:v>1.2000000000000002</x:v>
      </x:c>
      <x:c r="Q22" s="20" t="n">
        <x:f>IF(N22="COMPLETO",ROUND(100*(O22-P22-(SUM($C$5:$E$5)+SUM($I$5:$M$5)-5*SUM($F$5:$H$5)))/(4*SUM($C$5:$M$5)),8),"")</x:f>
        <x:v>53.75</x:v>
      </x:c>
      <x:c r="R22" s="21" t="n">
        <x:f>IF(ISNUMBER(Q22),RANK(Q22,$Q$10:$Q$34,0),"")</x:f>
        <x:v>18</x:v>
      </x:c>
      <x:c r="S22" s="11" t="str">
        <x:v>O2</x:v>
      </x:c>
      <x:c r="T22" s="11" t="str">
        <x:v>Separar estado técnico de archivo documental; diseñar antes de implementar sin otro DMS.
Detalle íntegro en nota.</x:v>
      </x:c>
      <x:c r="U22" s="11" t="str">
        <x:v>frontend/src/navigation/applicationNavigation.ts:377
backend/app/api/v1/router.py:355</x:v>
      </x:c>
    </x:row>
    <x:row r="23" ht="72" customHeight="1">
      <x:c r="A23" s="11" t="str">
        <x:v>D14</x:v>
      </x:c>
      <x:c r="B23" s="11" t="str">
        <x:v>Document &amp; Information Management</x:v>
      </x:c>
      <x:c r="C23" s="19" t="n">
        <x:v>5</x:v>
      </x:c>
      <x:c r="D23" s="19" t="n">
        <x:v>5</x:v>
      </x:c>
      <x:c r="E23" s="19" t="n">
        <x:v>5</x:v>
      </x:c>
      <x:c r="F23" s="19" t="n">
        <x:v>4</x:v>
      </x:c>
      <x:c r="G23" s="19" t="n">
        <x:v>4</x:v>
      </x:c>
      <x:c r="H23" s="19" t="n">
        <x:v>5</x:v>
      </x:c>
      <x:c r="I23" s="19" t="n">
        <x:v>5</x:v>
      </x:c>
      <x:c r="J23" s="19" t="n">
        <x:v>5</x:v>
      </x:c>
      <x:c r="K23" s="19" t="n">
        <x:v>5</x:v>
      </x:c>
      <x:c r="L23" s="19" t="n">
        <x:v>5</x:v>
      </x:c>
      <x:c r="M23" s="19" t="n">
        <x:v>3</x:v>
      </x:c>
      <x:c r="N23" s="11" t="str">
        <x:f>IF(NOT($B$7="VALID"),"PESOS_INVALIDOS",IF(COUNTBLANK(C23:M23)&gt;0,"FALTAN_PUNTUACIONES",IF(AND(COUNT(C23:M23)=11,MIN(C23:M23)&gt;=1,MAX(C23:M23)&lt;=5,IF(ISNUMBER(C23),MOD(C23,1)=0,FALSE),IF(ISNUMBER(D23),MOD(D23,1)=0,FALSE),IF(ISNUMBER(E23),MOD(E23,1)=0,FALSE),IF(ISNUMBER(F23),MOD(F23,1)=0,FALSE),IF(ISNUMBER(G23),MOD(G23,1)=0,FALSE),IF(ISNUMBER(H23),MOD(H23,1)=0,FALSE),IF(ISNUMBER(I23),MOD(I23,1)=0,FALSE),IF(ISNUMBER(J23),MOD(J23,1)=0,FALSE),IF(ISNUMBER(K23),MOD(K23,1)=0,FALSE),IF(ISNUMBER(L23),MOD(L23,1)=0,FALSE),IF(ISNUMBER(M23),MOD(M23,1)=0,FALSE)),"COMPLETO","PUNTUACION_INVALIDA")))</x:f>
        <x:v>COMPLETO</x:v>
      </x:c>
      <x:c r="O23" s="20" t="n">
        <x:f>IF(N23="COMPLETO",SUMPRODUCT(C23:E23,$C$5:$E$5)+SUMPRODUCT(I23:M23,$I$5:$M$5),"")</x:f>
        <x:v>3.4</x:v>
      </x:c>
      <x:c r="P23" s="20" t="n">
        <x:f>IF(N23="COMPLETO",SUMPRODUCT(F23:H23,$F$5:$H$5),"")</x:f>
        <x:v>1.3</x:v>
      </x:c>
      <x:c r="Q23" s="20" t="n">
        <x:f>IF(N23="COMPLETO",ROUND(100*(O23-P23-(SUM($C$5:$E$5)+SUM($I$5:$M$5)-5*SUM($F$5:$H$5)))/(4*SUM($C$5:$M$5)),8),"")</x:f>
        <x:v>72.5</x:v>
      </x:c>
      <x:c r="R23" s="21" t="n">
        <x:f>IF(ISNUMBER(Q23),RANK(Q23,$Q$10:$Q$34,0),"")</x:f>
        <x:v>2</x:v>
      </x:c>
      <x:c r="S23" s="11" t="str">
        <x:v>O1</x:v>
      </x:c>
      <x:c r="T23" s="11" t="str">
        <x:v>Mover evidencia mínima antes de baselines evita bloqueos; conservar autoridad documental y no confundir review documental con decisión del dominio.
Detalle íntegro en nota.</x:v>
      </x:c>
      <x:c r="U23" s="11" t="str">
        <x:v>backend/app/api/v1/router.py:355
backend/tests/test_api_smoke.py:352
backend/tests/test_api_smoke.py:584
frontend/src/navigation/applicationNavigation.ts:662</x:v>
      </x:c>
    </x:row>
    <x:row r="24" ht="57" customHeight="1">
      <x:c r="A24" s="11" t="str">
        <x:v>D15</x:v>
      </x:c>
      <x:c r="B24" s="11" t="str">
        <x:v>Interface Management</x:v>
      </x:c>
      <x:c r="C24" s="19" t="n">
        <x:v>4</x:v>
      </x:c>
      <x:c r="D24" s="19" t="n">
        <x:v>4</x:v>
      </x:c>
      <x:c r="E24" s="19" t="n">
        <x:v>1</x:v>
      </x:c>
      <x:c r="F24" s="19" t="n">
        <x:v>3</x:v>
      </x:c>
      <x:c r="G24" s="19" t="n">
        <x:v>3</x:v>
      </x:c>
      <x:c r="H24" s="19" t="n">
        <x:v>5</x:v>
      </x:c>
      <x:c r="I24" s="19" t="n">
        <x:v>3</x:v>
      </x:c>
      <x:c r="J24" s="19" t="n">
        <x:v>4</x:v>
      </x:c>
      <x:c r="K24" s="19" t="n">
        <x:v>5</x:v>
      </x:c>
      <x:c r="L24" s="19" t="n">
        <x:v>4</x:v>
      </x:c>
      <x:c r="M24" s="19" t="n">
        <x:v>3</x:v>
      </x:c>
      <x:c r="N24" s="11" t="str">
        <x:f>IF(NOT($B$7="VALID"),"PESOS_INVALIDOS",IF(COUNTBLANK(C24:M24)&gt;0,"FALTAN_PUNTUACIONES",IF(AND(COUNT(C24:M24)=11,MIN(C24:M24)&gt;=1,MAX(C24:M24)&lt;=5,IF(ISNUMBER(C24),MOD(C24,1)=0,FALSE),IF(ISNUMBER(D24),MOD(D24,1)=0,FALSE),IF(ISNUMBER(E24),MOD(E24,1)=0,FALSE),IF(ISNUMBER(F24),MOD(F24,1)=0,FALSE),IF(ISNUMBER(G24),MOD(G24,1)=0,FALSE),IF(ISNUMBER(H24),MOD(H24,1)=0,FALSE),IF(ISNUMBER(I24),MOD(I24,1)=0,FALSE),IF(ISNUMBER(J24),MOD(J24,1)=0,FALSE),IF(ISNUMBER(K24),MOD(K24,1)=0,FALSE),IF(ISNUMBER(L24),MOD(L24,1)=0,FALSE),IF(ISNUMBER(M24),MOD(M24,1)=0,FALSE)),"COMPLETO","PUNTUACION_INVALIDA")))</x:f>
        <x:v>COMPLETO</x:v>
      </x:c>
      <x:c r="O24" s="20" t="n">
        <x:f>IF(N24="COMPLETO",SUMPRODUCT(C24:E24,$C$5:$E$5)+SUMPRODUCT(I24:M24,$I$5:$M$5),"")</x:f>
        <x:v>2.4000000000000004</x:v>
      </x:c>
      <x:c r="P24" s="20" t="n">
        <x:f>IF(N24="COMPLETO",SUMPRODUCT(F24:H24,$F$5:$H$5),"")</x:f>
        <x:v>1.1</x:v>
      </x:c>
      <x:c r="Q24" s="20" t="n">
        <x:f>IF(N24="COMPLETO",ROUND(100*(O24-P24-(SUM($C$5:$E$5)+SUM($I$5:$M$5)-5*SUM($F$5:$H$5)))/(4*SUM($C$5:$M$5)),8),"")</x:f>
        <x:v>52.5</x:v>
      </x:c>
      <x:c r="R24" s="21" t="n">
        <x:f>IF(ISNUMBER(Q24),RANK(Q24,$Q$10:$Q$34,0),"")</x:f>
        <x:v>20</x:v>
      </x:c>
      <x:c r="S24" s="11" t="str">
        <x:v>O2</x:v>
      </x:c>
      <x:c r="T24" s="11" t="str">
        <x:v>Capacidad transversal ligera; coordina sin duplicar issue, riesgo, contrato o entregable técnico.
Detalle íntegro en nota.</x:v>
      </x:c>
      <x:c r="U24" s="11" t="str">
        <x:v>frontend/src/navigation/applicationNavigation.ts:377
frontend/src/navigation/applicationNavigation.ts:387</x:v>
      </x:c>
    </x:row>
    <x:row r="25" ht="72" customHeight="1">
      <x:c r="A25" s="11" t="str">
        <x:v>D16</x:v>
      </x:c>
      <x:c r="B25" s="11" t="str">
        <x:v>Construction / Field Management</x:v>
      </x:c>
      <x:c r="C25" s="19" t="n">
        <x:v>5</x:v>
      </x:c>
      <x:c r="D25" s="19" t="n">
        <x:v>5</x:v>
      </x:c>
      <x:c r="E25" s="19" t="n">
        <x:v>4</x:v>
      </x:c>
      <x:c r="F25" s="19" t="n">
        <x:v>5</x:v>
      </x:c>
      <x:c r="G25" s="19" t="n">
        <x:v>5</x:v>
      </x:c>
      <x:c r="H25" s="19" t="n">
        <x:v>5</x:v>
      </x:c>
      <x:c r="I25" s="19" t="n">
        <x:v>4</x:v>
      </x:c>
      <x:c r="J25" s="19" t="n">
        <x:v>4</x:v>
      </x:c>
      <x:c r="K25" s="19" t="n">
        <x:v>5</x:v>
      </x:c>
      <x:c r="L25" s="19" t="n">
        <x:v>5</x:v>
      </x:c>
      <x:c r="M25" s="19" t="n">
        <x:v>3</x:v>
      </x:c>
      <x:c r="N25" s="11" t="str">
        <x:f>IF(NOT($B$7="VALID"),"PESOS_INVALIDOS",IF(COUNTBLANK(C25:M25)&gt;0,"FALTAN_PUNTUACIONES",IF(AND(COUNT(C25:M25)=11,MIN(C25:M25)&gt;=1,MAX(C25:M25)&lt;=5,IF(ISNUMBER(C25),MOD(C25,1)=0,FALSE),IF(ISNUMBER(D25),MOD(D25,1)=0,FALSE),IF(ISNUMBER(E25),MOD(E25,1)=0,FALSE),IF(ISNUMBER(F25),MOD(F25,1)=0,FALSE),IF(ISNUMBER(G25),MOD(G25,1)=0,FALSE),IF(ISNUMBER(H25),MOD(H25,1)=0,FALSE),IF(ISNUMBER(I25),MOD(I25,1)=0,FALSE),IF(ISNUMBER(J25),MOD(J25,1)=0,FALSE),IF(ISNUMBER(K25),MOD(K25,1)=0,FALSE),IF(ISNUMBER(L25),MOD(L25,1)=0,FALSE),IF(ISNUMBER(M25),MOD(M25,1)=0,FALSE)),"COMPLETO","PUNTUACION_INVALIDA")))</x:f>
        <x:v>COMPLETO</x:v>
      </x:c>
      <x:c r="O25" s="20" t="n">
        <x:f>IF(N25="COMPLETO",SUMPRODUCT(C25:E25,$C$5:$E$5)+SUMPRODUCT(I25:M25,$I$5:$M$5),"")</x:f>
        <x:v>3.15</x:v>
      </x:c>
      <x:c r="P25" s="20" t="n">
        <x:f>IF(N25="COMPLETO",SUMPRODUCT(F25:H25,$F$5:$H$5),"")</x:f>
        <x:v>1.5</x:v>
      </x:c>
      <x:c r="Q25" s="20" t="n">
        <x:f>IF(N25="COMPLETO",ROUND(100*(O25-P25-(SUM($C$5:$E$5)+SUM($I$5:$M$5)-5*SUM($F$5:$H$5)))/(4*SUM($C$5:$M$5)),8),"")</x:f>
        <x:v>61.25</x:v>
      </x:c>
      <x:c r="R25" s="21" t="n">
        <x:f>IF(ISNUMBER(Q25),RANK(Q25,$Q$10:$Q$34,0),"")</x:f>
        <x:v>11</x:v>
      </x:c>
      <x:c r="S25" s="11" t="str">
        <x:v>O3</x:v>
      </x:c>
      <x:c r="T25" s="11" t="str">
        <x:v>Extender AWP y field facts con QA/HSE prerequisitos; no construir módulo aislado que posea alcance, schedule y costo.
Detalle íntegro en nota.</x:v>
      </x:c>
      <x:c r="U25" s="11" t="str">
        <x:v>frontend/src/App.tsx:7332
frontend/src/api/integratedControl.ts:272
backend/tests/test_api_smoke.py:927</x:v>
      </x:c>
    </x:row>
    <x:row r="26" ht="72" customHeight="1">
      <x:c r="A26" s="11" t="str">
        <x:v>D17</x:v>
      </x:c>
      <x:c r="B26" s="11" t="str">
        <x:v>Quality Management</x:v>
      </x:c>
      <x:c r="C26" s="19" t="n">
        <x:v>5</x:v>
      </x:c>
      <x:c r="D26" s="19" t="n">
        <x:v>4</x:v>
      </x:c>
      <x:c r="E26" s="19" t="n">
        <x:v>1</x:v>
      </x:c>
      <x:c r="F26" s="19" t="n">
        <x:v>4</x:v>
      </x:c>
      <x:c r="G26" s="19" t="n">
        <x:v>4</x:v>
      </x:c>
      <x:c r="H26" s="19" t="n">
        <x:v>5</x:v>
      </x:c>
      <x:c r="I26" s="19" t="n">
        <x:v>3</x:v>
      </x:c>
      <x:c r="J26" s="19" t="n">
        <x:v>5</x:v>
      </x:c>
      <x:c r="K26" s="19" t="n">
        <x:v>5</x:v>
      </x:c>
      <x:c r="L26" s="19" t="n">
        <x:v>5</x:v>
      </x:c>
      <x:c r="M26" s="19" t="n">
        <x:v>3</x:v>
      </x:c>
      <x:c r="N26" s="11" t="str">
        <x:f>IF(NOT($B$7="VALID"),"PESOS_INVALIDOS",IF(COUNTBLANK(C26:M26)&gt;0,"FALTAN_PUNTUACIONES",IF(AND(COUNT(C26:M26)=11,MIN(C26:M26)&gt;=1,MAX(C26:M26)&lt;=5,IF(ISNUMBER(C26),MOD(C26,1)=0,FALSE),IF(ISNUMBER(D26),MOD(D26,1)=0,FALSE),IF(ISNUMBER(E26),MOD(E26,1)=0,FALSE),IF(ISNUMBER(F26),MOD(F26,1)=0,FALSE),IF(ISNUMBER(G26),MOD(G26,1)=0,FALSE),IF(ISNUMBER(H26),MOD(H26,1)=0,FALSE),IF(ISNUMBER(I26),MOD(I26,1)=0,FALSE),IF(ISNUMBER(J26),MOD(J26,1)=0,FALSE),IF(ISNUMBER(K26),MOD(K26,1)=0,FALSE),IF(ISNUMBER(L26),MOD(L26,1)=0,FALSE),IF(ISNUMBER(M26),MOD(M26,1)=0,FALSE)),"COMPLETO","PUNTUACION_INVALIDA")))</x:f>
        <x:v>COMPLETO</x:v>
      </x:c>
      <x:c r="O26" s="20" t="n">
        <x:f>IF(N26="COMPLETO",SUMPRODUCT(C26:E26,$C$5:$E$5)+SUMPRODUCT(I26:M26,$I$5:$M$5),"")</x:f>
        <x:v>2.6500000000000004</x:v>
      </x:c>
      <x:c r="P26" s="20" t="n">
        <x:f>IF(N26="COMPLETO",SUMPRODUCT(F26:H26,$F$5:$H$5),"")</x:f>
        <x:v>1.3</x:v>
      </x:c>
      <x:c r="Q26" s="20" t="n">
        <x:f>IF(N26="COMPLETO",ROUND(100*(O26-P26-(SUM($C$5:$E$5)+SUM($I$5:$M$5)-5*SUM($F$5:$H$5)))/(4*SUM($C$5:$M$5)),8),"")</x:f>
        <x:v>53.75</x:v>
      </x:c>
      <x:c r="R26" s="21" t="n">
        <x:f>IF(ISNUMBER(Q26),RANK(Q26,$Q$10:$Q$34,0),"")</x:f>
        <x:v>18</x:v>
      </x:c>
      <x:c r="S26" s="11" t="str">
        <x:v>O3</x:v>
      </x:c>
      <x:c r="T26" s="11" t="str">
        <x:v>Dominio propio por autoridad de aceptación técnica; usar contratos de calidad mínimos antes de field release.
Detalle íntegro en nota.</x:v>
      </x:c>
      <x:c r="U26" s="11" t="str">
        <x:v>frontend/src/navigation/applicationNavigation.ts:660
frontend/src/App.tsx:4320</x:v>
      </x:c>
    </x:row>
    <x:row r="27" ht="72" customHeight="1">
      <x:c r="A27" s="11" t="str">
        <x:v>D18</x:v>
      </x:c>
      <x:c r="B27" s="11" t="str">
        <x:v>HSE Management</x:v>
      </x:c>
      <x:c r="C27" s="19" t="n">
        <x:v>5</x:v>
      </x:c>
      <x:c r="D27" s="19" t="n">
        <x:v>4</x:v>
      </x:c>
      <x:c r="E27" s="19" t="n">
        <x:v>1</x:v>
      </x:c>
      <x:c r="F27" s="19" t="n">
        <x:v>4</x:v>
      </x:c>
      <x:c r="G27" s="19" t="n">
        <x:v>5</x:v>
      </x:c>
      <x:c r="H27" s="19" t="n">
        <x:v>5</x:v>
      </x:c>
      <x:c r="I27" s="19" t="n">
        <x:v>3</x:v>
      </x:c>
      <x:c r="J27" s="19" t="n">
        <x:v>5</x:v>
      </x:c>
      <x:c r="K27" s="19" t="n">
        <x:v>5</x:v>
      </x:c>
      <x:c r="L27" s="19" t="n">
        <x:v>4</x:v>
      </x:c>
      <x:c r="M27" s="19" t="n">
        <x:v>3</x:v>
      </x:c>
      <x:c r="N27" s="11" t="str">
        <x:f>IF(NOT($B$7="VALID"),"PESOS_INVALIDOS",IF(COUNTBLANK(C27:M27)&gt;0,"FALTAN_PUNTUACIONES",IF(AND(COUNT(C27:M27)=11,MIN(C27:M27)&gt;=1,MAX(C27:M27)&lt;=5,IF(ISNUMBER(C27),MOD(C27,1)=0,FALSE),IF(ISNUMBER(D27),MOD(D27,1)=0,FALSE),IF(ISNUMBER(E27),MOD(E27,1)=0,FALSE),IF(ISNUMBER(F27),MOD(F27,1)=0,FALSE),IF(ISNUMBER(G27),MOD(G27,1)=0,FALSE),IF(ISNUMBER(H27),MOD(H27,1)=0,FALSE),IF(ISNUMBER(I27),MOD(I27,1)=0,FALSE),IF(ISNUMBER(J27),MOD(J27,1)=0,FALSE),IF(ISNUMBER(K27),MOD(K27,1)=0,FALSE),IF(ISNUMBER(L27),MOD(L27,1)=0,FALSE),IF(ISNUMBER(M27),MOD(M27,1)=0,FALSE)),"COMPLETO","PUNTUACION_INVALIDA")))</x:f>
        <x:v>COMPLETO</x:v>
      </x:c>
      <x:c r="O27" s="20" t="n">
        <x:f>IF(N27="COMPLETO",SUMPRODUCT(C27:E27,$C$5:$E$5)+SUMPRODUCT(I27:M27,$I$5:$M$5),"")</x:f>
        <x:v>2.6</x:v>
      </x:c>
      <x:c r="P27" s="20" t="n">
        <x:f>IF(N27="COMPLETO",SUMPRODUCT(F27:H27,$F$5:$H$5),"")</x:f>
        <x:v>1.4</x:v>
      </x:c>
      <x:c r="Q27" s="20" t="n">
        <x:f>IF(N27="COMPLETO",ROUND(100*(O27-P27-(SUM($C$5:$E$5)+SUM($I$5:$M$5)-5*SUM($F$5:$H$5)))/(4*SUM($C$5:$M$5)),8),"")</x:f>
        <x:v>50</x:v>
      </x:c>
      <x:c r="R27" s="21" t="n">
        <x:f>IF(ISNUMBER(Q27),RANK(Q27,$Q$10:$Q$34,0),"")</x:f>
        <x:v>24</x:v>
      </x:c>
      <x:c r="S27" s="11" t="str">
        <x:v>O3</x:v>
      </x:c>
      <x:c r="T27" s="11" t="str">
        <x:v>Frontera especializada/externa primero; contract mínimo de blocker/readiness antes de autorizar Field release.
Detalle íntegro en nota.</x:v>
      </x:c>
      <x:c r="U27" s="11" t="str">
        <x:v>frontend/src/navigation/applicationNavigation.ts:377
frontend/e2e/permit-readiness.spec.ts:1</x:v>
      </x:c>
    </x:row>
    <x:row r="28" ht="72" customHeight="1">
      <x:c r="A28" s="11" t="str">
        <x:v>D19</x:v>
      </x:c>
      <x:c r="B28" s="11" t="str">
        <x:v>Project Controls &amp; Reporting</x:v>
      </x:c>
      <x:c r="C28" s="19" t="n">
        <x:v>5</x:v>
      </x:c>
      <x:c r="D28" s="19" t="n">
        <x:v>5</x:v>
      </x:c>
      <x:c r="E28" s="19" t="n">
        <x:v>5</x:v>
      </x:c>
      <x:c r="F28" s="19" t="n">
        <x:v>5</x:v>
      </x:c>
      <x:c r="G28" s="19" t="n">
        <x:v>5</x:v>
      </x:c>
      <x:c r="H28" s="19" t="n">
        <x:v>5</x:v>
      </x:c>
      <x:c r="I28" s="19" t="n">
        <x:v>5</x:v>
      </x:c>
      <x:c r="J28" s="19" t="n">
        <x:v>5</x:v>
      </x:c>
      <x:c r="K28" s="19" t="n">
        <x:v>5</x:v>
      </x:c>
      <x:c r="L28" s="19" t="n">
        <x:v>5</x:v>
      </x:c>
      <x:c r="M28" s="19" t="n">
        <x:v>3</x:v>
      </x:c>
      <x:c r="N28" s="11" t="str">
        <x:f>IF(NOT($B$7="VALID"),"PESOS_INVALIDOS",IF(COUNTBLANK(C28:M28)&gt;0,"FALTAN_PUNTUACIONES",IF(AND(COUNT(C28:M28)=11,MIN(C28:M28)&gt;=1,MAX(C28:M28)&lt;=5,IF(ISNUMBER(C28),MOD(C28,1)=0,FALSE),IF(ISNUMBER(D28),MOD(D28,1)=0,FALSE),IF(ISNUMBER(E28),MOD(E28,1)=0,FALSE),IF(ISNUMBER(F28),MOD(F28,1)=0,FALSE),IF(ISNUMBER(G28),MOD(G28,1)=0,FALSE),IF(ISNUMBER(H28),MOD(H28,1)=0,FALSE),IF(ISNUMBER(I28),MOD(I28,1)=0,FALSE),IF(ISNUMBER(J28),MOD(J28,1)=0,FALSE),IF(ISNUMBER(K28),MOD(K28,1)=0,FALSE),IF(ISNUMBER(L28),MOD(L28,1)=0,FALSE),IF(ISNUMBER(M28),MOD(M28,1)=0,FALSE)),"COMPLETO","PUNTUACION_INVALIDA")))</x:f>
        <x:v>COMPLETO</x:v>
      </x:c>
      <x:c r="O28" s="20" t="n">
        <x:f>IF(N28="COMPLETO",SUMPRODUCT(C28:E28,$C$5:$E$5)+SUMPRODUCT(I28:M28,$I$5:$M$5),"")</x:f>
        <x:v>3.4</x:v>
      </x:c>
      <x:c r="P28" s="20" t="n">
        <x:f>IF(N28="COMPLETO",SUMPRODUCT(F28:H28,$F$5:$H$5),"")</x:f>
        <x:v>1.5</x:v>
      </x:c>
      <x:c r="Q28" s="20" t="n">
        <x:f>IF(N28="COMPLETO",ROUND(100*(O28-P28-(SUM($C$5:$E$5)+SUM($I$5:$M$5)-5*SUM($F$5:$H$5)))/(4*SUM($C$5:$M$5)),8),"")</x:f>
        <x:v>67.5</x:v>
      </x:c>
      <x:c r="R28" s="21" t="n">
        <x:f>IF(ISNUMBER(Q28),RANK(Q28,$Q$10:$Q$34,0),"")</x:f>
        <x:v>3</x:v>
      </x:c>
      <x:c r="S28" s="11" t="str">
        <x:v>O1</x:v>
      </x:c>
      <x:c r="T28" s="11" t="str">
        <x:v>Project Controls es núcleo de integración pero no megadominio dueño de fuentes; separar read models de efectos laterales.
Detalle íntegro en nota.</x:v>
      </x:c>
      <x:c r="U28" s="11" t="str">
        <x:v>frontend/src/App.tsx:5755
frontend/src/App.tsx:5924
frontend/src/api/integratedControl.ts:257
backend/app/api/v1/router.py:4620</x:v>
      </x:c>
    </x:row>
    <x:row r="29" ht="72" customHeight="1">
      <x:c r="A29" s="11" t="str">
        <x:v>D20</x:v>
      </x:c>
      <x:c r="B29" s="11" t="str">
        <x:v>Claims / Delay / Forensic Analysis</x:v>
      </x:c>
      <x:c r="C29" s="19" t="n">
        <x:v>4</x:v>
      </x:c>
      <x:c r="D29" s="19" t="n">
        <x:v>3</x:v>
      </x:c>
      <x:c r="E29" s="19" t="n">
        <x:v>5</x:v>
      </x:c>
      <x:c r="F29" s="19" t="n">
        <x:v>5</x:v>
      </x:c>
      <x:c r="G29" s="19" t="n">
        <x:v>4</x:v>
      </x:c>
      <x:c r="H29" s="19" t="n">
        <x:v>5</x:v>
      </x:c>
      <x:c r="I29" s="19" t="n">
        <x:v>3</x:v>
      </x:c>
      <x:c r="J29" s="19" t="n">
        <x:v>4</x:v>
      </x:c>
      <x:c r="K29" s="19" t="n">
        <x:v>5</x:v>
      </x:c>
      <x:c r="L29" s="19" t="n">
        <x:v>4</x:v>
      </x:c>
      <x:c r="M29" s="19" t="n">
        <x:v>3</x:v>
      </x:c>
      <x:c r="N29" s="11" t="str">
        <x:f>IF(NOT($B$7="VALID"),"PESOS_INVALIDOS",IF(COUNTBLANK(C29:M29)&gt;0,"FALTAN_PUNTUACIONES",IF(AND(COUNT(C29:M29)=11,MIN(C29:M29)&gt;=1,MAX(C29:M29)&lt;=5,IF(ISNUMBER(C29),MOD(C29,1)=0,FALSE),IF(ISNUMBER(D29),MOD(D29,1)=0,FALSE),IF(ISNUMBER(E29),MOD(E29,1)=0,FALSE),IF(ISNUMBER(F29),MOD(F29,1)=0,FALSE),IF(ISNUMBER(G29),MOD(G29,1)=0,FALSE),IF(ISNUMBER(H29),MOD(H29,1)=0,FALSE),IF(ISNUMBER(I29),MOD(I29,1)=0,FALSE),IF(ISNUMBER(J29),MOD(J29,1)=0,FALSE),IF(ISNUMBER(K29),MOD(K29,1)=0,FALSE),IF(ISNUMBER(L29),MOD(L29,1)=0,FALSE),IF(ISNUMBER(M29),MOD(M29,1)=0,FALSE)),"COMPLETO","PUNTUACION_INVALIDA")))</x:f>
        <x:v>COMPLETO</x:v>
      </x:c>
      <x:c r="O29" s="20" t="n">
        <x:f>IF(N29="COMPLETO",SUMPRODUCT(C29:E29,$C$5:$E$5)+SUMPRODUCT(I29:M29,$I$5:$M$5),"")</x:f>
        <x:v>2.65</x:v>
      </x:c>
      <x:c r="P29" s="20" t="n">
        <x:f>IF(N29="COMPLETO",SUMPRODUCT(F29:H29,$F$5:$H$5),"")</x:f>
        <x:v>1.4</x:v>
      </x:c>
      <x:c r="Q29" s="20" t="n">
        <x:f>IF(N29="COMPLETO",ROUND(100*(O29-P29-(SUM($C$5:$E$5)+SUM($I$5:$M$5)-5*SUM($F$5:$H$5)))/(4*SUM($C$5:$M$5)),8),"")</x:f>
        <x:v>51.25</x:v>
      </x:c>
      <x:c r="R29" s="21" t="n">
        <x:f>IF(ISNUMBER(Q29),RANK(Q29,$Q$10:$Q$34,0),"")</x:f>
        <x:v>21</x:v>
      </x:c>
      <x:c r="S29" s="11" t="str">
        <x:v>O4</x:v>
      </x:c>
      <x:c r="T29" s="11" t="str">
        <x:v>Conservar motores y fuente bajo Contract Administration; especialización navegable no equivale a otra autoridad de cambios/contratos.
Detalle íntegro en nota.</x:v>
      </x:c>
      <x:c r="U29" s="11" t="str">
        <x:v>frontend/src/App.tsx:5192
frontend/src/App.tsx:5374
backend/tests/test_forensic_window_analysis_api.py:11</x:v>
      </x:c>
    </x:row>
    <x:row r="30" ht="57" customHeight="1">
      <x:c r="A30" s="11" t="str">
        <x:v>D21</x:v>
      </x:c>
      <x:c r="B30" s="11" t="str">
        <x:v>Commissioning</x:v>
      </x:c>
      <x:c r="C30" s="19" t="n">
        <x:v>5</x:v>
      </x:c>
      <x:c r="D30" s="19" t="n">
        <x:v>4</x:v>
      </x:c>
      <x:c r="E30" s="19" t="n">
        <x:v>2</x:v>
      </x:c>
      <x:c r="F30" s="19" t="n">
        <x:v>5</x:v>
      </x:c>
      <x:c r="G30" s="19" t="n">
        <x:v>5</x:v>
      </x:c>
      <x:c r="H30" s="19" t="n">
        <x:v>5</x:v>
      </x:c>
      <x:c r="I30" s="19" t="n">
        <x:v>4</x:v>
      </x:c>
      <x:c r="J30" s="19" t="n">
        <x:v>5</x:v>
      </x:c>
      <x:c r="K30" s="19" t="n">
        <x:v>4</x:v>
      </x:c>
      <x:c r="L30" s="19" t="n">
        <x:v>4</x:v>
      </x:c>
      <x:c r="M30" s="19" t="n">
        <x:v>3</x:v>
      </x:c>
      <x:c r="N30" s="11" t="str">
        <x:f>IF(NOT($B$7="VALID"),"PESOS_INVALIDOS",IF(COUNTBLANK(C30:M30)&gt;0,"FALTAN_PUNTUACIONES",IF(AND(COUNT(C30:M30)=11,MIN(C30:M30)&gt;=1,MAX(C30:M30)&lt;=5,IF(ISNUMBER(C30),MOD(C30,1)=0,FALSE),IF(ISNUMBER(D30),MOD(D30,1)=0,FALSE),IF(ISNUMBER(E30),MOD(E30,1)=0,FALSE),IF(ISNUMBER(F30),MOD(F30,1)=0,FALSE),IF(ISNUMBER(G30),MOD(G30,1)=0,FALSE),IF(ISNUMBER(H30),MOD(H30,1)=0,FALSE),IF(ISNUMBER(I30),MOD(I30,1)=0,FALSE),IF(ISNUMBER(J30),MOD(J30,1)=0,FALSE),IF(ISNUMBER(K30),MOD(K30,1)=0,FALSE),IF(ISNUMBER(L30),MOD(L30,1)=0,FALSE),IF(ISNUMBER(M30),MOD(M30,1)=0,FALSE)),"COMPLETO","PUNTUACION_INVALIDA")))</x:f>
        <x:v>COMPLETO</x:v>
      </x:c>
      <x:c r="O30" s="20" t="n">
        <x:f>IF(N30="COMPLETO",SUMPRODUCT(C30:E30,$C$5:$E$5)+SUMPRODUCT(I30:M30,$I$5:$M$5),"")</x:f>
        <x:v>2.75</x:v>
      </x:c>
      <x:c r="P30" s="20" t="n">
        <x:f>IF(N30="COMPLETO",SUMPRODUCT(F30:H30,$F$5:$H$5),"")</x:f>
        <x:v>1.5</x:v>
      </x:c>
      <x:c r="Q30" s="20" t="n">
        <x:f>IF(N30="COMPLETO",ROUND(100*(O30-P30-(SUM($C$5:$E$5)+SUM($I$5:$M$5)-5*SUM($F$5:$H$5)))/(4*SUM($C$5:$M$5)),8),"")</x:f>
        <x:v>51.25</x:v>
      </x:c>
      <x:c r="R30" s="21" t="n">
        <x:f>IF(ISNUMBER(Q30),RANK(Q30,$Q$10:$Q$34,0),"")</x:f>
        <x:v>21</x:v>
      </x:c>
      <x:c r="S30" s="11" t="str">
        <x:v>O4</x:v>
      </x:c>
      <x:c r="T30" s="11" t="str">
        <x:v>Separar prueba de sistema de Field completion y Handover; reutilizar dossiers y packages.
Detalle íntegro en nota.</x:v>
      </x:c>
      <x:c r="U30" s="11" t="str">
        <x:v>frontend/src/App.tsx:7339
backend/tests/test_api_smoke.py:927</x:v>
      </x:c>
    </x:row>
    <x:row r="31" ht="57" customHeight="1">
      <x:c r="A31" s="11" t="str">
        <x:v>D22</x:v>
      </x:c>
      <x:c r="B31" s="11" t="str">
        <x:v>Handover</x:v>
      </x:c>
      <x:c r="C31" s="19" t="n">
        <x:v>5</x:v>
      </x:c>
      <x:c r="D31" s="19" t="n">
        <x:v>4</x:v>
      </x:c>
      <x:c r="E31" s="19" t="n">
        <x:v>2</x:v>
      </x:c>
      <x:c r="F31" s="19" t="n">
        <x:v>4</x:v>
      </x:c>
      <x:c r="G31" s="19" t="n">
        <x:v>4</x:v>
      </x:c>
      <x:c r="H31" s="19" t="n">
        <x:v>5</x:v>
      </x:c>
      <x:c r="I31" s="19" t="n">
        <x:v>4</x:v>
      </x:c>
      <x:c r="J31" s="19" t="n">
        <x:v>5</x:v>
      </x:c>
      <x:c r="K31" s="19" t="n">
        <x:v>5</x:v>
      </x:c>
      <x:c r="L31" s="19" t="n">
        <x:v>4</x:v>
      </x:c>
      <x:c r="M31" s="19" t="n">
        <x:v>3</x:v>
      </x:c>
      <x:c r="N31" s="11" t="str">
        <x:f>IF(NOT($B$7="VALID"),"PESOS_INVALIDOS",IF(COUNTBLANK(C31:M31)&gt;0,"FALTAN_PUNTUACIONES",IF(AND(COUNT(C31:M31)=11,MIN(C31:M31)&gt;=1,MAX(C31:M31)&lt;=5,IF(ISNUMBER(C31),MOD(C31,1)=0,FALSE),IF(ISNUMBER(D31),MOD(D31,1)=0,FALSE),IF(ISNUMBER(E31),MOD(E31,1)=0,FALSE),IF(ISNUMBER(F31),MOD(F31,1)=0,FALSE),IF(ISNUMBER(G31),MOD(G31,1)=0,FALSE),IF(ISNUMBER(H31),MOD(H31,1)=0,FALSE),IF(ISNUMBER(I31),MOD(I31,1)=0,FALSE),IF(ISNUMBER(J31),MOD(J31,1)=0,FALSE),IF(ISNUMBER(K31),MOD(K31,1)=0,FALSE),IF(ISNUMBER(L31),MOD(L31,1)=0,FALSE),IF(ISNUMBER(M31),MOD(M31,1)=0,FALSE)),"COMPLETO","PUNTUACION_INVALIDA")))</x:f>
        <x:v>COMPLETO</x:v>
      </x:c>
      <x:c r="O31" s="20" t="n">
        <x:f>IF(N31="COMPLETO",SUMPRODUCT(C31:E31,$C$5:$E$5)+SUMPRODUCT(I31:M31,$I$5:$M$5),"")</x:f>
        <x:v>2.8</x:v>
      </x:c>
      <x:c r="P31" s="20" t="n">
        <x:f>IF(N31="COMPLETO",SUMPRODUCT(F31:H31,$F$5:$H$5),"")</x:f>
        <x:v>1.3</x:v>
      </x:c>
      <x:c r="Q31" s="20" t="n">
        <x:f>IF(N31="COMPLETO",ROUND(100*(O31-P31-(SUM($C$5:$E$5)+SUM($I$5:$M$5)-5*SUM($F$5:$H$5)))/(4*SUM($C$5:$M$5)),8),"")</x:f>
        <x:v>57.5</x:v>
      </x:c>
      <x:c r="R31" s="21" t="n">
        <x:f>IF(ISNUMBER(Q31),RANK(Q31,$Q$10:$Q$34,0),"")</x:f>
        <x:v>15</x:v>
      </x:c>
      <x:c r="S31" s="11" t="str">
        <x:v>O4</x:v>
      </x:c>
      <x:c r="T31" s="11" t="str">
        <x:v>Workflow de varios dominios, no módulo fuente dueño de todo; gate configurable y sin firma ficticia.
Detalle íntegro en nota.</x:v>
      </x:c>
      <x:c r="U31" s="11" t="str">
        <x:v>frontend/src/App.tsx:7339
frontend/src/App.tsx:7282</x:v>
      </x:c>
    </x:row>
    <x:row r="32" ht="57" customHeight="1">
      <x:c r="A32" s="11" t="str">
        <x:v>D23</x:v>
      </x:c>
      <x:c r="B32" s="11" t="str">
        <x:v>Operational Readiness</x:v>
      </x:c>
      <x:c r="C32" s="19" t="n">
        <x:v>5</x:v>
      </x:c>
      <x:c r="D32" s="19" t="n">
        <x:v>4</x:v>
      </x:c>
      <x:c r="E32" s="19" t="n">
        <x:v>1</x:v>
      </x:c>
      <x:c r="F32" s="19" t="n">
        <x:v>4</x:v>
      </x:c>
      <x:c r="G32" s="19" t="n">
        <x:v>5</x:v>
      </x:c>
      <x:c r="H32" s="19" t="n">
        <x:v>5</x:v>
      </x:c>
      <x:c r="I32" s="19" t="n">
        <x:v>4</x:v>
      </x:c>
      <x:c r="J32" s="19" t="n">
        <x:v>5</x:v>
      </x:c>
      <x:c r="K32" s="19" t="n">
        <x:v>4</x:v>
      </x:c>
      <x:c r="L32" s="19" t="n">
        <x:v>4</x:v>
      </x:c>
      <x:c r="M32" s="19" t="n">
        <x:v>3</x:v>
      </x:c>
      <x:c r="N32" s="11" t="str">
        <x:f>IF(NOT($B$7="VALID"),"PESOS_INVALIDOS",IF(COUNTBLANK(C32:M32)&gt;0,"FALTAN_PUNTUACIONES",IF(AND(COUNT(C32:M32)=11,MIN(C32:M32)&gt;=1,MAX(C32:M32)&lt;=5,IF(ISNUMBER(C32),MOD(C32,1)=0,FALSE),IF(ISNUMBER(D32),MOD(D32,1)=0,FALSE),IF(ISNUMBER(E32),MOD(E32,1)=0,FALSE),IF(ISNUMBER(F32),MOD(F32,1)=0,FALSE),IF(ISNUMBER(G32),MOD(G32,1)=0,FALSE),IF(ISNUMBER(H32),MOD(H32,1)=0,FALSE),IF(ISNUMBER(I32),MOD(I32,1)=0,FALSE),IF(ISNUMBER(J32),MOD(J32,1)=0,FALSE),IF(ISNUMBER(K32),MOD(K32,1)=0,FALSE),IF(ISNUMBER(L32),MOD(L32,1)=0,FALSE),IF(ISNUMBER(M32),MOD(M32,1)=0,FALSE)),"COMPLETO","PUNTUACION_INVALIDA")))</x:f>
        <x:v>COMPLETO</x:v>
      </x:c>
      <x:c r="O32" s="20" t="n">
        <x:f>IF(N32="COMPLETO",SUMPRODUCT(C32:E32,$C$5:$E$5)+SUMPRODUCT(I32:M32,$I$5:$M$5),"")</x:f>
        <x:v>2.6500000000000004</x:v>
      </x:c>
      <x:c r="P32" s="20" t="n">
        <x:f>IF(N32="COMPLETO",SUMPRODUCT(F32:H32,$F$5:$H$5),"")</x:f>
        <x:v>1.4</x:v>
      </x:c>
      <x:c r="Q32" s="20" t="n">
        <x:f>IF(N32="COMPLETO",ROUND(100*(O32-P32-(SUM($C$5:$E$5)+SUM($I$5:$M$5)-5*SUM($F$5:$H$5)))/(4*SUM($C$5:$M$5)),8),"")</x:f>
        <x:v>51.25</x:v>
      </x:c>
      <x:c r="R32" s="21" t="n">
        <x:f>IF(ISNUMBER(Q32),RANK(Q32,$Q$10:$Q$34,0),"")</x:f>
        <x:v>21</x:v>
      </x:c>
      <x:c r="S32" s="11" t="str">
        <x:v>O4</x:v>
      </x:c>
      <x:c r="T32" s="11" t="str">
        <x:v>Prevenir falsa equivalencia ready flags = operación segura; evidencia y dueño de aceptación explícitos.
Detalle íntegro en nota.</x:v>
      </x:c>
      <x:c r="U32" s="11" t="str">
        <x:v>frontend/src/App.tsx:3410
frontend/src/App.tsx:4505</x:v>
      </x:c>
    </x:row>
    <x:row r="33" ht="72" customHeight="1">
      <x:c r="A33" s="11" t="str">
        <x:v>D24</x:v>
      </x:c>
      <x:c r="B33" s="11" t="str">
        <x:v>Project Closeout</x:v>
      </x:c>
      <x:c r="C33" s="19" t="n">
        <x:v>5</x:v>
      </x:c>
      <x:c r="D33" s="19" t="n">
        <x:v>3</x:v>
      </x:c>
      <x:c r="E33" s="19" t="n">
        <x:v>3</x:v>
      </x:c>
      <x:c r="F33" s="19" t="n">
        <x:v>4</x:v>
      </x:c>
      <x:c r="G33" s="19" t="n">
        <x:v>4</x:v>
      </x:c>
      <x:c r="H33" s="19" t="n">
        <x:v>5</x:v>
      </x:c>
      <x:c r="I33" s="19" t="n">
        <x:v>4</x:v>
      </x:c>
      <x:c r="J33" s="19" t="n">
        <x:v>5</x:v>
      </x:c>
      <x:c r="K33" s="19" t="n">
        <x:v>5</x:v>
      </x:c>
      <x:c r="L33" s="19" t="n">
        <x:v>5</x:v>
      </x:c>
      <x:c r="M33" s="19" t="n">
        <x:v>3</x:v>
      </x:c>
      <x:c r="N33" s="11" t="str">
        <x:f>IF(NOT($B$7="VALID"),"PESOS_INVALIDOS",IF(COUNTBLANK(C33:M33)&gt;0,"FALTAN_PUNTUACIONES",IF(AND(COUNT(C33:M33)=11,MIN(C33:M33)&gt;=1,MAX(C33:M33)&lt;=5,IF(ISNUMBER(C33),MOD(C33,1)=0,FALSE),IF(ISNUMBER(D33),MOD(D33,1)=0,FALSE),IF(ISNUMBER(E33),MOD(E33,1)=0,FALSE),IF(ISNUMBER(F33),MOD(F33,1)=0,FALSE),IF(ISNUMBER(G33),MOD(G33,1)=0,FALSE),IF(ISNUMBER(H33),MOD(H33,1)=0,FALSE),IF(ISNUMBER(I33),MOD(I33,1)=0,FALSE),IF(ISNUMBER(J33),MOD(J33,1)=0,FALSE),IF(ISNUMBER(K33),MOD(K33,1)=0,FALSE),IF(ISNUMBER(L33),MOD(L33,1)=0,FALSE),IF(ISNUMBER(M33),MOD(M33,1)=0,FALSE)),"COMPLETO","PUNTUACION_INVALIDA")))</x:f>
        <x:v>COMPLETO</x:v>
      </x:c>
      <x:c r="O33" s="20" t="n">
        <x:f>IF(N33="COMPLETO",SUMPRODUCT(C33:E33,$C$5:$E$5)+SUMPRODUCT(I33:M33,$I$5:$M$5),"")</x:f>
        <x:v>2.8</x:v>
      </x:c>
      <x:c r="P33" s="20" t="n">
        <x:f>IF(N33="COMPLETO",SUMPRODUCT(F33:H33,$F$5:$H$5),"")</x:f>
        <x:v>1.3</x:v>
      </x:c>
      <x:c r="Q33" s="20" t="n">
        <x:f>IF(N33="COMPLETO",ROUND(100*(O33-P33-(SUM($C$5:$E$5)+SUM($I$5:$M$5)-5*SUM($F$5:$H$5)))/(4*SUM($C$5:$M$5)),8),"")</x:f>
        <x:v>57.5</x:v>
      </x:c>
      <x:c r="R33" s="21" t="n">
        <x:f>IF(ISNUMBER(Q33),RANK(Q33,$Q$10:$Q$34,0),"")</x:f>
        <x:v>15</x:v>
      </x:c>
      <x:c r="S33" s="11" t="str">
        <x:v>O4</x:v>
      </x:c>
      <x:c r="T33" s="11" t="str">
        <x:v>Extender reporte/cierre financiero como componentes de workflow integral, sin otro dueño de saldos ni delete del Project.
Detalle íntegro en nota.</x:v>
      </x:c>
      <x:c r="U33" s="11" t="str">
        <x:v>frontend/src/App.tsx:6197
backend/app/api/v1/router.py:1990
backend/tests/test_integrated_control.py:208</x:v>
      </x:c>
    </x:row>
    <x:row r="34" ht="72" customHeight="1">
      <x:c r="A34" s="11" t="str">
        <x:v>D25</x:v>
      </x:c>
      <x:c r="B34" s="11" t="str">
        <x:v>Asset Handover / Transition</x:v>
      </x:c>
      <x:c r="C34" s="19" t="n">
        <x:v>4</x:v>
      </x:c>
      <x:c r="D34" s="19" t="n">
        <x:v>3</x:v>
      </x:c>
      <x:c r="E34" s="19" t="n">
        <x:v>2</x:v>
      </x:c>
      <x:c r="F34" s="19" t="n">
        <x:v>4</x:v>
      </x:c>
      <x:c r="G34" s="19" t="n">
        <x:v>5</x:v>
      </x:c>
      <x:c r="H34" s="19" t="n">
        <x:v>5</x:v>
      </x:c>
      <x:c r="I34" s="19" t="n">
        <x:v>4</x:v>
      </x:c>
      <x:c r="J34" s="19" t="n">
        <x:v>5</x:v>
      </x:c>
      <x:c r="K34" s="19" t="n">
        <x:v>4</x:v>
      </x:c>
      <x:c r="L34" s="19" t="n">
        <x:v>4</x:v>
      </x:c>
      <x:c r="M34" s="19" t="n">
        <x:v>3</x:v>
      </x:c>
      <x:c r="N34" s="11" t="str">
        <x:f>IF(NOT($B$7="VALID"),"PESOS_INVALIDOS",IF(COUNTBLANK(C34:M34)&gt;0,"FALTAN_PUNTUACIONES",IF(AND(COUNT(C34:M34)=11,MIN(C34:M34)&gt;=1,MAX(C34:M34)&lt;=5,IF(ISNUMBER(C34),MOD(C34,1)=0,FALSE),IF(ISNUMBER(D34),MOD(D34,1)=0,FALSE),IF(ISNUMBER(E34),MOD(E34,1)=0,FALSE),IF(ISNUMBER(F34),MOD(F34,1)=0,FALSE),IF(ISNUMBER(G34),MOD(G34,1)=0,FALSE),IF(ISNUMBER(H34),MOD(H34,1)=0,FALSE),IF(ISNUMBER(I34),MOD(I34,1)=0,FALSE),IF(ISNUMBER(J34),MOD(J34,1)=0,FALSE),IF(ISNUMBER(K34),MOD(K34,1)=0,FALSE),IF(ISNUMBER(L34),MOD(L34,1)=0,FALSE),IF(ISNUMBER(M34),MOD(M34,1)=0,FALSE)),"COMPLETO","PUNTUACION_INVALIDA")))</x:f>
        <x:v>COMPLETO</x:v>
      </x:c>
      <x:c r="O34" s="20" t="n">
        <x:f>IF(N34="COMPLETO",SUMPRODUCT(C34:E34,$C$5:$E$5)+SUMPRODUCT(I34:M34,$I$5:$M$5),"")</x:f>
        <x:v>2.45</x:v>
      </x:c>
      <x:c r="P34" s="20" t="n">
        <x:f>IF(N34="COMPLETO",SUMPRODUCT(F34:H34,$F$5:$H$5),"")</x:f>
        <x:v>1.4</x:v>
      </x:c>
      <x:c r="Q34" s="20" t="n">
        <x:f>IF(N34="COMPLETO",ROUND(100*(O34-P34-(SUM($C$5:$E$5)+SUM($I$5:$M$5)-5*SUM($F$5:$H$5)))/(4*SUM($C$5:$M$5)),8),"")</x:f>
        <x:v>46.25</x:v>
      </x:c>
      <x:c r="R34" s="21" t="n">
        <x:f>IF(ISNUMBER(Q34),RANK(Q34,$Q$10:$Q$34,0),"")</x:f>
        <x:v>25</x:v>
      </x:c>
      <x:c r="S34" s="11" t="str">
        <x:v>O4</x:v>
      </x:c>
      <x:c r="T34" s="11" t="str">
        <x:v>Workflow fronterizo a Facility/Property, no convertir macroproceso operacional en mantenimiento ni duplicar identidad física.
Detalle íntegro en nota.</x:v>
      </x:c>
      <x:c r="U34" s="11" t="str">
        <x:v>frontend/src/navigation/applicationNavigation.ts:354
frontend/src/navigation/applicationNavigation.ts:491
backend/tests/test_physical_workspace_creation.py:628</x:v>
      </x:c>
    </x:row>
    <x:row r="37" ht="48" customHeight="1">
      <x:c r="A37" s="9" t="str">
        <x:v>Criterio</x:v>
      </x:c>
      <x:c r="B37" s="9" t="str">
        <x:v>Justificación del peso</x:v>
      </x:c>
      <x:c r="C37" s="9" t="str">
        <x:v>Dirección</x:v>
      </x:c>
      <x:c r="D37" s="9" t="str">
        <x:v>Peso</x:v>
      </x:c>
      <x:c r="E37" s="9" t="str">
        <x:v>Interpretación de escala</x:v>
      </x:c>
    </x:row>
    <x:row r="38" ht="72" customHeight="1">
      <x:c r="A38" s="27" t="str">
        <x:v>Valor de negocio</x:v>
      </x:c>
      <x:c r="B38" s="27" t="str">
        <x:v>Impacto transversal estimado, no ROI.</x:v>
      </x:c>
      <x:c r="C38" s="27" t="str">
        <x:v>Beneficio (+1)</x:v>
      </x:c>
      <x:c r="D38" s="28" t="n">
        <x:f>C$5</x:f>
        <x:v>0.15</x:v>
      </x:c>
      <x:c r="E38" s="27" t="str">
        <x:v>1 bajo, 5 alto. Mayor valor aumenta prioridad.</x:v>
      </x:c>
    </x:row>
    <x:row r="39" ht="72" customHeight="1">
      <x:c r="A39" s="27" t="str">
        <x:v>Centralidad</x:v>
      </x:c>
      <x:c r="B39" s="27" t="str">
        <x:v>Prerrequisitos/consumidores del grafo.</x:v>
      </x:c>
      <x:c r="C39" s="27" t="str">
        <x:v>Beneficio (+1)</x:v>
      </x:c>
      <x:c r="D39" s="28" t="n">
        <x:f>D$5</x:f>
        <x:v>0.15</x:v>
      </x:c>
      <x:c r="E39" s="27" t="str">
        <x:v>1 bajo, 5 alto. Mayor valor aumenta prioridad.</x:v>
      </x:c>
    </x:row>
    <x:row r="40" ht="72" customHeight="1">
      <x:c r="A40" s="27" t="str">
        <x:v>Reutilización</x:v>
      </x:c>
      <x:c r="B40" s="27" t="str">
        <x:v>Evidencia reutilizable localizada.</x:v>
      </x:c>
      <x:c r="C40" s="27" t="str">
        <x:v>Beneficio (+1)</x:v>
      </x:c>
      <x:c r="D40" s="28" t="n">
        <x:f>E$5</x:f>
        <x:v>0.1</x:v>
      </x:c>
      <x:c r="E40" s="27" t="str">
        <x:v>1 bajo, 5 alto. Mayor valor aumenta prioridad.</x:v>
      </x:c>
    </x:row>
    <x:row r="41" ht="72" customHeight="1">
      <x:c r="A41" s="27" t="str">
        <x:v>Complejidad</x:v>
      </x:c>
      <x:c r="B41" s="27" t="str">
        <x:v>Penaliza esfuerzo relativo.</x:v>
      </x:c>
      <x:c r="C41" s="27" t="str">
        <x:v>Penalización (−1)</x:v>
      </x:c>
      <x:c r="D41" s="28" t="n">
        <x:f>F$5</x:f>
        <x:v>0.1</x:v>
      </x:c>
      <x:c r="E41" s="27" t="str">
        <x:v>1 bajo, 5 alto. Mayor valor reduce prioridad.</x:v>
      </x:c>
    </x:row>
    <x:row r="42" ht="72" customHeight="1">
      <x:c r="A42" s="27" t="str">
        <x:v>Riesgo del modelo</x:v>
      </x:c>
      <x:c r="B42" s="27" t="str">
        <x:v>Penaliza exposición de identidad/autoridad.</x:v>
      </x:c>
      <x:c r="C42" s="27" t="str">
        <x:v>Penalización (−1)</x:v>
      </x:c>
      <x:c r="D42" s="28" t="n">
        <x:f>G$5</x:f>
        <x:v>0.1</x:v>
      </x:c>
      <x:c r="E42" s="27" t="str">
        <x:v>1 bajo, 5 alto. Mayor valor reduce prioridad.</x:v>
      </x:c>
    </x:row>
    <x:row r="43" ht="72" customHeight="1">
      <x:c r="A43" s="27" t="str">
        <x:v>Acoplamiento</x:v>
      </x:c>
      <x:c r="B43" s="27" t="str">
        <x:v>Penaliza contratos interdependientes.</x:v>
      </x:c>
      <x:c r="C43" s="27" t="str">
        <x:v>Penalización (−1)</x:v>
      </x:c>
      <x:c r="D43" s="28" t="n">
        <x:f>H$5</x:f>
        <x:v>0.1</x:v>
      </x:c>
      <x:c r="E43" s="27" t="str">
        <x:v>1 bajo, 5 alto. Mayor valor reduce prioridad.</x:v>
      </x:c>
    </x:row>
    <x:row r="44" ht="72" customHeight="1">
      <x:c r="A44" s="27" t="str">
        <x:v>Integración estratégica</x:v>
      </x:c>
      <x:c r="B44" s="27" t="str">
        <x:v>Relevancia de la frontera estratégica.</x:v>
      </x:c>
      <x:c r="C44" s="27" t="str">
        <x:v>Beneficio (+1)</x:v>
      </x:c>
      <x:c r="D44" s="28" t="n">
        <x:f>I$5</x:f>
        <x:v>0.1</x:v>
      </x:c>
      <x:c r="E44" s="27" t="str">
        <x:v>1 bajo, 5 alto. Mayor valor aumenta prioridad.</x:v>
      </x:c>
    </x:row>
    <x:row r="45" ht="72" customHeight="1">
      <x:c r="A45" s="27" t="str">
        <x:v>Aplicabilidad Owner</x:v>
      </x:c>
      <x:c r="B45" s="27" t="str">
        <x:v>Cobertura del modelo Owner.</x:v>
      </x:c>
      <x:c r="C45" s="27" t="str">
        <x:v>Beneficio (+1)</x:v>
      </x:c>
      <x:c r="D45" s="28" t="n">
        <x:f>J$5</x:f>
        <x:v>0.05</x:v>
      </x:c>
      <x:c r="E45" s="27" t="str">
        <x:v>1 bajo, 5 alto. Mayor valor aumenta prioridad.</x:v>
      </x:c>
    </x:row>
    <x:row r="46" ht="72" customHeight="1">
      <x:c r="A46" s="27" t="str">
        <x:v>Aplicabilidad Contractor</x:v>
      </x:c>
      <x:c r="B46" s="27" t="str">
        <x:v>Cobertura del modelo Contractor.</x:v>
      </x:c>
      <x:c r="C46" s="27" t="str">
        <x:v>Beneficio (+1)</x:v>
      </x:c>
      <x:c r="D46" s="28" t="n">
        <x:f>K$5</x:f>
        <x:v>0.05</x:v>
      </x:c>
      <x:c r="E46" s="27" t="str">
        <x:v>1 bajo, 5 alto. Mayor valor aumenta prioridad.</x:v>
      </x:c>
    </x:row>
    <x:row r="47" ht="72" customHeight="1">
      <x:c r="A47" s="27" t="str">
        <x:v>Valor de reporting</x:v>
      </x:c>
      <x:c r="B47" s="27" t="str">
        <x:v>Transparencia y decisiones de control.</x:v>
      </x:c>
      <x:c r="C47" s="27" t="str">
        <x:v>Beneficio (+1)</x:v>
      </x:c>
      <x:c r="D47" s="28" t="n">
        <x:f>L$5</x:f>
        <x:v>0.05</x:v>
      </x:c>
      <x:c r="E47" s="27" t="str">
        <x:v>1 bajo, 5 alto. Mayor valor aumenta prioridad.</x:v>
      </x:c>
    </x:row>
    <x:row r="48" ht="72" customHeight="1">
      <x:c r="A48" s="27" t="str">
        <x:v>Urgencia declarada</x:v>
      </x:c>
      <x:c r="B48" s="27" t="str">
        <x:v>3 neutral para todos: no se declaró urgencia relativa.</x:v>
      </x:c>
      <x:c r="C48" s="27" t="str">
        <x:v>Beneficio (+1)</x:v>
      </x:c>
      <x:c r="D48" s="28" t="n">
        <x:f>M$5</x:f>
        <x:v>0.05</x:v>
      </x:c>
      <x:c r="E48" s="27" t="str">
        <x:v>1 bajo, 5 alto. Mayor valor aumenta prioridad.</x:v>
      </x:c>
    </x:row>
    <x:row r="50">
      <x:c r="A50" t="str">
        <x:v>Score = 100 × (beneficio − penalización − mínimo teórico) / (máximo teórico − mínimo teórico).</x:v>
      </x:c>
    </x:row>
    <x:row r="51">
      <x:c r="A51" t="str">
        <x:v>Mínimo: beneficio 1, penalización 5. Máximo: beneficio 5, penalización 1. Empates: mismo rango.</x:v>
      </x:c>
    </x:row>
    <x:row r="52">
      <x:c r="A52" t="str">
        <x:v>Score calculado con 8 decimales para evitar desempates por ruido numérico; mostrado con 2. Ordene la tabla por ranking para comparar.</x:v>
      </x:c>
    </x:row>
  </x:sheetData>
  <x:conditionalFormatting sqref="B7:B7">
    <x:cfRule type="containsText" dxfId="0" priority="1" operator="containsText" text="INVALID"/>
  </x:conditionalFormatting>
  <x:conditionalFormatting sqref="N10:N34">
    <x:cfRule type="notContainsText" dxfId="1" priority="2" text="COMPLETO"/>
  </x:conditionalFormatting>
  <x:dataValidations count="1">
    <x:dataValidation type="whole" operator="between" sqref="C10:M34">
      <x:formula1>1</x:formula1>
      <x:formula2>5</x:formula2>
    </x:dataValidation>
  </x:dataValidations>
  <x:pageMargins left="0.7" right="0.7" top="0.75" bottom="0.75" header="0.3" footer="0.3"/>
  <x:legacyDrawing xmlns:r="http://schemas.openxmlformats.org/officeDocument/2006/relationships" r:id="Re1a1f8cce6aa4677"/>
  <x:tableParts count="1">
    <x:tablePart xmlns:r="http://schemas.openxmlformats.org/officeDocument/2006/relationships" r:id="Raac2f98a4ea14fea"/>
  </x:tableParts>
</x:worksheet>
</file>

<file path=xl/worksheets/sheet10.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s>
  <x:sheetData>
    <x:row r="1" ht="24" customHeight="1">
      <x:c r="A1" s="2"/>
      <x:c r="B1" s="2"/>
      <x:c r="C1" s="2"/>
      <x:c r="D1" s="2"/>
      <x:c r="E1" s="2"/>
      <x:c r="F1" s="2"/>
    </x:row>
    <x:row r="2" ht="24" customHeight="1">
      <x:c r="A2" s="3" t="str">
        <x:v>DAG de implementación · distinto de los ciclos de operación</x:v>
      </x:c>
      <x:c r="B2" s="2"/>
      <x:c r="C2" s="2"/>
      <x:c r="D2" s="2"/>
      <x:c r="E2" s="2"/>
      <x:c r="F2" s="2"/>
    </x:row>
    <x:row r="3" ht="24" customHeight="1">
      <x:c r="A3" s="4"/>
      <x:c r="B3" s="4"/>
      <x:c r="C3" s="4"/>
      <x:c r="D3" s="4"/>
      <x:c r="E3" s="4"/>
      <x:c r="F3" s="4"/>
    </x:row>
    <x:row r="4" ht="24" customHeight="1">
      <x:c r="A4" s="5" t="str">
        <x:v>Corte 19 oct 2026 · Inspección estática; propuestas no aprobadas ni desplegadas. Referencias path:line locales.</x:v>
      </x:c>
      <x:c r="B4" s="2"/>
      <x:c r="C4" s="2"/>
      <x:c r="D4" s="2"/>
      <x:c r="E4" s="2"/>
      <x:c r="F4" s="2"/>
    </x:row>
    <x:row r="5" ht="24" customHeight="1">
      <x:c r="A5" s="2"/>
      <x:c r="B5" s="2"/>
      <x:c r="C5" s="2"/>
      <x:c r="D5" s="2"/>
      <x:c r="E5" s="2"/>
      <x:c r="F5" s="2"/>
    </x:row>
    <x:row r="6" ht="24" customHeight="1">
      <x:c r="A6" s="2"/>
      <x:c r="B6" s="2"/>
      <x:c r="C6" s="2"/>
      <x:c r="D6" s="2"/>
      <x:c r="E6" s="2"/>
      <x:c r="F6" s="2"/>
    </x:row>
    <x:row r="7" ht="48" customHeight="1">
      <x:c r="A7" s="9" t="str">
        <x:v>ID</x:v>
      </x:c>
      <x:c r="B7" s="9" t="str">
        <x:v>Capacidad</x:v>
      </x:c>
      <x:c r="C7" s="9" t="str">
        <x:v>Ola</x:v>
      </x:c>
      <x:c r="D7" s="9" t="str">
        <x:v>Prerrequisitos</x:v>
      </x:c>
      <x:c r="E7" s="9" t="str">
        <x:v>Orden topológico</x:v>
      </x:c>
      <x:c r="F7" s="9" t="str">
        <x:v>Alcance mínimo / excepción</x:v>
      </x:c>
    </x:row>
    <x:row r="8" ht="207" customHeight="1">
      <x:c r="A8" s="11" t="str">
        <x:v>D01</x:v>
      </x:c>
      <x:c r="B8" s="11" t="str">
        <x:v>Project Governance &amp; Operational Setup</x:v>
      </x:c>
      <x:c r="C8" s="11" t="str">
        <x:v>O1</x:v>
      </x:c>
      <x:c r="D8" s="11" t="str">
        <x:v>Ninguno: raíz canónica</x:v>
      </x:c>
      <x:c r="E8" s="11" t="n">
        <x:v>1</x:v>
      </x:c>
      <x:c r="F8"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9" ht="207" customHeight="1">
      <x:c r="A9" s="11" t="str">
        <x:v>D02</x:v>
      </x:c>
      <x:c r="B9" s="11" t="str">
        <x:v>Scope Management</x:v>
      </x:c>
      <x:c r="C9" s="11" t="str">
        <x:v>O1</x:v>
      </x:c>
      <x:c r="D9" s="11" t="str">
        <x:v>D01, D14</x:v>
      </x:c>
      <x:c r="E9" s="11" t="n">
        <x:v>3</x:v>
      </x:c>
      <x:c r="F9"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10" ht="207" customHeight="1">
      <x:c r="A10" s="11" t="str">
        <x:v>D03</x:v>
      </x:c>
      <x:c r="B10" s="11" t="str">
        <x:v>Schedule Management</x:v>
      </x:c>
      <x:c r="C10" s="11" t="str">
        <x:v>O1</x:v>
      </x:c>
      <x:c r="D10" s="11" t="str">
        <x:v>D01, D02</x:v>
      </x:c>
      <x:c r="E10" s="11" t="n">
        <x:v>4</x:v>
      </x:c>
      <x:c r="F10"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11" ht="207" customHeight="1">
      <x:c r="A11" s="11" t="str">
        <x:v>D04</x:v>
      </x:c>
      <x:c r="B11" s="11" t="str">
        <x:v>Cost Management</x:v>
      </x:c>
      <x:c r="C11" s="11" t="str">
        <x:v>O1</x:v>
      </x:c>
      <x:c r="D11" s="11" t="str">
        <x:v>D01, D02</x:v>
      </x:c>
      <x:c r="E11" s="11" t="n">
        <x:v>5</x:v>
      </x:c>
      <x:c r="F11"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12" ht="207" customHeight="1">
      <x:c r="A12" s="11" t="str">
        <x:v>D05</x:v>
      </x:c>
      <x:c r="B12" s="11" t="str">
        <x:v>Resource &amp; Productivity Management</x:v>
      </x:c>
      <x:c r="C12" s="11" t="str">
        <x:v>O3</x:v>
      </x:c>
      <x:c r="D12" s="11" t="str">
        <x:v>D02, D03, D04, D06</x:v>
      </x:c>
      <x:c r="E12" s="11" t="n">
        <x:v>7</x:v>
      </x:c>
      <x:c r="F12"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13" ht="207" customHeight="1">
      <x:c r="A13" s="11" t="str">
        <x:v>D06</x:v>
      </x:c>
      <x:c r="B13" s="11" t="str">
        <x:v>Progress Management</x:v>
      </x:c>
      <x:c r="C13" s="11" t="str">
        <x:v>O1</x:v>
      </x:c>
      <x:c r="D13" s="11" t="str">
        <x:v>D02, D03, D04, D14</x:v>
      </x:c>
      <x:c r="E13" s="11" t="n">
        <x:v>6</x:v>
      </x:c>
      <x:c r="F13"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14" ht="207" customHeight="1">
      <x:c r="A14" s="11" t="str">
        <x:v>D07</x:v>
      </x:c>
      <x:c r="B14" s="11" t="str">
        <x:v>Forecast / ETC / EAC</x:v>
      </x:c>
      <x:c r="C14" s="11" t="str">
        <x:v>O1</x:v>
      </x:c>
      <x:c r="D14" s="11" t="str">
        <x:v>D03, D04, D06, D08, D09, D10</x:v>
      </x:c>
      <x:c r="E14" s="11" t="n">
        <x:v>11</x:v>
      </x:c>
      <x:c r="F14"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15" ht="207" customHeight="1">
      <x:c r="A15" s="11" t="str">
        <x:v>D08</x:v>
      </x:c>
      <x:c r="B15" s="11" t="str">
        <x:v>Change Management</x:v>
      </x:c>
      <x:c r="C15" s="11" t="str">
        <x:v>O1</x:v>
      </x:c>
      <x:c r="D15" s="11" t="str">
        <x:v>D02, D03, D04, D14</x:v>
      </x:c>
      <x:c r="E15" s="11" t="n">
        <x:v>8</x:v>
      </x:c>
      <x:c r="F15"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16" ht="207" customHeight="1">
      <x:c r="A16" s="11" t="str">
        <x:v>D09</x:v>
      </x:c>
      <x:c r="B16" s="11" t="str">
        <x:v>Risk Management</x:v>
      </x:c>
      <x:c r="C16" s="11" t="str">
        <x:v>O1</x:v>
      </x:c>
      <x:c r="D16" s="11" t="str">
        <x:v>D01, D02, D14</x:v>
      </x:c>
      <x:c r="E16" s="11" t="n">
        <x:v>9</x:v>
      </x:c>
      <x:c r="F16"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17" ht="207" customHeight="1">
      <x:c r="A17" s="11" t="str">
        <x:v>D10</x:v>
      </x:c>
      <x:c r="B17" s="11" t="str">
        <x:v>Issue Management</x:v>
      </x:c>
      <x:c r="C17" s="11" t="str">
        <x:v>O1</x:v>
      </x:c>
      <x:c r="D17" s="11" t="str">
        <x:v>D01, D14</x:v>
      </x:c>
      <x:c r="E17" s="11" t="n">
        <x:v>10</x:v>
      </x:c>
      <x:c r="F17"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18" ht="207" customHeight="1">
      <x:c r="A18" s="11" t="str">
        <x:v>D11</x:v>
      </x:c>
      <x:c r="B18" s="11" t="str">
        <x:v>Procurement Management</x:v>
      </x:c>
      <x:c r="C18" s="11" t="str">
        <x:v>O2</x:v>
      </x:c>
      <x:c r="D18" s="11" t="str">
        <x:v>D02, D03, D04, D14</x:v>
      </x:c>
      <x:c r="E18" s="11" t="n">
        <x:v>12</x:v>
      </x:c>
      <x:c r="F18"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19" ht="207" customHeight="1">
      <x:c r="A19" s="11" t="str">
        <x:v>D12</x:v>
      </x:c>
      <x:c r="B19" s="11" t="str">
        <x:v>Commitments / Contract Administration</x:v>
      </x:c>
      <x:c r="C19" s="11" t="str">
        <x:v>O2</x:v>
      </x:c>
      <x:c r="D19" s="11" t="str">
        <x:v>D01, D04, D11, D14</x:v>
      </x:c>
      <x:c r="E19" s="11" t="n">
        <x:v>13</x:v>
      </x:c>
      <x:c r="F19"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20" ht="207" customHeight="1">
      <x:c r="A20" s="11" t="str">
        <x:v>D13</x:v>
      </x:c>
      <x:c r="B20" s="11" t="str">
        <x:v>Engineering &amp; Design Management</x:v>
      </x:c>
      <x:c r="C20" s="11" t="str">
        <x:v>O2</x:v>
      </x:c>
      <x:c r="D20" s="11" t="str">
        <x:v>D02, D03, D14</x:v>
      </x:c>
      <x:c r="E20" s="11" t="n">
        <x:v>14</x:v>
      </x:c>
      <x:c r="F20"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21" ht="207" customHeight="1">
      <x:c r="A21" s="11" t="str">
        <x:v>D14</x:v>
      </x:c>
      <x:c r="B21" s="11" t="str">
        <x:v>Document &amp; Information Management</x:v>
      </x:c>
      <x:c r="C21" s="11" t="str">
        <x:v>O1</x:v>
      </x:c>
      <x:c r="D21" s="11" t="str">
        <x:v>D01</x:v>
      </x:c>
      <x:c r="E21" s="11" t="n">
        <x:v>2</x:v>
      </x:c>
      <x:c r="F21"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22" ht="207" customHeight="1">
      <x:c r="A22" s="11" t="str">
        <x:v>D15</x:v>
      </x:c>
      <x:c r="B22" s="11" t="str">
        <x:v>Interface Management</x:v>
      </x:c>
      <x:c r="C22" s="11" t="str">
        <x:v>O2</x:v>
      </x:c>
      <x:c r="D22" s="11" t="str">
        <x:v>D10, D12, D13, D14</x:v>
      </x:c>
      <x:c r="E22" s="11" t="n">
        <x:v>15</x:v>
      </x:c>
      <x:c r="F22"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23" ht="207" customHeight="1">
      <x:c r="A23" s="11" t="str">
        <x:v>D16</x:v>
      </x:c>
      <x:c r="B23" s="11" t="str">
        <x:v>Construction / Field Management</x:v>
      </x:c>
      <x:c r="C23" s="11" t="str">
        <x:v>O3</x:v>
      </x:c>
      <x:c r="D23" s="11" t="str">
        <x:v>D02, D03, D05, D06, D12, D13, D15, D17, D18</x:v>
      </x:c>
      <x:c r="E23" s="11" t="n">
        <x:v>18</x:v>
      </x:c>
      <x:c r="F23"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24" ht="207" customHeight="1">
      <x:c r="A24" s="11" t="str">
        <x:v>D17</x:v>
      </x:c>
      <x:c r="B24" s="11" t="str">
        <x:v>Quality Management</x:v>
      </x:c>
      <x:c r="C24" s="11" t="str">
        <x:v>O3</x:v>
      </x:c>
      <x:c r="D24" s="11" t="str">
        <x:v>D02, D13, D14</x:v>
      </x:c>
      <x:c r="E24" s="11" t="n">
        <x:v>16</x:v>
      </x:c>
      <x:c r="F24"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25" ht="207" customHeight="1">
      <x:c r="A25" s="11" t="str">
        <x:v>D18</x:v>
      </x:c>
      <x:c r="B25" s="11" t="str">
        <x:v>HSE Management</x:v>
      </x:c>
      <x:c r="C25" s="11" t="str">
        <x:v>O3</x:v>
      </x:c>
      <x:c r="D25" s="11" t="str">
        <x:v>D01, D09, D14</x:v>
      </x:c>
      <x:c r="E25" s="11" t="n">
        <x:v>17</x:v>
      </x:c>
      <x:c r="F25"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26" ht="207" customHeight="1">
      <x:c r="A26" s="11" t="str">
        <x:v>D19</x:v>
      </x:c>
      <x:c r="B26" s="11" t="str">
        <x:v>Project Controls &amp; Reporting</x:v>
      </x:c>
      <x:c r="C26" s="11" t="str">
        <x:v>O1</x:v>
      </x:c>
      <x:c r="D26" s="11" t="str">
        <x:v>D02, D03, D04, D06, D07, D08, D09, D10</x:v>
      </x:c>
      <x:c r="E26" s="11" t="n">
        <x:v>19</x:v>
      </x:c>
      <x:c r="F26"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27" ht="207" customHeight="1">
      <x:c r="A27" s="11" t="str">
        <x:v>D20</x:v>
      </x:c>
      <x:c r="B27" s="11" t="str">
        <x:v>Claims / Delay / Forensic Analysis</x:v>
      </x:c>
      <x:c r="C27" s="11" t="str">
        <x:v>O4</x:v>
      </x:c>
      <x:c r="D27" s="11" t="str">
        <x:v>D03, D04, D08, D12, D14</x:v>
      </x:c>
      <x:c r="E27" s="11" t="n">
        <x:v>20</x:v>
      </x:c>
      <x:c r="F27"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28" ht="207" customHeight="1">
      <x:c r="A28" s="11" t="str">
        <x:v>D21</x:v>
      </x:c>
      <x:c r="B28" s="11" t="str">
        <x:v>Commissioning</x:v>
      </x:c>
      <x:c r="C28" s="11" t="str">
        <x:v>O4</x:v>
      </x:c>
      <x:c r="D28" s="11" t="str">
        <x:v>D14, D16, D17, D18</x:v>
      </x:c>
      <x:c r="E28" s="11" t="n">
        <x:v>21</x:v>
      </x:c>
      <x:c r="F28"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29" ht="207" customHeight="1">
      <x:c r="A29" s="11" t="str">
        <x:v>D22</x:v>
      </x:c>
      <x:c r="B29" s="11" t="str">
        <x:v>Handover</x:v>
      </x:c>
      <x:c r="C29" s="11" t="str">
        <x:v>O4</x:v>
      </x:c>
      <x:c r="D29" s="11" t="str">
        <x:v>D14, D21, D23</x:v>
      </x:c>
      <x:c r="E29" s="11" t="n">
        <x:v>23</x:v>
      </x:c>
      <x:c r="F29"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30" ht="207" customHeight="1">
      <x:c r="A30" s="11" t="str">
        <x:v>D23</x:v>
      </x:c>
      <x:c r="B30" s="11" t="str">
        <x:v>Operational Readiness</x:v>
      </x:c>
      <x:c r="C30" s="11" t="str">
        <x:v>O4</x:v>
      </x:c>
      <x:c r="D30" s="11" t="str">
        <x:v>D01, D14, D17, D18, D21</x:v>
      </x:c>
      <x:c r="E30" s="11" t="n">
        <x:v>22</x:v>
      </x:c>
      <x:c r="F30"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31" ht="207" customHeight="1">
      <x:c r="A31" s="11" t="str">
        <x:v>D24</x:v>
      </x:c>
      <x:c r="B31" s="11" t="str">
        <x:v>Project Closeout</x:v>
      </x:c>
      <x:c r="C31" s="11" t="str">
        <x:v>O4</x:v>
      </x:c>
      <x:c r="D31" s="11" t="str">
        <x:v>D03, D04, D12, D14, D20, D22, D25</x:v>
      </x:c>
      <x:c r="E31" s="11" t="n">
        <x:v>25</x:v>
      </x:c>
      <x:c r="F31"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row r="32" ht="207" customHeight="1">
      <x:c r="A32" s="11" t="str">
        <x:v>D25</x:v>
      </x:c>
      <x:c r="B32" s="11" t="str">
        <x:v>Asset Handover / Transition</x:v>
      </x:c>
      <x:c r="C32" s="11" t="str">
        <x:v>O4</x:v>
      </x:c>
      <x:c r="D32" s="11" t="str">
        <x:v>D01, D14, D22, D23</x:v>
      </x:c>
      <x:c r="E32" s="11" t="n">
        <x:v>24</x:v>
      </x:c>
      <x:c r="F32" s="11" t="str">
        <x:v>Para Project Types donde un dominio no aplica, usar referencia/estado NOT_APPLICABLE con razón aprobada; no fabricar objetos ni exigir commissioning/HSE/claim innecesarios. D14 evidence minimum moves to O1. D05 minimal rates/hours reused O1, full productivity O3. D17/D18 source/readiness contracts precede D16 field release although all full execution is O3. D20 historical engines retained throughout; integration hardening O4.</x:v>
      </x:c>
    </x:row>
  </x:sheetData>
  <x:pageMargins left="0.7" right="0.7" top="0.75" bottom="0.75" header="0.3" footer="0.3"/>
  <x:tableParts count="1">
    <x:tablePart xmlns:r="http://schemas.openxmlformats.org/officeDocument/2006/relationships" r:id="Ra9a33ab689274629"/>
  </x:tableParts>
</x:worksheet>
</file>

<file path=xl/worksheets/sheet11.xml><?xml version="1.0" encoding="utf-8"?>
<x:worksheet xmlns:x="http://schemas.openxmlformats.org/spreadsheetml/2006/main">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 min="7" max="7" width="36" hidden="0" customWidth="1"/>
  </x:cols>
  <x:sheetData>
    <x:row r="1" ht="24" customHeight="1">
      <x:c r="A1" s="2"/>
      <x:c r="B1" s="2"/>
      <x:c r="C1" s="2"/>
      <x:c r="D1" s="2"/>
      <x:c r="E1" s="2"/>
      <x:c r="F1" s="2"/>
      <x:c r="G1" s="2"/>
    </x:row>
    <x:row r="2" ht="24" customHeight="1">
      <x:c r="A2" s="3" t="str">
        <x:v>Candidatos legacy · ningún borrado autorizado</x:v>
      </x:c>
      <x:c r="B2" s="2"/>
      <x:c r="C2" s="2"/>
      <x:c r="D2" s="2"/>
      <x:c r="E2" s="2"/>
      <x:c r="F2" s="2"/>
      <x:c r="G2" s="2"/>
    </x:row>
    <x:row r="3" ht="24" customHeight="1">
      <x:c r="A3" s="4"/>
      <x:c r="B3" s="4"/>
      <x:c r="C3" s="4"/>
      <x:c r="D3" s="4"/>
      <x:c r="E3" s="4"/>
      <x:c r="F3" s="4"/>
      <x:c r="G3" s="4"/>
    </x:row>
    <x:row r="4" ht="24" customHeight="1">
      <x:c r="A4" s="5" t="str">
        <x:v>Corte 19 oct 2026 · Inspección estática; propuestas no aprobadas ni desplegadas. Referencias path:line locales.</x:v>
      </x:c>
      <x:c r="B4" s="2"/>
      <x:c r="C4" s="2"/>
      <x:c r="D4" s="2"/>
      <x:c r="E4" s="2"/>
      <x:c r="F4" s="2"/>
      <x:c r="G4" s="2"/>
    </x:row>
    <x:row r="5" ht="24" customHeight="1">
      <x:c r="A5" s="2"/>
      <x:c r="B5" s="2"/>
      <x:c r="C5" s="2"/>
      <x:c r="D5" s="2"/>
      <x:c r="E5" s="2"/>
      <x:c r="F5" s="2"/>
      <x:c r="G5" s="2"/>
    </x:row>
    <x:row r="6" ht="24" customHeight="1">
      <x:c r="A6" s="2"/>
      <x:c r="B6" s="2"/>
      <x:c r="C6" s="2"/>
      <x:c r="D6" s="2"/>
      <x:c r="E6" s="2"/>
      <x:c r="F6" s="2"/>
      <x:c r="G6" s="2"/>
    </x:row>
    <x:row r="7" ht="48" customHeight="1">
      <x:c r="A7" s="9" t="str">
        <x:v>ID</x:v>
      </x:c>
      <x:c r="B7" s="9" t="str">
        <x:v>Componente</x:v>
      </x:c>
      <x:c r="C7" s="9" t="str">
        <x:v>Decisión</x:v>
      </x:c>
      <x:c r="D7" s="9" t="str">
        <x:v>Razón / estado</x:v>
      </x:c>
      <x:c r="E7" s="9" t="str">
        <x:v>Evidencia</x:v>
      </x:c>
      <x:c r="F7" s="9" t="str">
        <x:v>Acción ejecutada</x:v>
      </x:c>
      <x:c r="G7" s="9" t="str">
        <x:v>Condición futura</x:v>
      </x:c>
    </x:row>
    <x:row r="8" ht="117" customHeight="1">
      <x:c r="A8" s="11" t="str">
        <x:v>LEG-BE-01</x:v>
      </x:c>
      <x:c r="B8" s="11" t="str">
        <x:v>backend/app/services/schedule_parser.py</x:v>
      </x:c>
      <x:c r="C8" s="11" t="str">
        <x:v>REQUIRES_DEPRECATION</x:v>
      </x:c>
      <x:c r="D8" s="11" t="str">
        <x:v>No app consumer was found beyond its own definitions; tests import it and its public contract differs from canonical ingestion. Retain until compatibility, external consumer and deprecation review completes. No deletion authorized.</x:v>
      </x:c>
      <x:c r="E8" s="11" t="str">
        <x:v>backend/app/services/schedule_parser.py:1
backend/tests/test_schedule_parser.py:3
backend/app/api/v1/router.py:302
backend/app/api/v1/routers/projects.py:121</x:v>
      </x:c>
      <x:c r="F8" s="11" t="str">
        <x:v>No eliminado</x:v>
      </x:c>
      <x:c r="G8" s="11" t="str">
        <x:v>Revisión de consumidores externos/paridad/deprecación antes de cualquier limpieza.</x:v>
      </x:c>
    </x:row>
    <x:row r="9" ht="102" customHeight="1">
      <x:c r="A9" s="11" t="str">
        <x:v>LEG-BE-02</x:v>
      </x:c>
      <x:c r="B9" s="11" t="str">
        <x:v>projects legacy aggregate and /projects creation API</x:v>
      </x:c>
      <x:c r="C9" s="11" t="str">
        <x:v>KEEP</x:v>
      </x:c>
      <x:c r="D9" s="11" t="str">
        <x:v>Actively anchors operational foreign keys and records. Canonical workspace materialization deliberately does not create it; neither duplicate nor delete based on the word legacy.</x:v>
      </x:c>
      <x:c r="E9" s="11" t="str">
        <x:v>backend/app/domain/models.py:79
backend/app/api/v1/routers/projects.py:146
backend/tests/test_project_creation_process.py:642</x:v>
      </x:c>
      <x:c r="F9" s="11" t="str">
        <x:v>No eliminado</x:v>
      </x:c>
      <x:c r="G9" s="11" t="str">
        <x:v>Revisión de consumidores externos/paridad/deprecación antes de cualquier limpieza.</x:v>
      </x:c>
    </x:row>
    <x:row r="10" ht="87" customHeight="1">
      <x:c r="A10" s="11" t="str">
        <x:v>LEG-BE-03</x:v>
      </x:c>
      <x:c r="B10" s="11" t="str">
        <x:v>resources minimal operational table</x:v>
      </x:c>
      <x:c r="C10" s="11" t="str">
        <x:v>KEEP</x:v>
      </x:c>
      <x:c r="D10" s="11" t="str">
        <x:v>Existing schema and seeded data are a foundation for a future bounded context. Lack of rich APIs is not proof that safe removal is possible.</x:v>
      </x:c>
      <x:c r="E10" s="11" t="str">
        <x:v>backend/app/domain/models.py:1036
backend/app/database/seed.py:3264</x:v>
      </x:c>
      <x:c r="F10" s="11" t="str">
        <x:v>No eliminado</x:v>
      </x:c>
      <x:c r="G10" s="11" t="str">
        <x:v>Revisión de consumidores externos/paridad/deprecación antes de cualquier limpieza.</x:v>
      </x:c>
    </x:row>
    <x:row r="11" ht="102" customHeight="1">
      <x:c r="A11" s="11" t="str">
        <x:v>LEG-BE-04</x:v>
      </x:c>
      <x:c r="B11" s="11" t="str">
        <x:v>Budget, CostCode and ControlAccount monetary fields</x:v>
      </x:c>
      <x:c r="C11" s="11" t="str">
        <x:v>KEEP</x:v>
      </x:c>
      <x:c r="D11" s="11" t="str">
        <x:v>Multiple current writers and readers exist. Reconcile authority with an incremental plan; deletion would risk cost sheet, EVM, integrated control and historical records.</x:v>
      </x:c>
      <x:c r="E11" s="11" t="str">
        <x:v>backend/app/domain/models.py:714
backend/app/domain/models.py:1048
backend/app/domain/models.py:1151
backend/app/api/v1/router.py:5758</x:v>
      </x:c>
      <x:c r="F11" s="11" t="str">
        <x:v>No eliminado</x:v>
      </x:c>
      <x:c r="G11" s="11" t="str">
        <x:v>Revisión de consumidores externos/paridad/deprecación antes de cualquier limpieza.</x:v>
      </x:c>
    </x:row>
    <x:row r="12" ht="102" customHeight="1">
      <x:c r="A12" s="11" t="str">
        <x:v>LEG-BE-05</x:v>
      </x:c>
      <x:c r="B12" s="11" t="str">
        <x:v>APU/BIM budget assignment JSON and relational control links</x:v>
      </x:c>
      <x:c r="C12" s="11" t="str">
        <x:v>KEEP</x:v>
      </x:c>
      <x:c r="D12" s="11" t="str">
        <x:v>These are actively consumed source/controlled assignment records. Future governed financial publication should reference them and preserve evidence.</x:v>
      </x:c>
      <x:c r="E12" s="11" t="str">
        <x:v>backend/app/domain/models.py:312
backend/app/api/v1/routers/projects.py:1165
backend/app/api/v1/routers/projects.py:1558
frontend/src/lib/bimBudget.ts:115</x:v>
      </x:c>
      <x:c r="F12" s="11" t="str">
        <x:v>No eliminado</x:v>
      </x:c>
      <x:c r="G12" s="11" t="str">
        <x:v>Revisión de consumidores externos/paridad/deprecación antes de cualquier limpieza.</x:v>
      </x:c>
    </x:row>
    <x:row r="13" ht="87" customHeight="1">
      <x:c r="A13" s="11" t="str">
        <x:v>LEG-BE-06</x:v>
      </x:c>
      <x:c r="B13" s="11" t="str">
        <x:v>External consumers of operational APIs and standalone parser</x:v>
      </x:c>
      <x:c r="C13" s="11" t="str">
        <x:v>UNKNOWN</x:v>
      </x:c>
      <x:c r="D13" s="11" t="str">
        <x:v>Repository-local search cannot establish contracts used by deployed integrations, downloaded scripts or external clients. No safe-to-remove assertion.</x:v>
      </x:c>
      <x:c r="E13" s="11" t="str">
        <x:v>backend/app/api/v1/router.py:4837
backend/app/services/schedule_parser.py:1</x:v>
      </x:c>
      <x:c r="F13" s="11" t="str">
        <x:v>No eliminado</x:v>
      </x:c>
      <x:c r="G13" s="11" t="str">
        <x:v>Revisión de consumidores externos/paridad/deprecación antes de cualquier limpieza.</x:v>
      </x:c>
    </x:row>
    <x:row r="14" ht="327" customHeight="1">
      <x:c r="A14" s="11" t="str">
        <x:v>CLEAN-FE-01</x:v>
      </x:c>
      <x:c r="B14" s="11" t="str">
        <x:v>frontend/src/views/ScheduleView.tsx:4
frontend/src/views/CostView.tsx:4
frontend/src/views/ChangesView.tsx:4
frontend/src/views/ClaimsView.tsx:4
frontend/src/views/ContractsView.tsx:4
frontend/src/views/RfqView.tsx:4
frontend/src/views/DocumentsView.tsx:4
frontend/src/views/AwpView.tsx:4
frontend/src/views/BusinessProcessesView.tsx:6
frontend/src/views/DashboardView.tsx:9
frontend/src/views/RoadmapView.tsx:5
frontend/src/views/AdminView.tsx:4</x:v>
      </x:c>
      <x:c r="C14" s="11" t="str">
        <x:v>REQUIRES_DEPRECATION</x:v>
      </x:c>
      <x:c r="D14" s="11" t="str">
        <x:v>Not live mounted today, but historical functionality/forms differ from current inline views and may support recovery/reference or external consumers. Removing requires import/build coverage, route compatibility review, business parity approval and prior deprecation, not architecture-only deletion.</x:v>
      </x:c>
      <x:c r="E14" s="11" t="str">
        <x:v>Static import-name/path search across frontend src/tests/e2e excluding node_modules and dist found declarations only; App imports only LoginView from views and renders operational JSX inline. These files consume legacy WorkspaceView/AppShellCtx and contain older forms and labels.</x:v>
      </x:c>
      <x:c r="F14" s="11" t="str">
        <x:v>No eliminado</x:v>
      </x:c>
      <x:c r="G14" s="11" t="str">
        <x:v>Validar rutas, uso, compatibilidad y paridad antes de deprecar.</x:v>
      </x:c>
    </x:row>
    <x:row r="15" ht="102" customHeight="1">
      <x:c r="A15" s="11" t="str">
        <x:v>CLEAN-FE-02</x:v>
      </x:c>
      <x:c r="B15" s="11" t="str">
        <x:v>frontend/src/components/Sidebar.tsx:3
frontend/src/components/AppShellCtx.ts:16
frontend/src/types/index.ts:1</x:v>
      </x:c>
      <x:c r="C15" s="11" t="str">
        <x:v>REQUIRES_DEPRECATION</x:v>
      </x:c>
      <x:c r="D15" s="11" t="str">
        <x:v>Unused from current App entry, but coupled legacy cluster must be deprecated coherently after reference/build verification; old WorkspaceView cannot be removed in isolation.</x:v>
      </x:c>
      <x:c r="E15" s="11" t="str">
        <x:v>Sidebar references the legacy context; legacy view files also consume AppShellCtx. Current App uses ModuleNavigationItems/Groups and ControlFlowView instead.</x:v>
      </x:c>
      <x:c r="F15" s="11" t="str">
        <x:v>No eliminado</x:v>
      </x:c>
      <x:c r="G15" s="11" t="str">
        <x:v>Validar rutas, uso, compatibilidad y paridad antes de deprecar.</x:v>
      </x:c>
    </x:row>
    <x:row r="16" ht="87" customHeight="1">
      <x:c r="A16" s="11" t="str">
        <x:v>CLEAN-FE-03</x:v>
      </x:c>
      <x:c r="B16" s="11" t="str">
        <x:v>frontend/src/navigation/applicationNavigation.ts:364
frontend/src/navigation/applicationNavigation.ts:440</x:v>
      </x:c>
      <x:c r="C16" s="11" t="str">
        <x:v>KEEP</x:v>
      </x:c>
      <x:c r="D16" s="11" t="str">
        <x:v>Label duplication is not proven business authority duplication. Contractor sales commitments and buyer procurement must retain applicability until explicitly mapped.</x:v>
      </x:c>
      <x:c r="E16" s="11" t="str">
        <x:v>Separate Commitments and Procurement branches both have Purchase Order labels.</x:v>
      </x:c>
      <x:c r="F16" s="11" t="str">
        <x:v>No eliminado</x:v>
      </x:c>
      <x:c r="G16" s="11" t="str">
        <x:v>Validar rutas, uso, compatibilidad y paridad antes de deprecar.</x:v>
      </x:c>
    </x:row>
    <x:row r="17" ht="72" customHeight="1">
      <x:c r="A17" s="11" t="str">
        <x:v>CLEAN-FE-04</x:v>
      </x:c>
      <x:c r="B17" s="11" t="str">
        <x:v>frontend/src/components/BimIfcModelViewer.tsx:1
frontend/src/components/ProjectControlsHandbook.tsx:554</x:v>
      </x:c>
      <x:c r="C17" s="11" t="str">
        <x:v>KEEP</x:v>
      </x:c>
      <x:c r="D17" s="11" t="str">
        <x:v>Large files are active capabilities. Future extraction into domain helpers is not permission to rewrite or delete.</x:v>
      </x:c>
      <x:c r="E17" s="11" t="str">
        <x:v>Both are imported/rendered by current App; test suites target actual helpers and controls.</x:v>
      </x:c>
      <x:c r="F17" s="11" t="str">
        <x:v>No eliminado</x:v>
      </x:c>
      <x:c r="G17" s="11" t="str">
        <x:v>Validar rutas, uso, compatibilidad y paridad antes de deprecar.</x:v>
      </x:c>
    </x:row>
    <x:row r="18" ht="102" customHeight="1">
      <x:c r="A18" s="11" t="str">
        <x:v>CLEAN-FE-05</x:v>
      </x:c>
      <x:c r="B18" s="11" t="str">
        <x:v>frontend/src/App.tsx:7009
frontend/src/App.tsx:7282
frontend/src/App.tsx:3757</x:v>
      </x:c>
      <x:c r="C18" s="11" t="str">
        <x:v>UNKNOWN</x:v>
      </x:c>
      <x:c r="D18" s="11" t="str">
        <x:v>Potentially unreachable/redirected live branches require controlled browser deep-link/flow validation and usage audit. Do not delete or claim complete exposed functionality from source JSX.</x:v>
      </x:c>
      <x:c r="E18" s="11" t="str">
        <x:v>baseline and evidence render branches and internal information-flow targets exist, but keys are absent from current navigation flattening used by focusedControlView.</x:v>
      </x:c>
      <x:c r="F18" s="11" t="str">
        <x:v>No eliminado</x:v>
      </x:c>
      <x:c r="G18" s="11" t="str">
        <x:v>Validar rutas, uso, compatibilidad y paridad antes de deprecar.</x:v>
      </x:c>
    </x:row>
    <x:row r="19" ht="72" customHeight="1">
      <x:c r="A19" s="11" t="str">
        <x:v>CLEAN-FE-06</x:v>
      </x:c>
      <x:c r="B19" s="11" t="str">
        <x:v>frontend/src/navigation/applicationNavigation.ts:626
frontend/src/App.tsx:4284</x:v>
      </x:c>
      <x:c r="C19" s="11" t="str">
        <x:v>KEEP</x:v>
      </x:c>
      <x:c r="D19" s="11" t="str">
        <x:v>Intentional placeholders preserve user-approved module catalog. Reclassify as planned, not dead routes or implemented capability.</x:v>
      </x:c>
      <x:c r="E19" s="11" t="str">
        <x:v>Explicit empty-view set renders configured module names only.</x:v>
      </x:c>
      <x:c r="F19" s="11" t="str">
        <x:v>No eliminado</x:v>
      </x:c>
      <x:c r="G19" s="11" t="str">
        <x:v>Validar rutas, uso, compatibilidad y paridad antes de deprecar.</x:v>
      </x:c>
    </x:row>
    <x:row r="20" ht="87" customHeight="1">
      <x:c r="A20" s="11" t="str">
        <x:v>LEG-PH-C01</x:v>
      </x:c>
      <x:c r="B20" s="11" t="str">
        <x:v>Partners / Join Venture</x:v>
      </x:c>
      <x:c r="C20" s="11" t="str">
        <x:v>KEEP</x:v>
      </x:c>
      <x:c r="D20" s="11" t="str">
        <x:v>Navigation placeholder; no implemented normalized partner master established by inspected operational schema/API/test paths.</x:v>
      </x:c>
      <x:c r="E20" s="11" t="str">
        <x:v>frontend/src/navigation/applicationNavigation.ts:354
frontend/src/navigation/applicationNavigation.ts:630
frontend/src/App.tsx:4284</x:v>
      </x:c>
      <x:c r="F20" s="11" t="str">
        <x:v>No eliminado</x:v>
      </x:c>
      <x:c r="G20" s="11" t="str">
        <x:v>SHARED MASTER DATA</x:v>
      </x:c>
    </x:row>
    <x:row r="21" ht="117" customHeight="1">
      <x:c r="A21" s="11" t="str">
        <x:v>LEG-PH-C02</x:v>
      </x:c>
      <x:c r="B21" s="11" t="str">
        <x:v>Vendors / Vendors List</x:v>
      </x:c>
      <x:c r="C21" s="11" t="str">
        <x:v>KEEP</x:v>
      </x:c>
      <x:c r="D21" s="11" t="str">
        <x:v>Reserved menu. PO.vendor, Contract.counterparty and RFQBid.bidder_name are strings, not shared Party foreign keys.</x:v>
      </x:c>
      <x:c r="E21" s="11" t="str">
        <x:v>frontend/src/navigation/applicationNavigation.ts:359
frontend/src/navigation/applicationNavigation.ts:631
backend/app/domain/models.py:1410
backend/app/domain/models.py:1535
backend/app/domain/models.py:1620</x:v>
      </x:c>
      <x:c r="F21" s="11" t="str">
        <x:v>No eliminado</x:v>
      </x:c>
      <x:c r="G21" s="11" t="str">
        <x:v>SHARED MASTER DATA</x:v>
      </x:c>
    </x:row>
    <x:row r="22" ht="102" customHeight="1">
      <x:c r="A22" s="11" t="str">
        <x:v>LEG-PH-C03</x:v>
      </x:c>
      <x:c r="B22" s="11" t="str">
        <x:v>Commitments / Sales Contracts / SC Changes / SC Payments menu</x:v>
      </x:c>
      <x:c r="C22" s="11" t="str">
        <x:v>REQUIRES_DEPRECATION</x:v>
      </x:c>
      <x:c r="D22" s="11" t="str">
        <x:v>Labels reserved; do not infer a distinct sales-contract, AR or change/payment lifecycle. Contract register lacks explicit revenue-versus-spend direction in inspected schema.</x:v>
      </x:c>
      <x:c r="E22" s="11" t="str">
        <x:v>frontend/src/navigation/applicationNavigation.ts:364
frontend/src/navigation/applicationNavigation.ts:632
backend/app/domain/models.py:1400</x:v>
      </x:c>
      <x:c r="F22" s="11" t="str">
        <x:v>No eliminado</x:v>
      </x:c>
      <x:c r="G22" s="11" t="str">
        <x:v>MOVE / REUSE OPERATIONAL</x:v>
      </x:c>
    </x:row>
    <x:row r="23" ht="162" customHeight="1">
      <x:c r="A23" s="11" t="str">
        <x:v>LEG-PH-C04</x:v>
      </x:c>
      <x:c r="B23" s="11" t="str">
        <x:v>Purchase Order menus in Commitments and Procurement</x:v>
      </x:c>
      <x:c r="C23" s="11" t="str">
        <x:v>REQUIRES_DEPRECATION</x:v>
      </x:c>
      <x:c r="D23" s="11" t="str">
        <x:v>Two reserved menu concepts, one existing PurchaseOrder table/API authority. Deprecation applies to duplicate authority/navigation concept, not removal of the existing API/table.</x:v>
      </x:c>
      <x:c r="E23" s="11" t="str">
        <x:v>frontend/src/navigation/applicationNavigation.ts:370
frontend/src/navigation/applicationNavigation.ts:447
frontend/src/navigation/applicationNavigation.ts:635
frontend/src/navigation/applicationNavigation.ts:654
backend/app/domain/models.py:1524
backend/app/api/v1/router.py:2640</x:v>
      </x:c>
      <x:c r="F23" s="11" t="str">
        <x:v>No eliminado</x:v>
      </x:c>
      <x:c r="G23" s="11" t="str">
        <x:v>DEPRECATE</x:v>
      </x:c>
    </x:row>
    <x:row r="24" ht="222" customHeight="1">
      <x:c r="A24" s="11" t="str">
        <x:v>LEG-PH-C05</x:v>
      </x:c>
      <x:c r="B24" s="11" t="str">
        <x:v>RFQ packages / bids / weighted evaluation</x:v>
      </x:c>
      <x:c r="C24" s="11" t="str">
        <x:v>KEEP</x:v>
      </x:c>
      <x:c r="D24" s="11" t="str">
        <x:v>Real versioned backend package/bid CRUD, membership checks, optimistic version and audit; hardcoded 35/35/15/15 weights and highest-score summary are not governed award approval. Reserved request-for-bid navigation is not a complete sourcing workspace.</x:v>
      </x:c>
      <x:c r="E24" s="11" t="str">
        <x:v>backend/app/domain/models.py:1591
backend/app/domain/models.py:1613
backend/app/api/v1/routers/rfq.py:63
backend/app/api/v1/routers/rfq.py:108
backend/app/api/v1/routers/rfq.py:133
backend/app/api/v1/routers/rfq.py:190
backend/tests/test_api_smoke.py:293
frontend/src/navigation/applicationNavigation.ts:650</x:v>
      </x:c>
      <x:c r="F24" s="11" t="str">
        <x:v>No eliminado</x:v>
      </x:c>
      <x:c r="G24" s="11" t="str">
        <x:v>MOVE / REUSE OPERATIONAL</x:v>
      </x:c>
    </x:row>
    <x:row r="25" ht="117" customHeight="1">
      <x:c r="A25" s="11" t="str">
        <x:v>LEG-PH-C06</x:v>
      </x:c>
      <x:c r="B25" s="11" t="str">
        <x:v>Procurement Plan / Requisition / RFP / approved award workflow</x:v>
      </x:c>
      <x:c r="C25" s="11" t="str">
        <x:v>UNKNOWN</x:v>
      </x:c>
      <x:c r="D25" s="11" t="str">
        <x:v>RFQPackage procurement_method and bid summary are reusable primitives; a complete governed requisition, package plan, award SoD and award-to-contract link is not demonstrated.</x:v>
      </x:c>
      <x:c r="E25" s="11" t="str">
        <x:v>backend/app/domain/models.py:1601
backend/app/api/v1/routers/rfq.py:63
backend/app/domain/process_catalog.py:285
backend/app/domain/process_catalog.py:331</x:v>
      </x:c>
      <x:c r="F25" s="11" t="str">
        <x:v>No eliminado</x:v>
      </x:c>
      <x:c r="G25" s="11" t="str">
        <x:v>FUTURE</x:v>
      </x:c>
    </x:row>
    <x:row r="26" ht="132" customHeight="1">
      <x:c r="A26" s="11" t="str">
        <x:v>LEG-PH-C07</x:v>
      </x:c>
      <x:c r="B26" s="11" t="str">
        <x:v>Contracts / original value / Contract Administration display</x:v>
      </x:c>
      <x:c r="C26" s="11" t="str">
        <x:v>KEEP</x:v>
      </x:c>
      <x:c r="D26" s="11" t="str">
        <x:v>Existing Contract has unique tenant/project/code, FBS/control account, type/value/status and real create API. Display exists; approved value-history, formal amendment/award authorization and canonical Workspace binding need future design.</x:v>
      </x:c>
      <x:c r="E26" s="11" t="str">
        <x:v>backend/app/domain/models.py:1400
backend/app/api/v1/router.py:2370
frontend/src/views/ContractsView.tsx:11
backend/tests/test_integrated_control.py:40
backend/tests/test_api_smoke.py:243</x:v>
      </x:c>
      <x:c r="F26" s="11" t="str">
        <x:v>No eliminado</x:v>
      </x:c>
      <x:c r="G26" s="11" t="str">
        <x:v>MOVE / REUSE OPERATIONAL</x:v>
      </x:c>
    </x:row>
    <x:row r="27" ht="117" customHeight="1">
      <x:c r="A27" s="11" t="str">
        <x:v>LEG-PH-C08</x:v>
      </x:c>
      <x:c r="B27" s="11" t="str">
        <x:v>PurchaseOrder register</x:v>
      </x:c>
      <x:c r="C27" s="11" t="str">
        <x:v>KEEP</x:v>
      </x:c>
      <x:c r="D27" s="11" t="str">
        <x:v>Real unique PO number, linked Contract optional, positive committed_amount, FBS availability validation, versioned update and audit. No second PO owner should be created.</x:v>
      </x:c>
      <x:c r="E27" s="11" t="str">
        <x:v>backend/app/domain/models.py:1524
backend/app/api/v1/router.py:2640
backend/app/api/v1/router.py:2706
backend/tests/test_api_smoke.py:258
backend/tests/test_integrated_control.py:146</x:v>
      </x:c>
      <x:c r="F27" s="11" t="str">
        <x:v>No eliminado</x:v>
      </x:c>
      <x:c r="G27" s="11" t="str">
        <x:v>MOVE / REUSE OPERATIONAL</x:v>
      </x:c>
    </x:row>
    <x:row r="28" ht="117" customHeight="1">
      <x:c r="A28" s="11" t="str">
        <x:v>LEG-PH-C09</x:v>
      </x:c>
      <x:c r="B28" s="11" t="str">
        <x:v>Contract SOV and CommitmentFundingLine</x:v>
      </x:c>
      <x:c r="C28" s="11" t="str">
        <x:v>KEEP</x:v>
      </x:c>
      <x:c r="D28" s="11" t="str">
        <x:v>Actual SOV contract/CBS/WBS/control-account allocation and funding lines with allocation limits. Funding allocation is not another commitment amount or independent award authority.</x:v>
      </x:c>
      <x:c r="E28" s="11" t="str">
        <x:v>backend/app/domain/models.py:1418
backend/app/domain/models.py:1439
backend/app/api/v1/router.py:2452
backend/app/api/v1/router.py:2524
backend/tests/test_unifier_priority_flow.py:11
frontend/src/App.tsx:6446</x:v>
      </x:c>
      <x:c r="F28" s="11" t="str">
        <x:v>No eliminado</x:v>
      </x:c>
      <x:c r="G28" s="11" t="str">
        <x:v>MOVE / REUSE OPERATIONAL</x:v>
      </x:c>
    </x:row>
    <x:row r="29" ht="102" customHeight="1">
      <x:c r="A29" s="11" t="str">
        <x:v>LEG-PH-C10</x:v>
      </x:c>
      <x:c r="B29" s="11" t="str">
        <x:v>Contract notices / communications</x:v>
      </x:c>
      <x:c r="C29" s="11" t="str">
        <x:v>KEEP</x:v>
      </x:c>
      <x:c r="D29" s="11" t="str">
        <x:v>Existing notice/communication primitives. Reuse contractual references/evidence, not a standalone enterprise DMS or complete RFI/submittal lifecycle.</x:v>
      </x:c>
      <x:c r="E29" s="11" t="str">
        <x:v>backend/app/domain/models.py:1344
backend/app/domain/models.py:1637
backend/app/api/v1/router.py:3079
backend/app/api/v1/router.py:3142
frontend/src/views/ContractsView.tsx:87</x:v>
      </x:c>
      <x:c r="F29" s="11" t="str">
        <x:v>No eliminado</x:v>
      </x:c>
      <x:c r="G29" s="11" t="str">
        <x:v>MOVE / REUSE OPERATIONAL</x:v>
      </x:c>
    </x:row>
    <x:row r="30" ht="132" customHeight="1">
      <x:c r="A30" s="11" t="str">
        <x:v>LEG-PH-C11</x:v>
      </x:c>
      <x:c r="B30" s="11" t="str">
        <x:v>Payment certificates / retention / warehouse receipts</x:v>
      </x:c>
      <x:c r="C30" s="11" t="str">
        <x:v>KEEP</x:v>
      </x:c>
      <x:c r="D30" s="11" t="str">
        <x:v>Real operational certified/received cost records with contract/PO/control-account references. They are not proof of bank settlement, invoice accounting or tax postings. Reservation liquidation and duplicate economic-origin handling need definition.</x:v>
      </x:c>
      <x:c r="E30" s="11" t="str">
        <x:v>backend/app/domain/models.py:1546
backend/app/domain/models.py:1568
backend/app/services/integrated_control.py:419
frontend/src/views/ContractsView.tsx:56
backend/tests/test_integrated_control.py:266</x:v>
      </x:c>
      <x:c r="F30" s="11" t="str">
        <x:v>No eliminado</x:v>
      </x:c>
      <x:c r="G30" s="11" t="str">
        <x:v>MOVE / REUSE OPERATIONAL</x:v>
      </x:c>
    </x:row>
    <x:row r="31" ht="117" customHeight="1">
      <x:c r="A31" s="11" t="str">
        <x:v>LEG-PH-C12</x:v>
      </x:c>
      <x:c r="B31" s="11" t="str">
        <x:v>Subcontract / Change Order / contract closeout lifecycle</x:v>
      </x:c>
      <x:c r="C31" s="11" t="str">
        <x:v>UNKNOWN</x:v>
      </x:c>
      <x:c r="D31" s="11" t="str">
        <x:v>contract_type free text and existing status/closeout controls are primitives only. Reserved changes/payments screens do not establish a separately governed subcontract or contractual change order workflow.</x:v>
      </x:c>
      <x:c r="E31" s="11" t="str">
        <x:v>backend/app/domain/models.py:1411
frontend/src/navigation/applicationNavigation.ts:445
backend/tests/test_integrated_control.py:208</x:v>
      </x:c>
      <x:c r="F31" s="11" t="str">
        <x:v>No eliminado</x:v>
      </x:c>
      <x:c r="G31" s="11" t="str">
        <x:v>FUTURE</x:v>
      </x:c>
    </x:row>
    <x:row r="32" ht="237" customHeight="1">
      <x:c r="A32" s="11" t="str">
        <x:v>LEG-PH-C13</x:v>
      </x:c>
      <x:c r="B32" s="11" t="str">
        <x:v>Strategic Commercial &amp; Contracting Strategy</x:v>
      </x:c>
      <x:c r="C32" s="11" t="str">
        <x:v>KEEP</x:v>
      </x:c>
      <x:c r="D32" s="11" t="str">
        <x:v>Canonical Workspace-linked immutable completed strategy versions/readiness, configured ADMIN/USER permissions and governed provider. Packages are explicitly commercial concepts, not procurement transactions.</x:v>
      </x:c>
      <x:c r="E32" s="11" t="str">
        <x:v>backend/app/modules/commercial_strategy/models.py:1
backend/app/modules/commercial_strategy/models.py:30
backend/app/modules/commercial_strategy/models.py:88
backend/app/modules/commercial_strategy/router.py:373
frontend/src/features/commercial-strategy/CommercialStrategyWorkspace.tsx:316
backend/tests/test_commercial_strategy_gate07m_comm.py:325
backend/tests/test_commercial_strategy_gate07m_comm.py:632</x:v>
      </x:c>
      <x:c r="F32" s="11" t="str">
        <x:v>No eliminado</x:v>
      </x:c>
      <x:c r="G32" s="11" t="str">
        <x:v>KEEP STRATEGIC</x:v>
      </x:c>
    </x:row>
    <x:row r="33" ht="282" customHeight="1">
      <x:c r="A33" s="11" t="str">
        <x:v>LEG-PH-C14</x:v>
      </x:c>
      <x:c r="B33" s="11" t="str">
        <x:v>Funds Manager / StrategicFundingSource / Fund / FundingAssignment</x:v>
      </x:c>
      <x:c r="C33" s="11" t="str">
        <x:v>KEEP</x:v>
      </x:c>
      <x:c r="D33" s="11" t="str">
        <x:v>Governed capital sources/envelopes/assignments/readiness use enterprise_workspaces references; Decimal monetary fields, revision/hash/idempotency/SoD and history. Not a procurement or operational actual-cost authority.</x:v>
      </x:c>
      <x:c r="E33" s="11" t="str">
        <x:v>backend/app/modules/funds_manager/models.py:1
backend/app/modules/funds_manager/models.py:33
backend/app/modules/funds_manager/models.py:80
backend/app/modules/funds_manager/models.py:139
backend/app/modules/funds_manager/router.py:522
frontend/e2e/funds-manager.spec.ts:1
backend/tests/test_funds_manager_gate07j_fund.py:179
backend/tests/test_funds_manager_gate07j_fund.py:247
backend/tests/test_funds_manager_gate07j_fund.py:300</x:v>
      </x:c>
      <x:c r="F33" s="11" t="str">
        <x:v>No eliminado</x:v>
      </x:c>
      <x:c r="G33" s="11" t="str">
        <x:v>KEEP STRATEGIC</x:v>
      </x:c>
    </x:row>
    <x:row r="34" ht="162" customHeight="1">
      <x:c r="A34" s="11" t="str">
        <x:v>LEG-PH-C15</x:v>
      </x:c>
      <x:c r="B34" s="11" t="str">
        <x:v>Operational funding_sources / FBS and Integrated Control balances</x:v>
      </x:c>
      <x:c r="C34" s="11" t="str">
        <x:v>KEEP</x:v>
      </x:c>
      <x:c r="D34" s="11" t="str">
        <x:v>Distinct existing projects-linked FBS allocation/balance and commitment availability service, separate by explicit design from strategic_funding_sources. Uses Float, mutable balances and additive aggregates; not a strategic envelope.</x:v>
      </x:c>
      <x:c r="E34" s="11" t="str">
        <x:v>backend/app/domain/models.py:1077
backend/app/api/v1/router.py:911
backend/app/services/integrated_control.py:102
backend/app/services/integrated_control.py:125
backend/app/modules/funds_manager/models.py:1
backend/tests/test_integrated_control.py:40</x:v>
      </x:c>
      <x:c r="F34" s="11" t="str">
        <x:v>No eliminado</x:v>
      </x:c>
      <x:c r="G34" s="11" t="str">
        <x:v>MOVE / REUSE OPERATIONAL</x:v>
      </x:c>
    </x:row>
    <x:row r="35" ht="117" customHeight="1">
      <x:c r="A35" s="11" t="str">
        <x:v>LEG-PH-C16</x:v>
      </x:c>
      <x:c r="B35" s="11" t="str">
        <x:v>Invoice / payment / Accounting and Treasury execution</x:v>
      </x:c>
      <x:c r="C35" s="11" t="str">
        <x:v>UNKNOWN</x:v>
      </x:c>
      <x:c r="D35" s="11" t="str">
        <x:v>Out of this increment; PO/SC payment labels are reserved and certificates are not payments. No new payment/accounting function authorized.</x:v>
      </x:c>
      <x:c r="E35" s="11" t="str">
        <x:v>frontend/src/navigation/applicationNavigation.ts:369
frontend/src/navigation/applicationNavigation.ts:372
frontend/src/navigation/applicationNavigation.ts:449
backend/app/domain/models.py:1546</x:v>
      </x:c>
      <x:c r="F35" s="11" t="str">
        <x:v>No eliminado</x:v>
      </x:c>
      <x:c r="G35" s="11" t="str">
        <x:v>FUTURE</x:v>
      </x:c>
    </x:row>
  </x:sheetData>
  <x:pageMargins left="0.7" right="0.7" top="0.75" bottom="0.75" header="0.3" footer="0.3"/>
  <x:tableParts count="1">
    <x:tablePart xmlns:r="http://schemas.openxmlformats.org/officeDocument/2006/relationships" r:id="Rf19556882ebd438a"/>
  </x:tableParts>
</x:worksheet>
</file>

<file path=xl/worksheets/sheet12.xml><?xml version="1.0" encoding="utf-8"?>
<x:worksheet xmlns:x="http://schemas.openxmlformats.org/spreadsheetml/2006/main">
  <x:sheetPr>
    <x:tabColor rgb="FF17324D"/>
  </x:sheetPr>
  <x:sheetViews>
    <x:sheetView showGridLines="0" workbookViewId="0">
      <x:pane xSplit="2" ySplit="7" topLeftCell="C8" activePane="bottomRight" state="frozen"/>
    </x:sheetView>
  </x:sheetViews>
  <x:sheetFormatPr defaultRowHeight="15"/>
  <x:cols>
    <x:col min="1" max="1" width="16" hidden="0" customWidth="1"/>
    <x:col min="2" max="2" width="36" hidden="0" customWidth="1"/>
    <x:col min="3" max="3" width="3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ht="24" customHeight="1">
      <x:c r="A1" s="2"/>
      <x:c r="B1" s="2"/>
      <x:c r="C1" s="2"/>
      <x:c r="D1" s="2"/>
      <x:c r="E1" s="2"/>
      <x:c r="F1" s="2"/>
      <x:c r="G1" s="2"/>
      <x:c r="H1" s="2"/>
      <x:c r="I1" s="2"/>
    </x:row>
    <x:row r="2" ht="24" customHeight="1">
      <x:c r="A2" s="3" t="str">
        <x:v>ADR86–97 y resolución conceptual de duplicidades</x:v>
      </x:c>
      <x:c r="B2" s="2"/>
      <x:c r="C2" s="2"/>
      <x:c r="D2" s="2"/>
      <x:c r="E2" s="2"/>
      <x:c r="F2" s="2"/>
      <x:c r="G2" s="2"/>
      <x:c r="H2" s="2"/>
      <x:c r="I2" s="2"/>
    </x:row>
    <x:row r="3" ht="24" customHeight="1">
      <x:c r="A3" s="4"/>
      <x:c r="B3" s="4"/>
      <x:c r="C3" s="4"/>
      <x:c r="D3" s="4"/>
      <x:c r="E3" s="4"/>
      <x:c r="F3" s="4"/>
      <x:c r="G3" s="4"/>
      <x:c r="H3" s="4"/>
      <x:c r="I3" s="4"/>
    </x:row>
    <x:row r="4" ht="24" customHeight="1">
      <x:c r="A4" s="5" t="str">
        <x:v>Corte 19 oct 2026 · Inspección estática; propuestas no aprobadas ni desplegadas. Referencias path:line locales.</x:v>
      </x:c>
      <x:c r="B4" s="2"/>
      <x:c r="C4" s="2"/>
      <x:c r="D4" s="2"/>
      <x:c r="E4" s="2"/>
      <x:c r="F4" s="2"/>
      <x:c r="G4" s="2"/>
      <x:c r="H4" s="2"/>
      <x:c r="I4" s="2"/>
    </x:row>
    <x:row r="5" ht="24" customHeight="1">
      <x:c r="A5" s="2"/>
      <x:c r="B5" s="2"/>
      <x:c r="C5" s="2"/>
      <x:c r="D5" s="2"/>
      <x:c r="E5" s="2"/>
      <x:c r="F5" s="2"/>
      <x:c r="G5" s="2"/>
      <x:c r="H5" s="2"/>
      <x:c r="I5" s="2"/>
    </x:row>
    <x:row r="6" ht="24" customHeight="1">
      <x:c r="A6" s="2"/>
      <x:c r="B6" s="2"/>
      <x:c r="C6" s="2"/>
      <x:c r="D6" s="2"/>
      <x:c r="E6" s="2"/>
      <x:c r="F6" s="2"/>
      <x:c r="G6" s="2"/>
      <x:c r="H6" s="2"/>
      <x:c r="I6" s="2"/>
    </x:row>
    <x:row r="7" ht="48" customHeight="1">
      <x:c r="A7" s="9" t="str">
        <x:v>ID</x:v>
      </x:c>
      <x:c r="B7" s="9" t="str">
        <x:v>Alias / tipo</x:v>
      </x:c>
      <x:c r="C7" s="9" t="str">
        <x:v>Decisión</x:v>
      </x:c>
      <x:c r="D7" s="9" t="str">
        <x:v>Estado</x:v>
      </x:c>
      <x:c r="E7" s="9" t="str">
        <x:v>Definición</x:v>
      </x:c>
      <x:c r="F7" s="9" t="str">
        <x:v>Razón</x:v>
      </x:c>
      <x:c r="G7" s="9" t="str">
        <x:v>Consecuencias</x:v>
      </x:c>
      <x:c r="H7" s="9" t="str">
        <x:v>Evidencia</x:v>
      </x:c>
      <x:c r="I7" s="9" t="str">
        <x:v>Registro</x:v>
      </x:c>
    </x:row>
    <x:row r="8" ht="132" customHeight="1">
      <x:c r="A8" s="11" t="str">
        <x:v>ADR 86</x:v>
      </x:c>
      <x:c r="B8" s="11" t="str">
        <x:v>ADR-O-001</x:v>
      </x:c>
      <x:c r="C8" s="11" t="str">
        <x:v>Project identity</x:v>
      </x:c>
      <x:c r="D8" s="11" t="str">
        <x:v>PROPOSED_DESIGN</x:v>
      </x:c>
      <x:c r="E8" s="11" t="str">
        <x:v>Keep enterprise_workspaces of type project as sole canonical Project identity. Bind existing legacy operational records through an explicit tenant-scoped canonical reference/projection adapter; no second Project master and no ID equality shortcut.</x:v>
      </x:c>
      <x:c r="F8" s="11" t="str">
        <x:v>Canonical project creation already intentionally creates no legacy Project; operational Contract/PO/Schedule still use projects.id.</x:v>
      </x:c>
      <x:c r="G8" s="11" t="str">
        <x:v>O1A must resolve mapping, collision, missing reference, status, scope and authorization before live reuse. No migration in this increment.</x:v>
      </x:c>
      <x:c r="H8" s="11" t="str">
        <x:v>docs/44-adr-project-governance-multi-source-creation.md:21
backend/app/domain/models.py:486
backend/tests/test_project_creation_process.py:642</x:v>
      </x:c>
      <x:c r="I8" s="11" t="str">
        <x:v>docs/86-adr-operational-project-identity.md</x:v>
      </x:c>
    </x:row>
    <x:row r="9" ht="87" customHeight="1">
      <x:c r="A9" s="11" t="str">
        <x:v>ADR 87</x:v>
      </x:c>
      <x:c r="B9" s="11" t="str">
        <x:v>ADR-O-002</x:v>
      </x:c>
      <x:c r="C9" s="11" t="str">
        <x:v>Project Controls integration core</x:v>
      </x:c>
      <x:c r="D9" s="11" t="str">
        <x:v>PROPOSED_DESIGN</x:v>
      </x:c>
      <x:c r="E9" s="11" t="str">
        <x:v>Project Controls coordinates common period/baseline/mapping and integrates governed source snapshots; it does not own every source transaction.</x:v>
      </x:c>
      <x:c r="F9" s="11" t="str">
        <x:v>High coupling exists in legacy aggregate router/App; a monolithic controls master would duplicate source ownership.</x:v>
      </x:c>
      <x:c r="G9" s="11" t="str">
        <x:v>Domain-owner command boundaries and typed read models; reporting never writes source facts.</x:v>
      </x:c>
      <x:c r="H9" s="11" t="str">
        <x:v>backend/app/domain/models.py:685
backend/app/services/integrated_control.py:176
frontend/src/views/DashboardView.tsx:379</x:v>
      </x:c>
      <x:c r="I9" s="11" t="str">
        <x:v>docs/87-adr-operational-project-controls-integration-core.md</x:v>
      </x:c>
    </x:row>
    <x:row r="10" ht="117" customHeight="1">
      <x:c r="A10" s="11" t="str">
        <x:v>ADR 88</x:v>
      </x:c>
      <x:c r="B10" s="11" t="str">
        <x:v>ADR-O-003</x:v>
      </x:c>
      <x:c r="C10" s="11" t="str">
        <x:v>P6 external CPM authority</x:v>
      </x:c>
      <x:c r="D10" s="11" t="str">
        <x:v>PROPOSED_DESIGN</x:v>
      </x:c>
      <x:c r="E10" s="11" t="str">
        <x:v>Primavera P6 remains primary operational CPM calculator. Design manual XML/XER roundtrip only; no native operational CPM, direct P6/OPC API or silent critical-path recalculation.</x:v>
      </x:c>
      <x:c r="F10" s="11" t="str">
        <x:v>Existing P6 imports/raw metadata are reusable; QRA elapsed-time simulation is explicitly not P6 operational CPM.</x:v>
      </x:c>
      <x:c r="G10" s="11" t="str">
        <x:v>Full fidelity export is a future validated adapter, not claimed as present. Preserve imported critical/float values and raw calendars/units.</x:v>
      </x:c>
      <x:c r="H10" s="11" t="str">
        <x:v>backend/app/services/schedule_ingestion.py:402
backend/app/services/schedule_ingestion.py:438
docs/80-adr-qra-foundation.md:13
docs/82-adr-qra-calculation-engine.md:43</x:v>
      </x:c>
      <x:c r="I10" s="11" t="str">
        <x:v>docs/88-adr-operational-p6-external-cpm-authority.md</x:v>
      </x:c>
    </x:row>
    <x:row r="11" ht="117" customHeight="1">
      <x:c r="A11" s="11" t="str">
        <x:v>ADR 89</x:v>
      </x:c>
      <x:c r="B11" s="11" t="str">
        <x:v>ADR-O-004</x:v>
      </x:c>
      <x:c r="C11" s="11" t="str">
        <x:v>Schedule versioning</x:v>
      </x:c>
      <x:c r="D11" s="11" t="str">
        <x:v>PROPOSED_DESIGN</x:v>
      </x:c>
      <x:c r="E11" s="11" t="str">
        <x:v>Separate immutable approved baseline versions, reviewed accepted current update, provisional forecast scenario and staged import. Promote by explicit approval/version check; no import-driven baseline rewrite.</x:v>
      </x:c>
      <x:c r="F11" s="11" t="str">
        <x:v>Existing import/baseline/version primitives coexist with activity baseline field overwrites and date-only conversions.</x:v>
      </x:c>
      <x:c r="G11" s="11" t="str">
        <x:v>Future adapter requires version manifest, provenance/hash, data-date rules, source IDs, semantic reconciliation, rollback by pointer/reversal and retained history.</x:v>
      </x:c>
      <x:c r="H11" s="11" t="str">
        <x:v>backend/app/domain/models.py:615
backend/app/domain/models.py:668
backend/app/services/schedule_ingestion.py:1462
backend/app/services/schedule_ingestion.py:1612</x:v>
      </x:c>
      <x:c r="I11" s="11" t="str">
        <x:v>docs/89-adr-operational-schedule-versioning.md</x:v>
      </x:c>
    </x:row>
    <x:row r="12" ht="102" customHeight="1">
      <x:c r="A12" s="11" t="str">
        <x:v>ADR 90</x:v>
      </x:c>
      <x:c r="B12" s="11" t="str">
        <x:v>ADR-O-005</x:v>
      </x:c>
      <x:c r="C12" s="11" t="str">
        <x:v>Scope/WBS/CBS alignment</x:v>
      </x:c>
      <x:c r="D12" s="11" t="str">
        <x:v>PROPOSED_DESIGN</x:v>
      </x:c>
      <x:c r="E12" s="11" t="str">
        <x:v>Use explicit versioned many-to-many mappings among Scope Item, WBS, activity, CBS/CostCode, budget, contract and package. WBS is a structural source, not the sole identity of all cost or scope.</x:v>
      </x:c>
      <x:c r="F12" s="11" t="str">
        <x:v>Existing control-account/SOV/mapping primitives link multiple structures; one-to-one assumptions lose valid allocation relationships.</x:v>
      </x:c>
      <x:c r="G12" s="11" t="str">
        <x:v>Map cardinality/units/coverage, allocation denominator and historical mapping revisions; no silent auto-join by label.</x:v>
      </x:c>
      <x:c r="H12" s="11" t="str">
        <x:v>backend/app/domain/models.py:698
backend/app/domain/models.py:714
backend/app/domain/models.py:767
backend/app/domain/models.py:1418
backend/tests/test_unifier_priority_flow.py:11</x:v>
      </x:c>
      <x:c r="I12" s="11" t="str">
        <x:v>docs/90-adr-operational-scope-wbs-cbs-alignment.md</x:v>
      </x:c>
    </x:row>
    <x:row r="13" ht="102" customHeight="1">
      <x:c r="A13" s="11" t="str">
        <x:v>ADR 91</x:v>
      </x:c>
      <x:c r="B13" s="11" t="str">
        <x:v>ADR-O-006</x:v>
      </x:c>
      <x:c r="C13" s="11" t="str">
        <x:v>Progress architecture</x:v>
      </x:c>
      <x:c r="D13" s="11" t="str">
        <x:v>PROPOSED_DESIGN</x:v>
      </x:c>
      <x:c r="E13" s="11" t="str">
        <x:v>Keep physical, quantity, milestone, schedule, cost and earned progress as typed methods with source owner, unit, denominator, weight, period, evidence and independent approval where material.</x:v>
      </x:c>
      <x:c r="F13" s="11" t="str">
        <x:v>Existing record primitives and import percent fields are not interchangeable semantic measures.</x:v>
      </x:c>
      <x:c r="G13" s="11" t="str">
        <x:v>Freeze closed approved progress snapshots; EVM consumes approved baseline/progress and reconciled cost, never mixes percentages silently.</x:v>
      </x:c>
      <x:c r="H13" s="11" t="str">
        <x:v>backend/app/domain/models.py:1195
backend/app/domain/models.py:283
backend/app/domain/models.py:748</x:v>
      </x:c>
      <x:c r="I13" s="11" t="str">
        <x:v>docs/91-adr-operational-progress-architecture.md</x:v>
      </x:c>
    </x:row>
    <x:row r="14" ht="117" customHeight="1">
      <x:c r="A14" s="11" t="str">
        <x:v>ADR 92</x:v>
      </x:c>
      <x:c r="B14" s="11" t="str">
        <x:v>ADR-O-007</x:v>
      </x:c>
      <x:c r="C14" s="11" t="str">
        <x:v>Change cross-domain model</x:v>
      </x:c>
      <x:c r="D14" s="11" t="str">
        <x:v>PROPOSED_DESIGN</x:v>
      </x:c>
      <x:c r="E14" s="11" t="str">
        <x:v>One Change Event/Request coordinates impact assessment and decision across scope/schedule/cost/resources/contracts/risk/forecast. Owners implement approved changes through idempotent commands; no disconnected approval ledgers.</x:v>
      </x:c>
      <x:c r="F14" s="11" t="str">
        <x:v>Existing ChangeRequest and reserved per-module change menus risk parallel authority if expanded independently.</x:v>
      </x:c>
      <x:c r="G14" s="11" t="str">
        <x:v>Single approved decision reference, affected source versions, implementation receipts and explicit rejection/pending state; no baseline rewrite on submission.</x:v>
      </x:c>
      <x:c r="H14" s="11" t="str">
        <x:v>backend/app/domain/models.py:1295
frontend/src/navigation/applicationNavigation.ts:445
frontend/src/navigation/applicationNavigation.ts:650</x:v>
      </x:c>
      <x:c r="I14" s="11" t="str">
        <x:v>docs/92-adr-operational-change-cross-domain-model.md</x:v>
      </x:c>
    </x:row>
    <x:row r="15" ht="102" customHeight="1">
      <x:c r="A15" s="11" t="str">
        <x:v>ADR 93</x:v>
      </x:c>
      <x:c r="B15" s="11" t="str">
        <x:v>ADR-O-008</x:v>
      </x:c>
      <x:c r="C15" s="11" t="str">
        <x:v>Forecast architecture</x:v>
      </x:c>
      <x:c r="D15" s="11" t="str">
        <x:v>PROPOSED_DESIGN</x:v>
      </x:c>
      <x:c r="E15" s="11" t="str">
        <x:v>Forecast is an independently approved versioned derivation of governed snapshots plus explicit assumptions; preserves source baseline/current/actual and P6 CPM authority.</x:v>
      </x:c>
      <x:c r="F15" s="11" t="str">
        <x:v>Existing forecast_scenarios/control_snapshots can be reused, but a scenario is neither strategic investment approval nor source transaction.</x:v>
      </x:c>
      <x:c r="G15" s="11" t="str">
        <x:v>ETC/EAC and finish/milestone predictions disclose method/currency/period/input hashes and approval. Reforecast creates a new version, never edits approved history.</x:v>
      </x:c>
      <x:c r="H15" s="11" t="str">
        <x:v>backend/app/domain/models.py:1234
backend/app/domain/models.py:1260
backend/app/services/integrated_control.py:253</x:v>
      </x:c>
      <x:c r="I15" s="11" t="str">
        <x:v>docs/93-adr-operational-forecast-architecture.md</x:v>
      </x:c>
    </x:row>
    <x:row r="16" ht="162" customHeight="1">
      <x:c r="A16" s="11" t="str">
        <x:v>ADR 94</x:v>
      </x:c>
      <x:c r="B16" s="11" t="str">
        <x:v>ADR-O-009</x:v>
      </x:c>
      <x:c r="C16" s="11" t="str">
        <x:v>Procurement vs Commitments boundary</x:v>
      </x:c>
      <x:c r="D16" s="11" t="str">
        <x:v>PROPOSED_DESIGN</x:v>
      </x:c>
      <x:c r="E16" s="11" t="str">
        <x:v>Procurement owns sourcing and recommendation; Contract Administration/Commitments owns one legal obligation register for Contract/PO/subcontract and approved contractual variations. Cost consumes net obligations once.</x:v>
      </x:c>
      <x:c r="F16" s="11" t="str">
        <x:v>Two menu concepts currently reserve PO access but one table/API exists; strategy/funding are explicitly separate strategic bounded contexts.</x:v>
      </x:c>
      <x:c r="G16" s="11" t="str">
        <x:v>Do not create new Procurement Manager until duplicate concepts and canonical binding are resolved. Define call-off/included/additive PO, client-contract direction and economic-origin dedupe before rollout.</x:v>
      </x:c>
      <x:c r="H16" s="11" t="str">
        <x:v>backend/app/domain/models.py:1400
backend/app/domain/models.py:1524
backend/app/services/integrated_control.py:417
backend/app/modules/commercial_strategy/models.py:1
frontend/src/navigation/applicationNavigation.ts:370
frontend/src/navigation/applicationNavigation.ts:447</x:v>
      </x:c>
      <x:c r="I16" s="11" t="str">
        <x:v>docs/94-adr-operational-procurement-vs-commitments-boundary.md</x:v>
      </x:c>
    </x:row>
    <x:row r="17" ht="162" customHeight="1">
      <x:c r="A17" s="11" t="str">
        <x:v>ADR 95</x:v>
      </x:c>
      <x:c r="B17" s="11" t="str">
        <x:v>ADR-O-010</x:v>
      </x:c>
      <x:c r="C17" s="11" t="str">
        <x:v>Owner vs Contractor applicability</x:v>
      </x:c>
      <x:c r="D17" s="11" t="str">
        <x:v>PROPOSED_DESIGN</x:v>
      </x:c>
      <x:c r="E17" s="11" t="str">
        <x:v>Governance Model is independent of Project Type. Reuse canonical creation/initialization/activation and route policies for CAPITAL_OWNER, CONTRACTOR_DELIVERY and DIRECT_INTERNAL; do not impose Capital Owner sequence by default on other legitimate routes.</x:v>
      </x:c>
      <x:c r="F17" s="11" t="str">
        <x:v>Existing route adapters and policy requirements already distinguish strategic decision, contract award and direct authorization.</x:v>
      </x:c>
      <x:c r="G17" s="11" t="str">
        <x:v>Operational domain applicability is tailored mandatory/optional/conditional/not-applicable; authorization/conditions remain upstream, no copied local FID.</x:v>
      </x:c>
      <x:c r="H17" s="11" t="str">
        <x:v>backend/app/modules/project_creation/governance.py:25
backend/app/modules/project_creation/governance.py:53
backend/app/modules/project_creation/governance.py:85
backend/app/modules/project_creation/governance.py:122
backend/tests/test_post_fid_governance_gate07l.py:124</x:v>
      </x:c>
      <x:c r="I17" s="11" t="str">
        <x:v>docs/95-adr-operational-owner-vs-contractor-applicability.md</x:v>
      </x:c>
    </x:row>
    <x:row r="18" ht="117" customHeight="1">
      <x:c r="A18" s="11" t="str">
        <x:v>ADR 96</x:v>
      </x:c>
      <x:c r="B18" s="11" t="str">
        <x:v>ADR-O-011</x:v>
      </x:c>
      <x:c r="C18" s="11" t="str">
        <x:v>AWP optional architecture</x:v>
      </x:c>
      <x:c r="D18" s="11" t="str">
        <x:v>PROPOSED_DESIGN</x:v>
      </x:c>
      <x:c r="E18" s="11" t="str">
        <x:v>AWP is configurable by Project Type/execution strategy, not a universal hierarchy. CWA/CWP containment, EWP/PWP support dependencies, IWP executable scope and TWP configured turnover/test relation are explicit typed links.</x:v>
      </x:c>
      <x:c r="F18" s="11" t="str">
        <x:v>Existing WorkPackage/constraint primitives can be reused but do not establish a mandatory linear package chain.</x:v>
      </x:c>
      <x:c r="G18" s="11" t="str">
        <x:v>No forced CWA→CWP→EWP→PWP→IWP→TWP sequence. Enforce package readiness and optional engineering/material dependencies by published policy.</x:v>
      </x:c>
      <x:c r="H18" s="11" t="str">
        <x:v>backend/app/domain/models.py:822
backend/app/domain/models.py:852
backend/tests/test_unifier_priority_flow.py:397</x:v>
      </x:c>
      <x:c r="I18" s="11" t="str">
        <x:v>docs/96-adr-operational-awp-optional-architecture.md</x:v>
      </x:c>
    </x:row>
    <x:row r="19" ht="147" customHeight="1">
      <x:c r="A19" s="11" t="str">
        <x:v>ADR 97</x:v>
      </x:c>
      <x:c r="B19" s="11" t="str">
        <x:v>ADR-O-012</x:v>
      </x:c>
      <x:c r="C19" s="11" t="str">
        <x:v>Operational checkpoints vs Strategic Gates</x:v>
      </x:c>
      <x:c r="D19" s="11" t="str">
        <x:v>PROPOSED_DESIGN</x:v>
      </x:c>
      <x:c r="E19" s="11" t="str">
        <x:v>Baseline Approved, Ready to Execute, Workfront Ready, Ready for Commissioning/Handover and Closeout Ready are operational readiness checkpoints; they never substitute for Investment Gate/FID or reactivate a Workspace automatically.</x:v>
      </x:c>
      <x:c r="F19" s="11" t="str">
        <x:v>Existing Post-FID/canonical lifecycle is distinct and has separate scope/currentness/condition/SoD controls.</x:v>
      </x:c>
      <x:c r="G19" s="11" t="str">
        <x:v>Operational checkpoint approval references source evidence and constraints; applicable authorization checked without new strategic approval authority.</x:v>
      </x:c>
      <x:c r="H19" s="11" t="str">
        <x:v>backend/app/modules/post_fid_governance/service.py:492
backend/app/modules/project_workspace_initialization/governance.py:58
backend/app/modules/project_workspace_initialization/router.py:126
backend/tests/test_project_initialization_post_fid_bridge.py:161</x:v>
      </x:c>
      <x:c r="I19" s="11" t="str">
        <x:v>docs/97-adr-operational-operational-checkpoints-vs-strategic-gates.md</x:v>
      </x:c>
    </x:row>
    <x:row r="20" ht="87" customHeight="1">
      <x:c r="A20" s="11" t="str">
        <x:v>PH-C01</x:v>
      </x:c>
      <x:c r="B20" s="11" t="str">
        <x:v>PROCUREMENT BOUNDARY</x:v>
      </x:c>
      <x:c r="C20" s="11" t="str">
        <x:v>Partners / Join Venture</x:v>
      </x:c>
      <x:c r="D20" s="11" t="str">
        <x:v>PROPOSED_DESIGN</x:v>
      </x:c>
      <x:c r="E20" s="11" t="str">
        <x:v>SHARED MASTER DATA</x:v>
      </x:c>
      <x:c r="F20" s="11" t="str">
        <x:v>Navigation placeholder; no implemented normalized partner master established by inspected operational schema/API/test paths.</x:v>
      </x:c>
      <x:c r="G20" s="11" t="str">
        <x:v>Shared party/reference-data capability under Enterprise configuration; Procurement and Contracts consume scoped references.</x:v>
      </x:c>
      <x:c r="H20" s="11" t="str">
        <x:v>frontend/src/navigation/applicationNavigation.ts:354
frontend/src/navigation/applicationNavigation.ts:630
frontend/src/App.tsx:4284</x:v>
      </x:c>
      <x:c r="I20" s="11" t="str">
        <x:v>No nueva autoridad ni borrado</x:v>
      </x:c>
    </x:row>
    <x:row r="21" ht="117" customHeight="1">
      <x:c r="A21" s="11" t="str">
        <x:v>PH-C02</x:v>
      </x:c>
      <x:c r="B21" s="11" t="str">
        <x:v>PROCUREMENT BOUNDARY</x:v>
      </x:c>
      <x:c r="C21" s="11" t="str">
        <x:v>Vendors / Vendors List</x:v>
      </x:c>
      <x:c r="D21" s="11" t="str">
        <x:v>PROPOSED_DESIGN</x:v>
      </x:c>
      <x:c r="E21" s="11" t="str">
        <x:v>SHARED MASTER DATA</x:v>
      </x:c>
      <x:c r="F21" s="11" t="str">
        <x:v>Reserved menu. PO.vendor, Contract.counterparty and RFQBid.bidder_name are strings, not shared Party foreign keys.</x:v>
      </x:c>
      <x:c r="G21" s="11" t="str">
        <x:v>Single scoped party master; transactional owner retains approved historical counterparty details and role references.</x:v>
      </x:c>
      <x:c r="H21" s="11" t="str">
        <x:v>frontend/src/navigation/applicationNavigation.ts:359
frontend/src/navigation/applicationNavigation.ts:631
backend/app/domain/models.py:1410
backend/app/domain/models.py:1535
backend/app/domain/models.py:1620</x:v>
      </x:c>
      <x:c r="I21" s="11" t="str">
        <x:v>No nueva autoridad ni borrado</x:v>
      </x:c>
    </x:row>
    <x:row r="22" ht="102" customHeight="1">
      <x:c r="A22" s="11" t="str">
        <x:v>PH-C03</x:v>
      </x:c>
      <x:c r="B22" s="11" t="str">
        <x:v>PROCUREMENT BOUNDARY</x:v>
      </x:c>
      <x:c r="C22" s="11" t="str">
        <x:v>Commitments / Sales Contracts / SC Changes / SC Payments menu</x:v>
      </x:c>
      <x:c r="D22" s="11" t="str">
        <x:v>PROPOSED_DESIGN</x:v>
      </x:c>
      <x:c r="E22" s="11" t="str">
        <x:v>MOVE / REUSE OPERATIONAL</x:v>
      </x:c>
      <x:c r="F22" s="11" t="str">
        <x:v>Labels reserved; do not infer a distinct sales-contract, AR or change/payment lifecycle. Contract register lacks explicit revenue-versus-spend direction in inspected schema.</x:v>
      </x:c>
      <x:c r="G22" s="11" t="str">
        <x:v>Contract Administration single register with explicit contract direction and commitment semantics; sales/client contract references must not be counted as purchase cost obligations.</x:v>
      </x:c>
      <x:c r="H22" s="11" t="str">
        <x:v>frontend/src/navigation/applicationNavigation.ts:364
frontend/src/navigation/applicationNavigation.ts:632
backend/app/domain/models.py:1400</x:v>
      </x:c>
      <x:c r="I22" s="11" t="str">
        <x:v>No nueva autoridad ni borrado</x:v>
      </x:c>
    </x:row>
    <x:row r="23" ht="162" customHeight="1">
      <x:c r="A23" s="11" t="str">
        <x:v>PH-C04</x:v>
      </x:c>
      <x:c r="B23" s="11" t="str">
        <x:v>PROCUREMENT BOUNDARY</x:v>
      </x:c>
      <x:c r="C23" s="11" t="str">
        <x:v>Purchase Order menus in Commitments and Procurement</x:v>
      </x:c>
      <x:c r="D23" s="11" t="str">
        <x:v>PROPOSED_DESIGN</x:v>
      </x:c>
      <x:c r="E23" s="11" t="str">
        <x:v>DEPRECATE</x:v>
      </x:c>
      <x:c r="F23" s="11" t="str">
        <x:v>Two reserved menu concepts, one existing PurchaseOrder table/API authority. Deprecation applies to duplicate authority/navigation concept, not removal of the existing API/table.</x:v>
      </x:c>
      <x:c r="G23" s="11" t="str">
        <x:v>Contract Administration owns existing PO obligation. Procurement shows an access/reference into that same register.</x:v>
      </x:c>
      <x:c r="H23" s="11" t="str">
        <x:v>frontend/src/navigation/applicationNavigation.ts:370
frontend/src/navigation/applicationNavigation.ts:447
frontend/src/navigation/applicationNavigation.ts:635
frontend/src/navigation/applicationNavigation.ts:654
backend/app/domain/models.py:1524
backend/app/api/v1/router.py:2640</x:v>
      </x:c>
      <x:c r="I23" s="11" t="str">
        <x:v>No nueva autoridad ni borrado</x:v>
      </x:c>
    </x:row>
    <x:row r="24" ht="222" customHeight="1">
      <x:c r="A24" s="11" t="str">
        <x:v>PH-C05</x:v>
      </x:c>
      <x:c r="B24" s="11" t="str">
        <x:v>PROCUREMENT BOUNDARY</x:v>
      </x:c>
      <x:c r="C24" s="11" t="str">
        <x:v>RFQ packages / bids / weighted evaluation</x:v>
      </x:c>
      <x:c r="D24" s="11" t="str">
        <x:v>PROPOSED_DESIGN</x:v>
      </x:c>
      <x:c r="E24" s="11" t="str">
        <x:v>MOVE / REUSE OPERATIONAL</x:v>
      </x:c>
      <x:c r="F24" s="11" t="str">
        <x:v>Real versioned backend package/bid CRUD, membership checks, optimistic version and audit; hardcoded 35/35/15/15 weights and highest-score summary are not governed award approval. Reserved request-for-bid navigation is not a complete sourcing workspace.</x:v>
      </x:c>
      <x:c r="G24" s="11" t="str">
        <x:v>Procurement sourcing; ADMIN publishes configurable scoring/approval policy, USER manages packages and submits recommendations; independent award authority before contractual materialization.</x:v>
      </x:c>
      <x:c r="H24" s="11" t="str">
        <x:v>backend/app/domain/models.py:1591
backend/app/domain/models.py:1613
backend/app/api/v1/routers/rfq.py:63
backend/app/api/v1/routers/rfq.py:108
backend/app/api/v1/routers/rfq.py:133
backend/app/api/v1/routers/rfq.py:190
backend/tests/test_api_smoke.py:293
frontend/src/navigation/applicationNavigation.ts:650</x:v>
      </x:c>
      <x:c r="I24" s="11" t="str">
        <x:v>No nueva autoridad ni borrado</x:v>
      </x:c>
    </x:row>
    <x:row r="25" ht="117" customHeight="1">
      <x:c r="A25" s="11" t="str">
        <x:v>PH-C06</x:v>
      </x:c>
      <x:c r="B25" s="11" t="str">
        <x:v>PROCUREMENT BOUNDARY</x:v>
      </x:c>
      <x:c r="C25" s="11" t="str">
        <x:v>Procurement Plan / Requisition / RFP / approved award workflow</x:v>
      </x:c>
      <x:c r="D25" s="11" t="str">
        <x:v>PROPOSED_DESIGN</x:v>
      </x:c>
      <x:c r="E25" s="11" t="str">
        <x:v>FUTURE</x:v>
      </x:c>
      <x:c r="F25" s="11" t="str">
        <x:v>RFQPackage procurement_method and bid summary are reusable primitives; a complete governed requisition, package plan, award SoD and award-to-contract link is not demonstrated.</x:v>
      </x:c>
      <x:c r="G25" s="11" t="str">
        <x:v>Procurement, Wave O2 after O1 identity/control foundation. No new module now.</x:v>
      </x:c>
      <x:c r="H25" s="11" t="str">
        <x:v>backend/app/domain/models.py:1601
backend/app/api/v1/routers/rfq.py:63
backend/app/domain/process_catalog.py:285
backend/app/domain/process_catalog.py:331</x:v>
      </x:c>
      <x:c r="I25" s="11" t="str">
        <x:v>No nueva autoridad ni borrado</x:v>
      </x:c>
    </x:row>
    <x:row r="26" ht="132" customHeight="1">
      <x:c r="A26" s="11" t="str">
        <x:v>PH-C07</x:v>
      </x:c>
      <x:c r="B26" s="11" t="str">
        <x:v>PROCUREMENT BOUNDARY</x:v>
      </x:c>
      <x:c r="C26" s="11" t="str">
        <x:v>Contracts / original value / Contract Administration display</x:v>
      </x:c>
      <x:c r="D26" s="11" t="str">
        <x:v>PROPOSED_DESIGN</x:v>
      </x:c>
      <x:c r="E26" s="11" t="str">
        <x:v>MOVE / REUSE OPERATIONAL</x:v>
      </x:c>
      <x:c r="F26" s="11" t="str">
        <x:v>Existing Contract has unique tenant/project/code, FBS/control account, type/value/status and real create API. Display exists; approved value-history, formal amendment/award authorization and canonical Workspace binding need future design.</x:v>
      </x:c>
      <x:c r="G26" s="11" t="str">
        <x:v>Contract Administration; publish one contractual commitment source for Cost. Preserve existing records and API compatibility under explicit adapter.</x:v>
      </x:c>
      <x:c r="H26" s="11" t="str">
        <x:v>backend/app/domain/models.py:1400
backend/app/api/v1/router.py:2370
frontend/src/views/ContractsView.tsx:11
backend/tests/test_integrated_control.py:40
backend/tests/test_api_smoke.py:243</x:v>
      </x:c>
      <x:c r="I26" s="11" t="str">
        <x:v>No nueva autoridad ni borrado</x:v>
      </x:c>
    </x:row>
    <x:row r="27" ht="117" customHeight="1">
      <x:c r="A27" s="11" t="str">
        <x:v>PH-C08</x:v>
      </x:c>
      <x:c r="B27" s="11" t="str">
        <x:v>PROCUREMENT BOUNDARY</x:v>
      </x:c>
      <x:c r="C27" s="11" t="str">
        <x:v>PurchaseOrder register</x:v>
      </x:c>
      <x:c r="D27" s="11" t="str">
        <x:v>PROPOSED_DESIGN</x:v>
      </x:c>
      <x:c r="E27" s="11" t="str">
        <x:v>MOVE / REUSE OPERATIONAL</x:v>
      </x:c>
      <x:c r="F27" s="11" t="str">
        <x:v>Real unique PO number, linked Contract optional, positive committed_amount, FBS availability validation, versioned update and audit. No second PO owner should be created.</x:v>
      </x:c>
      <x:c r="G27" s="11" t="str">
        <x:v>Contract Administration/Commitments owns PO, Procurement consumes award linkage, Cost consumes net obligation by economic-event identity.</x:v>
      </x:c>
      <x:c r="H27" s="11" t="str">
        <x:v>backend/app/domain/models.py:1524
backend/app/api/v1/router.py:2640
backend/app/api/v1/router.py:2706
backend/tests/test_api_smoke.py:258
backend/tests/test_integrated_control.py:146</x:v>
      </x:c>
      <x:c r="I27" s="11" t="str">
        <x:v>No nueva autoridad ni borrado</x:v>
      </x:c>
    </x:row>
    <x:row r="28" ht="117" customHeight="1">
      <x:c r="A28" s="11" t="str">
        <x:v>PH-C09</x:v>
      </x:c>
      <x:c r="B28" s="11" t="str">
        <x:v>PROCUREMENT BOUNDARY</x:v>
      </x:c>
      <x:c r="C28" s="11" t="str">
        <x:v>Contract SOV and CommitmentFundingLine</x:v>
      </x:c>
      <x:c r="D28" s="11" t="str">
        <x:v>PROPOSED_DESIGN</x:v>
      </x:c>
      <x:c r="E28" s="11" t="str">
        <x:v>MOVE / REUSE OPERATIONAL</x:v>
      </x:c>
      <x:c r="F28" s="11" t="str">
        <x:v>Actual SOV contract/CBS/WBS/control-account allocation and funding lines with allocation limits. Funding allocation is not another commitment amount or independent award authority.</x:v>
      </x:c>
      <x:c r="G28" s="11" t="str">
        <x:v>Contract Administration owns SOV, Cost consumes coding/distribution, operational FBS owns funding allocation; domain writes through owner commands only.</x:v>
      </x:c>
      <x:c r="H28" s="11" t="str">
        <x:v>backend/app/domain/models.py:1418
backend/app/domain/models.py:1439
backend/app/api/v1/router.py:2452
backend/app/api/v1/router.py:2524
backend/tests/test_unifier_priority_flow.py:11
frontend/src/App.tsx:6446</x:v>
      </x:c>
      <x:c r="I28" s="11" t="str">
        <x:v>No nueva autoridad ni borrado</x:v>
      </x:c>
    </x:row>
    <x:row r="29" ht="102" customHeight="1">
      <x:c r="A29" s="11" t="str">
        <x:v>PH-C10</x:v>
      </x:c>
      <x:c r="B29" s="11" t="str">
        <x:v>PROCUREMENT BOUNDARY</x:v>
      </x:c>
      <x:c r="C29" s="11" t="str">
        <x:v>Contract notices / communications</x:v>
      </x:c>
      <x:c r="D29" s="11" t="str">
        <x:v>PROPOSED_DESIGN</x:v>
      </x:c>
      <x:c r="E29" s="11" t="str">
        <x:v>MOVE / REUSE OPERATIONAL</x:v>
      </x:c>
      <x:c r="F29" s="11" t="str">
        <x:v>Existing notice/communication primitives. Reuse contractual references/evidence, not a standalone enterprise DMS or complete RFI/submittal lifecycle.</x:v>
      </x:c>
      <x:c r="G29" s="11" t="str">
        <x:v>Contract Administration legal notices; Document capability owns document revision/distribution; Claims references immutable notices.</x:v>
      </x:c>
      <x:c r="H29" s="11" t="str">
        <x:v>backend/app/domain/models.py:1344
backend/app/domain/models.py:1637
backend/app/api/v1/router.py:3079
backend/app/api/v1/router.py:3142
frontend/src/views/ContractsView.tsx:87</x:v>
      </x:c>
      <x:c r="I29" s="11" t="str">
        <x:v>No nueva autoridad ni borrado</x:v>
      </x:c>
    </x:row>
    <x:row r="30" ht="132" customHeight="1">
      <x:c r="A30" s="11" t="str">
        <x:v>PH-C11</x:v>
      </x:c>
      <x:c r="B30" s="11" t="str">
        <x:v>PROCUREMENT BOUNDARY</x:v>
      </x:c>
      <x:c r="C30" s="11" t="str">
        <x:v>Payment certificates / retention / warehouse receipts</x:v>
      </x:c>
      <x:c r="D30" s="11" t="str">
        <x:v>PROPOSED_DESIGN</x:v>
      </x:c>
      <x:c r="E30" s="11" t="str">
        <x:v>MOVE / REUSE OPERATIONAL</x:v>
      </x:c>
      <x:c r="F30" s="11" t="str">
        <x:v>Real operational certified/received cost records with contract/PO/control-account references. They are not proof of bank settlement, invoice accounting or tax postings. Reservation liquidation and duplicate economic-origin handling need definition.</x:v>
      </x:c>
      <x:c r="G30" s="11" t="str">
        <x:v>Contract Administration certifies contract milestones/retention; material receipt owner certifies delivery; Cost consumes certified/accrual evidence once. Accounting/Treasury payment execution remains external future boundary.</x:v>
      </x:c>
      <x:c r="H30" s="11" t="str">
        <x:v>backend/app/domain/models.py:1546
backend/app/domain/models.py:1568
backend/app/services/integrated_control.py:419
frontend/src/views/ContractsView.tsx:56
backend/tests/test_integrated_control.py:266</x:v>
      </x:c>
      <x:c r="I30" s="11" t="str">
        <x:v>No nueva autoridad ni borrado</x:v>
      </x:c>
    </x:row>
    <x:row r="31" ht="117" customHeight="1">
      <x:c r="A31" s="11" t="str">
        <x:v>PH-C12</x:v>
      </x:c>
      <x:c r="B31" s="11" t="str">
        <x:v>PROCUREMENT BOUNDARY</x:v>
      </x:c>
      <x:c r="C31" s="11" t="str">
        <x:v>Subcontract / Change Order / contract closeout lifecycle</x:v>
      </x:c>
      <x:c r="D31" s="11" t="str">
        <x:v>PROPOSED_DESIGN</x:v>
      </x:c>
      <x:c r="E31" s="11" t="str">
        <x:v>FUTURE</x:v>
      </x:c>
      <x:c r="F31" s="11" t="str">
        <x:v>contract_type free text and existing status/closeout controls are primitives only. Reserved changes/payments screens do not establish a separately governed subcontract or contractual change order workflow.</x:v>
      </x:c>
      <x:c r="G31" s="11" t="str">
        <x:v>Contract Administration specializes shared contract aggregate; Change domain owns common impact/decision event; no disconnected per-module approval records.</x:v>
      </x:c>
      <x:c r="H31" s="11" t="str">
        <x:v>backend/app/domain/models.py:1411
frontend/src/navigation/applicationNavigation.ts:445
backend/tests/test_integrated_control.py:208</x:v>
      </x:c>
      <x:c r="I31" s="11" t="str">
        <x:v>No nueva autoridad ni borrado</x:v>
      </x:c>
    </x:row>
    <x:row r="32" ht="237" customHeight="1">
      <x:c r="A32" s="11" t="str">
        <x:v>PH-C13</x:v>
      </x:c>
      <x:c r="B32" s="11" t="str">
        <x:v>PROCUREMENT BOUNDARY</x:v>
      </x:c>
      <x:c r="C32" s="11" t="str">
        <x:v>Strategic Commercial &amp; Contracting Strategy</x:v>
      </x:c>
      <x:c r="D32" s="11" t="str">
        <x:v>PROPOSED_DESIGN</x:v>
      </x:c>
      <x:c r="E32" s="11" t="str">
        <x:v>KEEP STRATEGIC</x:v>
      </x:c>
      <x:c r="F32" s="11" t="str">
        <x:v>Canonical Workspace-linked immutable completed strategy versions/readiness, configured ADMIN/USER permissions and governed provider. Packages are explicitly commercial concepts, not procurement transactions.</x:v>
      </x:c>
      <x:c r="G32" s="11" t="str">
        <x:v>Strategic commercial authority; Procurement references completed strategy version/hash and elaborates operational sourcing plan. Any strategic deviation requires explicit governed review, not local overwrite.</x:v>
      </x:c>
      <x:c r="H32" s="11" t="str">
        <x:v>backend/app/modules/commercial_strategy/models.py:1
backend/app/modules/commercial_strategy/models.py:30
backend/app/modules/commercial_strategy/models.py:88
backend/app/modules/commercial_strategy/router.py:373
frontend/src/features/commercial-strategy/CommercialStrategyWorkspace.tsx:316
backend/tests/test_commercial_strategy_gate07m_comm.py:325
backend/tests/test_commercial_strategy_gate07m_comm.py:632</x:v>
      </x:c>
      <x:c r="I32" s="11" t="str">
        <x:v>No nueva autoridad ni borrado</x:v>
      </x:c>
    </x:row>
    <x:row r="33" ht="282" customHeight="1">
      <x:c r="A33" s="11" t="str">
        <x:v>PH-C14</x:v>
      </x:c>
      <x:c r="B33" s="11" t="str">
        <x:v>PROCUREMENT BOUNDARY</x:v>
      </x:c>
      <x:c r="C33" s="11" t="str">
        <x:v>Funds Manager / StrategicFundingSource / Fund / FundingAssignment</x:v>
      </x:c>
      <x:c r="D33" s="11" t="str">
        <x:v>PROPOSED_DESIGN</x:v>
      </x:c>
      <x:c r="E33" s="11" t="str">
        <x:v>KEEP STRATEGIC</x:v>
      </x:c>
      <x:c r="F33" s="11" t="str">
        <x:v>Governed capital sources/envelopes/assignments/readiness use enterprise_workspaces references; Decimal monetary fields, revision/hash/idempotency/SoD and history. Not a procurement or operational actual-cost authority.</x:v>
      </x:c>
      <x:c r="G33" s="11" t="str">
        <x:v>Strategic Funding; downstream consumes assignment restrictions/coverage and frozen authorization references. No automatic copying to operational budget, available FBS, PO or cash actuals.</x:v>
      </x:c>
      <x:c r="H33" s="11" t="str">
        <x:v>backend/app/modules/funds_manager/models.py:1
backend/app/modules/funds_manager/models.py:33
backend/app/modules/funds_manager/models.py:80
backend/app/modules/funds_manager/models.py:139
backend/app/modules/funds_manager/router.py:522
frontend/e2e/funds-manager.spec.ts:1
backend/tests/test_funds_manager_gate07j_fund.py:179
backend/tests/test_funds_manager_gate07j_fund.py:247
backend/tests/test_funds_manager_gate07j_fund.py:300</x:v>
      </x:c>
      <x:c r="I33" s="11" t="str">
        <x:v>No nueva autoridad ni borrado</x:v>
      </x:c>
    </x:row>
    <x:row r="34" ht="162" customHeight="1">
      <x:c r="A34" s="11" t="str">
        <x:v>PH-C15</x:v>
      </x:c>
      <x:c r="B34" s="11" t="str">
        <x:v>PROCUREMENT BOUNDARY</x:v>
      </x:c>
      <x:c r="C34" s="11" t="str">
        <x:v>Operational funding_sources / FBS and Integrated Control balances</x:v>
      </x:c>
      <x:c r="D34" s="11" t="str">
        <x:v>PROPOSED_DESIGN</x:v>
      </x:c>
      <x:c r="E34" s="11" t="str">
        <x:v>MOVE / REUSE OPERATIONAL</x:v>
      </x:c>
      <x:c r="F34" s="11" t="str">
        <x:v>Distinct existing projects-linked FBS allocation/balance and commitment availability service, separate by explicit design from strategic_funding_sources. Uses Float, mutable balances and additive aggregates; not a strategic envelope.</x:v>
      </x:c>
      <x:c r="G34" s="11" t="str">
        <x:v>Operational Cost owns approved control funding mapping and derived balance; strategic funding remains referenced source/constraint. Reconcile original/current commitment, outstanding reservation and cost actuals before wider rollout.</x:v>
      </x:c>
      <x:c r="H34" s="11" t="str">
        <x:v>backend/app/domain/models.py:1077
backend/app/api/v1/router.py:911
backend/app/services/integrated_control.py:102
backend/app/services/integrated_control.py:125
backend/app/modules/funds_manager/models.py:1
backend/tests/test_integrated_control.py:40</x:v>
      </x:c>
      <x:c r="I34" s="11" t="str">
        <x:v>No nueva autoridad ni borrado</x:v>
      </x:c>
    </x:row>
    <x:row r="35" ht="117" customHeight="1">
      <x:c r="A35" s="11" t="str">
        <x:v>PH-C16</x:v>
      </x:c>
      <x:c r="B35" s="11" t="str">
        <x:v>PROCUREMENT BOUNDARY</x:v>
      </x:c>
      <x:c r="C35" s="11" t="str">
        <x:v>Invoice / payment / Accounting and Treasury execution</x:v>
      </x:c>
      <x:c r="D35" s="11" t="str">
        <x:v>PROPOSED_DESIGN</x:v>
      </x:c>
      <x:c r="E35" s="11" t="str">
        <x:v>FUTURE</x:v>
      </x:c>
      <x:c r="F35" s="11" t="str">
        <x:v>Out of this increment; PO/SC payment labels are reserved and certificates are not payments. No new payment/accounting function authorized.</x:v>
      </x:c>
      <x:c r="G35" s="11" t="str">
        <x:v>External Accounting/Treasury integration with explicit references, reconciliation and posting/settlement statuses. Retain operational certificates as evidence only.</x:v>
      </x:c>
      <x:c r="H35" s="11" t="str">
        <x:v>frontend/src/navigation/applicationNavigation.ts:369
frontend/src/navigation/applicationNavigation.ts:372
frontend/src/navigation/applicationNavigation.ts:449
backend/app/domain/models.py:1546</x:v>
      </x:c>
      <x:c r="I35" s="11" t="str">
        <x:v>No nueva autoridad ni borrado</x:v>
      </x:c>
    </x:row>
  </x:sheetData>
  <x:pageMargins left="0.7" right="0.7" top="0.75" bottom="0.75" header="0.3" footer="0.3"/>
  <x:tableParts count="1">
    <x:tablePart xmlns:r="http://schemas.openxmlformats.org/officeDocument/2006/relationships" r:id="R5beebf7b844946fc"/>
  </x:tableParts>
</x:worksheet>
</file>