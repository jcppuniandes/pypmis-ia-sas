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73b45508554671" /></Relationships>
</file>

<file path=xl/workbook.xml><?xml version="1.0" encoding="utf-8"?>
<x:workbook xmlns:x="http://schemas.openxmlformats.org/spreadsheetml/2006/main">
  <x:sheets>
    <x:sheet xmlns:r="http://schemas.openxmlformats.org/officeDocument/2006/relationships" name="01_Process_Matrix" sheetId="1" r:id="Rb84d4dc94dd74a82"/>
    <x:sheet xmlns:r="http://schemas.openxmlformats.org/officeDocument/2006/relationships" name="02_UAT_Cases" sheetId="2" r:id="R90a634d18fb94141"/>
    <x:sheet xmlns:r="http://schemas.openxmlformats.org/officeDocument/2006/relationships" name="03_Admin_User_Matrix" sheetId="3" r:id="Rfa149f52789d4c7f"/>
    <x:sheet xmlns:r="http://schemas.openxmlformats.org/officeDocument/2006/relationships" name="04_Navigation_Matrix" sheetId="4" r:id="R267a2ecdacea45d8"/>
    <x:sheet xmlns:r="http://schemas.openxmlformats.org/officeDocument/2006/relationships" name="05_Business_Rules" sheetId="5" r:id="R14a61c06af914128"/>
    <x:sheet xmlns:r="http://schemas.openxmlformats.org/officeDocument/2006/relationships" name="06_Defects" sheetId="6" r:id="Rddc4b450737c4634"/>
    <x:sheet xmlns:r="http://schemas.openxmlformats.org/officeDocument/2006/relationships" name="07_Code_Cleanup" sheetId="7" r:id="Rc7eb255f30234d98"/>
    <x:sheet xmlns:r="http://schemas.openxmlformats.org/officeDocument/2006/relationships" name="08_Release_Criteria" sheetId="8" r:id="R10a9aa681153416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yyyy-mm-dd hh:mm"/>
  </x:numFmts>
  <x:fonts count="6">
    <x:font>
      <x:sz val="11"/>
      <x:name val="Carlito"/>
    </x:font>
    <x:font>
      <x:b/>
      <x:sz val="14"/>
      <x:color rgb="FF000000"/>
      <x:name val="Arial"/>
    </x:font>
    <x:font>
      <x:sz val="10"/>
      <x:color rgb="FF000000"/>
      <x:name val="Arial"/>
    </x:font>
    <x:font>
      <x:sz val="10"/>
      <x:color rgb="FF202A33"/>
      <x:name val="Arial"/>
    </x:font>
    <x:font>
      <x:b/>
      <x:sz val="10"/>
      <x:color rgb="FFFFFFFF"/>
      <x:name val="Arial"/>
    </x:font>
    <x:font>
      <x:b/>
      <x:sz val="10"/>
      <x:color rgb="FF202A33"/>
      <x:name val="Arial"/>
    </x:font>
  </x:fonts>
  <x:fills count="5">
    <x:fill>
      <x:patternFill patternType="none"/>
    </x:fill>
    <x:fill>
      <x:patternFill patternType="gray125"/>
    </x:fill>
    <x:fill>
      <x:patternFill patternType="solid">
        <x:fgColor rgb="FF17324D"/>
      </x:patternFill>
    </x:fill>
    <x:fill>
      <x:patternFill patternType="solid">
        <x:fgColor rgb="FFF5F7F8"/>
      </x:patternFill>
    </x:fill>
    <x:fill>
      <x:patternFill patternType="solid">
        <x:fgColor rgb="FFFFF2CC"/>
      </x:patternFill>
    </x:fill>
  </x:fills>
  <x:borders count="5">
    <x:border>
      <x:left/>
      <x:right/>
      <x:top/>
      <x:bottom/>
      <x:diagonal/>
    </x:border>
    <x:border>
      <x:left/>
      <x:right/>
      <x:top/>
      <x:bottom style="thin">
        <x:color rgb="FFD9D9D9"/>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30">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3" fillId="3"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3" fillId="3"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0" fontId="3" fillId="0" borderId="0" xfId="0" applyNumberFormat="1" applyFont="1" applyFill="1" applyBorder="1" applyAlignment="1">
      <x:alignment vertical="center" wrapText="1"/>
    </x:xf>
    <x:xf numFmtId="200" fontId="3"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20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201" fontId="0" fillId="0" borderId="0" xfId="0" applyNumberFormat="1" applyFont="1" applyFill="1" applyBorder="1"/>
    <x:xf numFmtId="201" fontId="3" fillId="0" borderId="0" xfId="0" applyNumberFormat="1" applyFont="1" applyFill="1" applyBorder="1"/>
    <x:xf numFmtId="201" fontId="3" fillId="0" borderId="0" xfId="0" applyNumberFormat="1" applyFont="1" applyFill="1" applyBorder="1" applyAlignment="1">
      <x:alignment wrapText="1"/>
    </x:xf>
    <x:xf numFmtId="201" fontId="3" fillId="0" borderId="0" xfId="0" applyNumberFormat="1" applyFont="1" applyFill="1" applyBorder="1" applyAlignment="1">
      <x:alignment vertical="center" wrapText="1"/>
    </x:xf>
  </x:cellXfs>
  <x:cellStyles count="1">
    <x:cellStyle name="Normal" xfId="0"/>
  </x:cellStyles>
  <x:dxfs count="2">
    <x:dxf>
      <x:font>
        <x:b/>
        <x:color rgb="FF9C1C1C"/>
      </x:font>
      <x:fill>
        <x:patternFill>
          <x:bgColor rgb="FFFDE9E7"/>
        </x:patternFill>
      </x:fill>
    </x:dxf>
    <x:dxf>
      <x:font>
        <x:color rgb="FF5F43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e69aa212e2c45d1" /><Relationship Type="http://schemas.openxmlformats.org/officeDocument/2006/relationships/theme" Target="/xl/theme/theme1.xml" Id="R13d5ac84ef254261" /><Relationship Type="http://schemas.microsoft.com/office/2022/11/relationships/FeaturePropertyBag" Target="/xl/featurePropertyBag/featurePropertyBag.xml" Id="R4ae3e8d578f24bef" /><Relationship Type="http://schemas.openxmlformats.org/officeDocument/2006/relationships/sharedStrings" Target="/xl/sharedStrings.xml" Id="R3ec72922aabc476f" /><Relationship Type="http://schemas.openxmlformats.org/officeDocument/2006/relationships/worksheet" Target="/xl/worksheets/sheet1.xml" Id="Rb84d4dc94dd74a82" /><Relationship Type="http://schemas.openxmlformats.org/officeDocument/2006/relationships/worksheet" Target="/xl/worksheets/sheet2.xml" Id="R90a634d18fb94141" /><Relationship Type="http://schemas.openxmlformats.org/officeDocument/2006/relationships/worksheet" Target="/xl/worksheets/sheet3.xml" Id="Rfa149f52789d4c7f" /><Relationship Type="http://schemas.openxmlformats.org/officeDocument/2006/relationships/worksheet" Target="/xl/worksheets/sheet4.xml" Id="R267a2ecdacea45d8" /><Relationship Type="http://schemas.openxmlformats.org/officeDocument/2006/relationships/worksheet" Target="/xl/worksheets/sheet5.xml" Id="R14a61c06af914128" /><Relationship Type="http://schemas.openxmlformats.org/officeDocument/2006/relationships/worksheet" Target="/xl/worksheets/sheet6.xml" Id="Rddc4b450737c4634" /><Relationship Type="http://schemas.openxmlformats.org/officeDocument/2006/relationships/worksheet" Target="/xl/worksheets/sheet7.xml" Id="Rc7eb255f30234d98" /><Relationship Type="http://schemas.openxmlformats.org/officeDocument/2006/relationships/worksheet" Target="/xl/worksheets/sheet8.xml" Id="R10a9aa681153416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trategicUat01" displayName="StrategicUat01" ref="A7:M51" headerRowCount="1" totalsRowCount="0" totalsRowShown="0">
  <x:autoFilter ref="A7:M51"/>
  <x:tableColumns count="13">
    <x:tableColumn id="1" name="ID"/>
    <x:tableColumn id="2" name="Fase"/>
    <x:tableColumn id="3" name="Proceso"/>
    <x:tableColumn id="4" name="Prerrequisito ADMIN"/>
    <x:tableColumn id="5" name="Transacción USER"/>
    <x:tableColumn id="6" name="Entrada"/>
    <x:tableColumn id="7" name="Salida"/>
    <x:tableColumn id="8" name="Autoridad"/>
    <x:tableColumn id="9" name="Siguiente proceso"/>
    <x:tableColumn id="10" name="Dependencia"/>
    <x:tableColumn id="11" name="R"/>
    <x:tableColumn id="12" name="A"/>
    <x:tableColumn id="13" name="C e I"/>
  </x:tableColumns>
  <x:tableStyleInfo name="TableStyleMedium2" showFirstColumn="0" showLastColumn="0" showRowStripes="1" showColumnStripes="0"/>
</x:table>
</file>

<file path=xl/tables/table2.xml><?xml version="1.0" encoding="utf-8"?>
<x:table xmlns:x="http://schemas.openxmlformats.org/spreadsheetml/2006/main" id="2" name="StrategicUat02" displayName="StrategicUat02" ref="A7:K58" headerRowCount="1" totalsRowCount="0" totalsRowShown="0">
  <x:autoFilter ref="A7:K58"/>
  <x:tableColumns count="11">
    <x:tableColumn id="1" name="UAT ID"/>
    <x:tableColumn id="2" name="Proceso de negocio"/>
    <x:tableColumn id="3" name="Precondiciones"/>
    <x:tableColumn id="4" name="Persona"/>
    <x:tableColumn id="5" name="Datos"/>
    <x:tableColumn id="6" name="Pasos"/>
    <x:tableColumn id="7" name="Resultado esperado"/>
    <x:tableColumn id="8" name="Resultado real"/>
    <x:tableColumn id="9" name="Evidencia y alcance"/>
    <x:tableColumn id="10" name="Estado"/>
    <x:tableColumn id="11" name="Defecto ID"/>
  </x:tableColumns>
  <x:tableStyleInfo name="TableStyleMedium2" showFirstColumn="0" showLastColumn="0" showRowStripes="1" showColumnStripes="0"/>
</x:table>
</file>

<file path=xl/tables/table3.xml><?xml version="1.0" encoding="utf-8"?>
<x:table xmlns:x="http://schemas.openxmlformats.org/spreadsheetml/2006/main" id="3" name="StrategicUat03" displayName="StrategicUat03" ref="A7:J991" headerRowCount="1" totalsRowCount="0" totalsRowShown="0">
  <x:autoFilter ref="A7:J991"/>
  <x:tableColumns count="10">
    <x:tableColumn id="1" name="ID"/>
    <x:tableColumn id="2" name="Tipo"/>
    <x:tableColumn id="3" name="Ruta o endpoint"/>
    <x:tableColumn id="4" name="Modo"/>
    <x:tableColumn id="5" name="Módulo o pantalla"/>
    <x:tableColumn id="6" name="Propósito"/>
    <x:tableColumn id="7" name="Permiso"/>
    <x:tableColumn id="8" name="Estado de uso"/>
    <x:tableColumn id="9" name="Consumidor"/>
    <x:tableColumn id="10" name="Cobertura y cautela"/>
  </x:tableColumns>
  <x:tableStyleInfo name="TableStyleMedium2" showFirstColumn="0" showLastColumn="0" showRowStripes="1" showColumnStripes="0"/>
</x:table>
</file>

<file path=xl/tables/table4.xml><?xml version="1.0" encoding="utf-8"?>
<x:table xmlns:x="http://schemas.openxmlformats.org/spreadsheetml/2006/main" id="4" name="StrategicUat04" displayName="StrategicUat04" ref="A7:L204" headerRowCount="1" totalsRowCount="0" totalsRowShown="0">
  <x:autoFilter ref="A7:L204"/>
  <x:tableColumns count="12">
    <x:tableColumn id="1" name="ID"/>
    <x:tableColumn id="2" name="Modo"/>
    <x:tableColumn id="3" name="Fase"/>
    <x:tableColumn id="4" name="Orden"/>
    <x:tableColumn id="5" name="Ruta"/>
    <x:tableColumn id="6" name="Breadcrumb"/>
    <x:tableColumn id="7" name="Componente"/>
    <x:tableColumn id="8" name="Clasificación"/>
    <x:tableColumn id="9" name="Uso"/>
    <x:tableColumn id="10" name="Duplicidad"/>
    <x:tableColumn id="11" name="Retiro"/>
    <x:tableColumn id="12" name="Dependencias"/>
  </x:tableColumns>
  <x:tableStyleInfo name="TableStyleMedium2" showFirstColumn="0" showLastColumn="0" showRowStripes="1" showColumnStripes="0"/>
</x:table>
</file>

<file path=xl/tables/table5.xml><?xml version="1.0" encoding="utf-8"?>
<x:table xmlns:x="http://schemas.openxmlformats.org/spreadsheetml/2006/main" id="5" name="StrategicUat05" displayName="StrategicUat05" ref="A7:D33" headerRowCount="1" totalsRowCount="0" totalsRowShown="0">
  <x:autoFilter ref="A7:D33"/>
  <x:tableColumns count="4">
    <x:tableColumn id="1" name="Regla ID"/>
    <x:tableColumn id="2" name="Regla de negocio"/>
    <x:tableColumn id="3" name="Implementación o prueba de referencia"/>
    <x:tableColumn id="4" name="Tipo de evidencia"/>
  </x:tableColumns>
  <x:tableStyleInfo name="TableStyleMedium2" showFirstColumn="0" showLastColumn="0" showRowStripes="1" showColumnStripes="0"/>
</x:table>
</file>

<file path=xl/tables/table6.xml><?xml version="1.0" encoding="utf-8"?>
<x:table xmlns:x="http://schemas.openxmlformats.org/spreadsheetml/2006/main" id="6" name="StrategicUat06" displayName="StrategicUat06" ref="A7:I23" headerRowCount="1" totalsRowCount="0" totalsRowShown="0">
  <x:autoFilter ref="A7:I23"/>
  <x:tableColumns count="9">
    <x:tableColumn id="1" name="Defecto ID"/>
    <x:tableColumn id="2" name="Clasificación"/>
    <x:tableColumn id="3" name="Severidad"/>
    <x:tableColumn id="4" name="Título"/>
    <x:tableColumn id="5" name="Resultado o impacto"/>
    <x:tableColumn id="6" name="Estado"/>
    <x:tableColumn id="7" name="Acción o workaround"/>
    <x:tableColumn id="8" name="Responsable"/>
    <x:tableColumn id="9" name="Evidencia"/>
  </x:tableColumns>
  <x:tableStyleInfo name="TableStyleMedium2" showFirstColumn="0" showLastColumn="0" showRowStripes="1" showColumnStripes="0"/>
</x:table>
</file>

<file path=xl/tables/table7.xml><?xml version="1.0" encoding="utf-8"?>
<x:table xmlns:x="http://schemas.openxmlformats.org/spreadsheetml/2006/main" id="7" name="StrategicUat07" displayName="StrategicUat07" ref="A7:H102" headerRowCount="1" totalsRowCount="0" totalsRowShown="0">
  <x:autoFilter ref="A7:H102"/>
  <x:tableColumns count="8">
    <x:tableColumn id="1" name="ID"/>
    <x:tableColumn id="2" name="Área"/>
    <x:tableColumn id="3" name="Candidato"/>
    <x:tableColumn id="4" name="Clasificación"/>
    <x:tableColumn id="5" name="Evidencia"/>
    <x:tableColumn id="6" name="Acción o fundamento"/>
    <x:tableColumn id="7" name="Eliminado"/>
    <x:tableColumn id="8" name="Regresión de retiro"/>
  </x:tableColumns>
  <x:tableStyleInfo name="TableStyleMedium2" showFirstColumn="0" showLastColumn="0" showRowStripes="1" showColumnStripes="0"/>
</x:table>
</file>

<file path=xl/tables/table8.xml><?xml version="1.0" encoding="utf-8"?>
<x:table xmlns:x="http://schemas.openxmlformats.org/spreadsheetml/2006/main" id="8" name="StrategicUat08" displayName="StrategicUat08" ref="A7:J37" headerRowCount="1" totalsRowCount="0" totalsRowShown="0">
  <x:autoFilter ref="A7:J37"/>
  <x:tableColumns count="10">
    <x:tableColumn id="1" name="Criterio ID"/>
    <x:tableColumn id="2" name="Criterio"/>
    <x:tableColumn id="3" name="Tipo"/>
    <x:tableColumn id="4" name="Resultado técnico o condición"/>
    <x:tableColumn id="5" name="Estado o decisión editable"/>
    <x:tableColumn id="6" name="Evidencia técnica"/>
    <x:tableColumn id="7" name="Firmante autorizado"/>
    <x:tableColumn id="8" name="Fecha firma"/>
    <x:tableColumn id="9" name="Evidencia de firma"/>
    <x:tableColumn id="10" name="Estado calculad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34b0a0eea38475c" /></Relationships>
</file>

<file path=xl/worksheets/_rels/sheet2.xml.rels>&#65279;<?xml version="1.0" encoding="utf-8"?><Relationships xmlns="http://schemas.openxmlformats.org/package/2006/relationships"><Relationship Type="http://schemas.openxmlformats.org/officeDocument/2006/relationships/table" Target="/xl/tables/table2.xml" Id="Raafed88d132d4403" /></Relationships>
</file>

<file path=xl/worksheets/_rels/sheet3.xml.rels>&#65279;<?xml version="1.0" encoding="utf-8"?><Relationships xmlns="http://schemas.openxmlformats.org/package/2006/relationships"><Relationship Type="http://schemas.openxmlformats.org/officeDocument/2006/relationships/table" Target="/xl/tables/table3.xml" Id="Ra1800ba6b2fa4f80" /></Relationships>
</file>

<file path=xl/worksheets/_rels/sheet4.xml.rels>&#65279;<?xml version="1.0" encoding="utf-8"?><Relationships xmlns="http://schemas.openxmlformats.org/package/2006/relationships"><Relationship Type="http://schemas.openxmlformats.org/officeDocument/2006/relationships/table" Target="/xl/tables/table4.xml" Id="R3c852e5e41d94b1d" /></Relationships>
</file>

<file path=xl/worksheets/_rels/sheet5.xml.rels>&#65279;<?xml version="1.0" encoding="utf-8"?><Relationships xmlns="http://schemas.openxmlformats.org/package/2006/relationships"><Relationship Type="http://schemas.openxmlformats.org/officeDocument/2006/relationships/table" Target="/xl/tables/table5.xml" Id="R327529e203f44616" /></Relationships>
</file>

<file path=xl/worksheets/_rels/sheet6.xml.rels>&#65279;<?xml version="1.0" encoding="utf-8"?><Relationships xmlns="http://schemas.openxmlformats.org/package/2006/relationships"><Relationship Type="http://schemas.openxmlformats.org/officeDocument/2006/relationships/table" Target="/xl/tables/table6.xml" Id="R5cf4213bc343442c" /></Relationships>
</file>

<file path=xl/worksheets/_rels/sheet7.xml.rels>&#65279;<?xml version="1.0" encoding="utf-8"?><Relationships xmlns="http://schemas.openxmlformats.org/package/2006/relationships"><Relationship Type="http://schemas.openxmlformats.org/officeDocument/2006/relationships/table" Target="/xl/tables/table7.xml" Id="Ra8493e1b2a274ca0" /></Relationships>
</file>

<file path=xl/worksheets/_rels/sheet8.xml.rels>&#65279;<?xml version="1.0" encoding="utf-8"?><Relationships xmlns="http://schemas.openxmlformats.org/package/2006/relationships"><Relationship Type="http://schemas.openxmlformats.org/officeDocument/2006/relationships/table" Target="/xl/tables/table8.xml" Id="R5c82e61d83704689" /></Relationships>
</file>

<file path=xl/worksheets/sheet1.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0" hidden="0" customWidth="1"/>
    <x:col min="2" max="2" width="25" hidden="0" customWidth="1"/>
    <x:col min="3" max="3" width="38" hidden="0" customWidth="1"/>
    <x:col min="4" max="4" width="43" hidden="0" customWidth="1"/>
    <x:col min="5" max="5" width="34" hidden="0" customWidth="1"/>
    <x:col min="6" max="6" width="34" hidden="0" customWidth="1"/>
    <x:col min="7" max="7" width="34" hidden="0" customWidth="1"/>
    <x:col min="8" max="8" width="27" hidden="0" customWidth="1"/>
    <x:col min="9" max="9" width="23" hidden="0" customWidth="1"/>
    <x:col min="10" max="10" width="27" hidden="0" customWidth="1"/>
    <x:col min="11" max="11" width="27" hidden="0" customWidth="1"/>
    <x:col min="12" max="12" width="27" hidden="0" customWidth="1"/>
    <x:col min="13" max="13" width="42" hidden="0" customWidth="1"/>
  </x:cols>
  <x:sheetData>
    <x:row r="2" ht="26" customHeight="1">
      <x:c r="A2" s="1" t="str">
        <x:v>Procesos y autoridades del macroproceso estratégico</x:v>
      </x:c>
    </x:row>
    <x:row r="3">
      <x:c r="A3" s="2"/>
      <x:c r="B3" s="2"/>
      <x:c r="C3" s="2"/>
      <x:c r="D3" s="2"/>
      <x:c r="E3" s="2"/>
      <x:c r="F3" s="2"/>
      <x:c r="G3" s="2"/>
      <x:c r="H3" s="2"/>
      <x:c r="I3" s="2"/>
      <x:c r="J3" s="2"/>
      <x:c r="K3" s="2"/>
      <x:c r="L3" s="2"/>
      <x:c r="M3" s="2"/>
    </x:row>
    <x:row r="4">
      <x:c r="A4" s="3" t="str">
        <x:v>Corte 14 octubre 2026</x:v>
      </x:c>
      <x:c r="B4" s="3"/>
      <x:c r="C4" s="3"/>
      <x:c r="D4" s="3" t="str">
        <x:v>Fuente del registro</x:v>
      </x:c>
      <x:c r="E4" s="3" t="str">
        <x:v>Registro de 44 procesos y RACI. RACI propuesto sin firma organizacional.</x:v>
      </x:c>
      <x:c r="F4" s="3"/>
      <x:c r="G4" s="3"/>
      <x:c r="H4" s="3"/>
      <x:c r="I4" s="3"/>
      <x:c r="J4" s="3"/>
      <x:c r="K4" s="3"/>
      <x:c r="L4" s="3"/>
      <x:c r="M4" s="3"/>
    </x:row>
    <x:row r="5">
      <x:c r="A5" s="3" t="str">
        <x:v>Registros</x:v>
      </x:c>
      <x:c r="B5" s="3" t="n">
        <x:f>COUNTA(A8:A51)</x:f>
        <x:v>44</x:v>
      </x:c>
      <x:c r="C5" s="3"/>
      <x:c r="D5" s="3"/>
      <x:c r="E5" s="3"/>
      <x:c r="F5" s="3"/>
      <x:c r="G5" s="3"/>
      <x:c r="H5" s="3"/>
      <x:c r="I5" s="3"/>
      <x:c r="J5" s="3"/>
      <x:c r="K5" s="3"/>
      <x:c r="L5" s="3"/>
      <x:c r="M5" s="3"/>
    </x:row>
    <x:row r="7" ht="34" customHeight="1">
      <x:c r="A7" s="10" t="str">
        <x:v>ID</x:v>
      </x:c>
      <x:c r="B7" s="11" t="str">
        <x:v>Fase</x:v>
      </x:c>
      <x:c r="C7" s="11" t="str">
        <x:v>Proceso</x:v>
      </x:c>
      <x:c r="D7" s="11" t="str">
        <x:v>Prerrequisito ADMIN</x:v>
      </x:c>
      <x:c r="E7" s="11" t="str">
        <x:v>Transacción USER</x:v>
      </x:c>
      <x:c r="F7" s="11" t="str">
        <x:v>Entrada</x:v>
      </x:c>
      <x:c r="G7" s="11" t="str">
        <x:v>Salida</x:v>
      </x:c>
      <x:c r="H7" s="11" t="str">
        <x:v>Autoridad</x:v>
      </x:c>
      <x:c r="I7" s="11" t="str">
        <x:v>Siguiente proceso</x:v>
      </x:c>
      <x:c r="J7" s="11" t="str">
        <x:v>Dependencia</x:v>
      </x:c>
      <x:c r="K7" s="11" t="str">
        <x:v>R</x:v>
      </x:c>
      <x:c r="L7" s="11" t="str">
        <x:v>A</x:v>
      </x:c>
      <x:c r="M7" s="12" t="str">
        <x:v>C e I</x:v>
      </x:c>
    </x:row>
    <x:row r="8" ht="53" customHeight="1">
      <x:c r="A8" s="14" t="str">
        <x:v>P01</x:v>
      </x:c>
      <x:c r="B8" s="6" t="str">
        <x:v>Enterprise / Workspace Governance</x:v>
      </x:c>
      <x:c r="C8" s="6" t="str">
        <x:v>Reusable Workspace Types / hierarchy / numbering</x:v>
      </x:c>
      <x:c r="D8" s="6" t="str">
        <x:v>Published type/hierarchy/Record Code/numbering policy</x:v>
      </x:c>
      <x:c r="E8" s="6" t="str">
        <x:v>ADMIN reusable preparation</x:v>
      </x:c>
      <x:c r="F8" s="6" t="str">
        <x:v>Governance configuration</x:v>
      </x:c>
      <x:c r="G8" s="6" t="str">
        <x:v>Published reusable configuration</x:v>
      </x:c>
      <x:c r="H8" s="6" t="str">
        <x:v>Enterprise Administrator</x:v>
      </x:c>
      <x:c r="I8" s="6" t="str">
        <x:v>P02</x:v>
      </x:c>
      <x:c r="J8" s="6" t="str">
        <x:v>MANDATORY PREDECESSOR</x:v>
      </x:c>
      <x:c r="K8" s="6" t="str">
        <x:v>Enterprise Administrator</x:v>
      </x:c>
      <x:c r="L8" s="6" t="str">
        <x:v>Independent configured publisher</x:v>
      </x:c>
      <x:c r="M8" s="6" t="str">
        <x:v>C: Project Sponsor; Project Controls; Relevant domain reviewer. I: Read-only Executive</x:v>
      </x:c>
    </x:row>
    <x:row r="9" ht="53" customHeight="1">
      <x:c r="A9" s="15" t="str">
        <x:v>P02</x:v>
      </x:c>
      <x:c r="B9" s="13" t="str">
        <x:v>Enterprise / Workspace Governance</x:v>
      </x:c>
      <x:c r="C9" s="13" t="str">
        <x:v>Live Enterprise / Business Unit / Portfolio instances</x:v>
      </x:c>
      <x:c r="D9" s="13" t="str">
        <x:v>P01 published taxonomy and parent rules</x:v>
      </x:c>
      <x:c r="E9" s="13" t="str">
        <x:v>Enterprise structure and Workspace context</x:v>
      </x:c>
      <x:c r="F9" s="13" t="str">
        <x:v>Instance fields</x:v>
      </x:c>
      <x:c r="G9" s="13" t="str">
        <x:v>Canonical Workspace hierarchy</x:v>
      </x:c>
      <x:c r="H9" s="13" t="str">
        <x:v>Enterprise Administrator</x:v>
      </x:c>
      <x:c r="I9" s="13" t="str">
        <x:v>P03</x:v>
      </x:c>
      <x:c r="J9" s="13" t="str">
        <x:v>MANDATORY PREDECESSOR</x:v>
      </x:c>
      <x:c r="K9" s="13" t="str">
        <x:v>Enterprise Administrator</x:v>
      </x:c>
      <x:c r="L9" s="13" t="str">
        <x:v>Enterprise Administrator</x:v>
      </x:c>
      <x:c r="M9" s="13" t="str">
        <x:v>C: Project Sponsor; Project Controls; Relevant domain reviewer. I: Read-only Executive</x:v>
      </x:c>
    </x:row>
    <x:row r="10" ht="53" customHeight="1">
      <x:c r="A10" s="14" t="str">
        <x:v>P03</x:v>
      </x:c>
      <x:c r="B10" s="6" t="str">
        <x:v>Enterprise / Workspace Governance</x:v>
      </x:c>
      <x:c r="C10" s="6" t="str">
        <x:v>Enterprise Explorer and Workspace Context</x:v>
      </x:c>
      <x:c r="D10" s="6" t="str">
        <x:v>Authorized live Workspace</x:v>
      </x:c>
      <x:c r="E10" s="6" t="str">
        <x:v>Enterprise structure and Workspace context</x:v>
      </x:c>
      <x:c r="F10" s="6" t="str">
        <x:v>Scoped identity</x:v>
      </x:c>
      <x:c r="G10" s="6" t="str">
        <x:v>Read-only shared context</x:v>
      </x:c>
      <x:c r="H10" s="6" t="str">
        <x:v>Read-only Executive</x:v>
      </x:c>
      <x:c r="I10" s="6" t="str">
        <x:v>P04</x:v>
      </x:c>
      <x:c r="J10" s="6" t="str">
        <x:v>PARALLEL-CAPABLE</x:v>
      </x:c>
      <x:c r="K10" s="6" t="str">
        <x:v>Read-only Executive</x:v>
      </x:c>
      <x:c r="L10" s="6" t="str">
        <x:v>Read-only Executive</x:v>
      </x:c>
      <x:c r="M10" s="6" t="str">
        <x:v>C: Project Sponsor; Project Controls; Relevant domain reviewer. I: Read-only Executive</x:v>
      </x:c>
    </x:row>
    <x:row r="11" ht="53" customHeight="1">
      <x:c r="A11" s="15" t="str">
        <x:v>P04</x:v>
      </x:c>
      <x:c r="B11" s="13" t="str">
        <x:v>Strategic Capital Planning</x:v>
      </x:c>
      <x:c r="C11" s="13" t="str">
        <x:v>Capital Planning Cycle</x:v>
      </x:c>
      <x:c r="D11" s="13" t="str">
        <x:v>Capital Planning policy and published theme catalog</x:v>
      </x:c>
      <x:c r="E11" s="13" t="str">
        <x:v>Strategic capital demand, cycles, buckets and allocation</x:v>
      </x:c>
      <x:c r="F11" s="13" t="str">
        <x:v>Horizon/scope/currency</x:v>
      </x:c>
      <x:c r="G11" s="13" t="str">
        <x:v>OPEN cycle</x:v>
      </x:c>
      <x:c r="H11" s="13" t="str">
        <x:v>Capital Planning Administrator</x:v>
      </x:c>
      <x:c r="I11" s="13" t="str">
        <x:v>P05</x:v>
      </x:c>
      <x:c r="J11" s="13" t="str">
        <x:v>MANDATORY PREDECESSOR</x:v>
      </x:c>
      <x:c r="K11" s="13" t="str">
        <x:v>Capital Planning Administrator</x:v>
      </x:c>
      <x:c r="L11" s="13" t="str">
        <x:v>Capital Planning Administrator</x:v>
      </x:c>
      <x:c r="M11" s="13" t="str">
        <x:v>C: Project Sponsor; Project Controls; Relevant domain reviewer. I: Read-only Executive</x:v>
      </x:c>
    </x:row>
    <x:row r="12" ht="53" customHeight="1">
      <x:c r="A12" s="14" t="str">
        <x:v>P05</x:v>
      </x:c>
      <x:c r="B12" s="6" t="str">
        <x:v>Strategic Capital Planning</x:v>
      </x:c>
      <x:c r="C12" s="6" t="str">
        <x:v>Strategic Capital Demand</x:v>
      </x:c>
      <x:c r="D12" s="6" t="str">
        <x:v>OPEN cycle and effective demand policy</x:v>
      </x:c>
      <x:c r="E12" s="6" t="str">
        <x:v>Strategic capital demand, cycles, buckets and allocation</x:v>
      </x:c>
      <x:c r="F12" s="6" t="str">
        <x:v>Need/sponsor/themes/objectives/value range</x:v>
      </x:c>
      <x:c r="G12" s="6" t="str">
        <x:v>ENDORSED demand / optional Idea origin</x:v>
      </x:c>
      <x:c r="H12" s="6" t="str">
        <x:v>Project Sponsor</x:v>
      </x:c>
      <x:c r="I12" s="6" t="str">
        <x:v>P08</x:v>
      </x:c>
      <x:c r="J12" s="6" t="str">
        <x:v>OPTIONAL</x:v>
      </x:c>
      <x:c r="K12" s="6" t="str">
        <x:v>Project Sponsor</x:v>
      </x:c>
      <x:c r="L12" s="6" t="str">
        <x:v>Project Sponsor</x:v>
      </x:c>
      <x:c r="M12" s="6" t="str">
        <x:v>C: Project Sponsor; Project Controls; Relevant domain reviewer. I: Read-only Executive</x:v>
      </x:c>
    </x:row>
    <x:row r="13" ht="53" customHeight="1">
      <x:c r="A13" s="15" t="str">
        <x:v>P06</x:v>
      </x:c>
      <x:c r="B13" s="13" t="str">
        <x:v>Strategic Capital Planning</x:v>
      </x:c>
      <x:c r="C13" s="13" t="str">
        <x:v>Capital Buckets and Allocation Targets</x:v>
      </x:c>
      <x:c r="D13" s="13" t="str">
        <x:v>ADMIN bucket taxonomy; USER allocation plan policy</x:v>
      </x:c>
      <x:c r="E13" s="13" t="str">
        <x:v>Strategic capital demand, cycles, buckets and allocation</x:v>
      </x:c>
      <x:c r="F13" s="13" t="str">
        <x:v>Cycle/buckets/targets</x:v>
      </x:c>
      <x:c r="G13" s="13" t="str">
        <x:v>Governed Target position</x:v>
      </x:c>
      <x:c r="H13" s="13" t="str">
        <x:v>Portfolio Manager</x:v>
      </x:c>
      <x:c r="I13" s="13" t="str">
        <x:v>P07</x:v>
      </x:c>
      <x:c r="J13" s="13" t="str">
        <x:v>MANDATORY PREDECESSOR</x:v>
      </x:c>
      <x:c r="K13" s="13" t="str">
        <x:v>Portfolio Manager</x:v>
      </x:c>
      <x:c r="L13" s="13" t="str">
        <x:v>Portfolio Manager</x:v>
      </x:c>
      <x:c r="M13" s="13" t="str">
        <x:v>C: Project Sponsor; Project Controls; Relevant domain reviewer. I: Read-only Executive</x:v>
      </x:c>
    </x:row>
    <x:row r="14" ht="53" customHeight="1">
      <x:c r="A14" s="14" t="str">
        <x:v>P07</x:v>
      </x:c>
      <x:c r="B14" s="6" t="str">
        <x:v>Strategic Capital Planning</x:v>
      </x:c>
      <x:c r="C14" s="6" t="str">
        <x:v>Target / Current / Recommended / Approved positions</x:v>
      </x:c>
      <x:c r="D14" s="6" t="str">
        <x:v>Actual membership, recommendation and formal decision authority</x:v>
      </x:c>
      <x:c r="E14" s="6" t="str">
        <x:v>Strategic capital demand, cycles, buckets and allocation</x:v>
      </x:c>
      <x:c r="F14" s="6" t="str">
        <x:v>Frozen/current governed sources</x:v>
      </x:c>
      <x:c r="G14" s="6" t="str">
        <x:v>Comparable positions without auto-approval</x:v>
      </x:c>
      <x:c r="H14" s="6" t="str">
        <x:v>Portfolio Manager</x:v>
      </x:c>
      <x:c r="I14" s="6" t="str">
        <x:v>P21</x:v>
      </x:c>
      <x:c r="J14" s="6" t="str">
        <x:v>PARALLEL-CAPABLE</x:v>
      </x:c>
      <x:c r="K14" s="6" t="str">
        <x:v>Portfolio Manager</x:v>
      </x:c>
      <x:c r="L14" s="6" t="str">
        <x:v>Portfolio Manager</x:v>
      </x:c>
      <x:c r="M14" s="6" t="str">
        <x:v>C: Project Sponsor; Project Controls; Relevant domain reviewer. I: Read-only Executive</x:v>
      </x:c>
    </x:row>
    <x:row r="15" ht="53" customHeight="1">
      <x:c r="A15" s="15" t="str">
        <x:v>P08</x:v>
      </x:c>
      <x:c r="B15" s="13" t="str">
        <x:v>Investment Origination</x:v>
      </x:c>
      <x:c r="C15" s="13" t="str">
        <x:v>Idea origination and intake</x:v>
      </x:c>
      <x:c r="D15" s="13" t="str">
        <x:v>Published Idea policy; eligible enterprise/business-unit/portfolio</x:v>
      </x:c>
      <x:c r="E15" s="13" t="str">
        <x:v>Idea, evaluation and governed Business Analysis</x:v>
      </x:c>
      <x:c r="F15" s="13" t="str">
        <x:v>Need/objectives/scope</x:v>
      </x:c>
      <x:c r="G15" s="13" t="str">
        <x:v>Submitted/screened owned Idea</x:v>
      </x:c>
      <x:c r="H15" s="13" t="str">
        <x:v>Investment Originator</x:v>
      </x:c>
      <x:c r="I15" s="13" t="str">
        <x:v>P09</x:v>
      </x:c>
      <x:c r="J15" s="13" t="str">
        <x:v>MANDATORY PREDECESSOR</x:v>
      </x:c>
      <x:c r="K15" s="13" t="str">
        <x:v>Investment Originator</x:v>
      </x:c>
      <x:c r="L15" s="13" t="str">
        <x:v>Independent Business Analysis Reviewer where BA required</x:v>
      </x:c>
      <x:c r="M15" s="13" t="str">
        <x:v>C: Project Sponsor; Project Controls; Relevant domain reviewer. I: Read-only Executive</x:v>
      </x:c>
    </x:row>
    <x:row r="16" ht="53" customHeight="1">
      <x:c r="A16" s="14" t="str">
        <x:v>P09</x:v>
      </x:c>
      <x:c r="B16" s="6" t="str">
        <x:v>Investment Origination</x:v>
      </x:c>
      <x:c r="C16" s="6" t="str">
        <x:v>Idea Evaluation and acceptance</x:v>
      </x:c>
      <x:c r="D16" s="6" t="str">
        <x:v>Published evaluation matrix and assigned owner</x:v>
      </x:c>
      <x:c r="E16" s="6" t="str">
        <x:v>Idea, evaluation and governed Business Analysis</x:v>
      </x:c>
      <x:c r="F16" s="6" t="str">
        <x:v>Ratings/evidence</x:v>
      </x:c>
      <x:c r="G16" s="6" t="str">
        <x:v>Immutable evaluation and ACCEPTED Idea</x:v>
      </x:c>
      <x:c r="H16" s="6" t="str">
        <x:v>Project Sponsor</x:v>
      </x:c>
      <x:c r="I16" s="6" t="str">
        <x:v>P10</x:v>
      </x:c>
      <x:c r="J16" s="6" t="str">
        <x:v>CONDITIONAL</x:v>
      </x:c>
      <x:c r="K16" s="6" t="str">
        <x:v>Project Sponsor</x:v>
      </x:c>
      <x:c r="L16" s="6" t="str">
        <x:v>Independent Business Analysis Reviewer where BA required</x:v>
      </x:c>
      <x:c r="M16" s="6" t="str">
        <x:v>C: Project Sponsor; Project Controls; Relevant domain reviewer. I: Read-only Executive</x:v>
      </x:c>
    </x:row>
    <x:row r="17" ht="53" customHeight="1">
      <x:c r="A17" s="15" t="str">
        <x:v>P10</x:v>
      </x:c>
      <x:c r="B17" s="13" t="str">
        <x:v>Investment Origination</x:v>
      </x:c>
      <x:c r="C17" s="13" t="str">
        <x:v>Business Analysis and alternatives</x:v>
      </x:c>
      <x:c r="D17" s="13" t="str">
        <x:v>Required by effective/snapshotted Idea governance policy</x:v>
      </x:c>
      <x:c r="E17" s="13" t="str">
        <x:v>Idea, evaluation and governed Business Analysis</x:v>
      </x:c>
      <x:c r="F17" s="13" t="str">
        <x:v>Accepted Idea/actual alternatives</x:v>
      </x:c>
      <x:c r="G17" s="13" t="str">
        <x:v>Independently COMPLETED BA / READY_FOR_PROJECT_PROPOSAL</x:v>
      </x:c>
      <x:c r="H17" s="13" t="str">
        <x:v>Investment / Project Manager</x:v>
      </x:c>
      <x:c r="I17" s="13" t="str">
        <x:v>P11</x:v>
      </x:c>
      <x:c r="J17" s="13" t="str">
        <x:v>CONDITIONAL</x:v>
      </x:c>
      <x:c r="K17" s="13" t="str">
        <x:v>Investment / Project Manager</x:v>
      </x:c>
      <x:c r="L17" s="13" t="str">
        <x:v>Independent Business Analysis Reviewer where BA required</x:v>
      </x:c>
      <x:c r="M17" s="13" t="str">
        <x:v>C: Project Sponsor; Project Controls; Relevant domain reviewer. I: Read-only Executive</x:v>
      </x:c>
    </x:row>
    <x:row r="18" ht="53" customHeight="1">
      <x:c r="A18" s="14" t="str">
        <x:v>P11</x:v>
      </x:c>
      <x:c r="B18" s="6" t="str">
        <x:v>Investment Origination</x:v>
      </x:c>
      <x:c r="C18" s="6" t="str">
        <x:v>Project Proposal</x:v>
      </x:c>
      <x:c r="D18" s="6" t="str">
        <x:v>Accepted eligible Idea and required current BA</x:v>
      </x:c>
      <x:c r="E18" s="6" t="str">
        <x:v>Project Proposal</x:v>
      </x:c>
      <x:c r="F18" s="6" t="str">
        <x:v>Scope/benefits/ROM/risks</x:v>
      </x:c>
      <x:c r="G18" s="6" t="str">
        <x:v>READY_FOR_STRATEGIC_GATE stored; readiness READY_FOR_STRATEGIC_GATE_DECISION</x:v>
      </x:c>
      <x:c r="H18" s="6" t="str">
        <x:v>Project Sponsor</x:v>
      </x:c>
      <x:c r="I18" s="6" t="str">
        <x:v>P12</x:v>
      </x:c>
      <x:c r="J18" s="6" t="str">
        <x:v>MANDATORY PREDECESSOR</x:v>
      </x:c>
      <x:c r="K18" s="6" t="str">
        <x:v>Project Sponsor</x:v>
      </x:c>
      <x:c r="L18" s="6" t="str">
        <x:v>Configured Proposal reviewer / owner authority</x:v>
      </x:c>
      <x:c r="M18" s="6" t="str">
        <x:v>C: Project Sponsor; Project Controls; Relevant domain reviewer. I: Read-only Executive</x:v>
      </x:c>
    </x:row>
    <x:row r="19" ht="53" customHeight="1">
      <x:c r="A19" s="15" t="str">
        <x:v>P12</x:v>
      </x:c>
      <x:c r="B19" s="13" t="str">
        <x:v>Investment Origination</x:v>
      </x:c>
      <x:c r="C19" s="13" t="str">
        <x:v>Strategic Gate Decision</x:v>
      </x:c>
      <x:c r="D19" s="13" t="str">
        <x:v>Proposal ready and authority/committee configuration</x:v>
      </x:c>
      <x:c r="E19" s="13" t="str">
        <x:v>Strategic Gate</x:v>
      </x:c>
      <x:c r="F19" s="13" t="str">
        <x:v>Reviewed proposal snapshot</x:v>
      </x:c>
      <x:c r="G19" s="13" t="str">
        <x:v>APPROVE→READY_FOR_PORTFOLIO_INTAKE</x:v>
      </x:c>
      <x:c r="H19" s="13" t="str">
        <x:v>Investment Committee / Decision Maker</x:v>
      </x:c>
      <x:c r="I19" s="13" t="str">
        <x:v>P13</x:v>
      </x:c>
      <x:c r="J19" s="13" t="str">
        <x:v>MANDATORY PREDECESSOR</x:v>
      </x:c>
      <x:c r="K19" s="13" t="str">
        <x:v>Investment Committee / Decision Maker</x:v>
      </x:c>
      <x:c r="L19" s="13" t="str">
        <x:v>Strategic Gate Decision Maker</x:v>
      </x:c>
      <x:c r="M19" s="13" t="str">
        <x:v>C: Project Sponsor; Project Controls; Relevant domain reviewer. I: Read-only Executive</x:v>
      </x:c>
    </x:row>
    <x:row r="20" ht="53" customHeight="1">
      <x:c r="A20" s="14" t="str">
        <x:v>P13</x:v>
      </x:c>
      <x:c r="B20" s="6" t="str">
        <x:v>Enterprise / Workspace Governance</x:v>
      </x:c>
      <x:c r="C20" s="6" t="str">
        <x:v>Strategic Project Planning Entry</x:v>
      </x:c>
      <x:c r="D20" s="6" t="str">
        <x:v>APPROVE current decision/readiness hashes, template and parent</x:v>
      </x:c>
      <x:c r="E20" s="6" t="str">
        <x:v>Project Workspace creation and initialization timing</x:v>
      </x:c>
      <x:c r="F20" s="6" t="str">
        <x:v>Strategic decision / template / manager</x:v>
      </x:c>
      <x:c r="G20" s="6" t="str">
        <x:v>Shared ProjectCreationRequest CAPITAL_OWNER</x:v>
      </x:c>
      <x:c r="H20" s="6" t="str">
        <x:v>Investment / Project Manager</x:v>
      </x:c>
      <x:c r="I20" s="6" t="str">
        <x:v>P14</x:v>
      </x:c>
      <x:c r="J20" s="6" t="str">
        <x:v>MANDATORY PREDECESSOR</x:v>
      </x:c>
      <x:c r="K20" s="6" t="str">
        <x:v>Investment / Project Manager</x:v>
      </x:c>
      <x:c r="L20" s="6" t="str">
        <x:v>Independent Project Approver / Activator as applicable</x:v>
      </x:c>
      <x:c r="M20" s="6" t="str">
        <x:v>C: Project Sponsor; Project Controls; Relevant domain reviewer. I: Read-only Executive</x:v>
      </x:c>
    </x:row>
    <x:row r="21" ht="53" customHeight="1">
      <x:c r="A21" s="15" t="str">
        <x:v>P14</x:v>
      </x:c>
      <x:c r="B21" s="13" t="str">
        <x:v>Enterprise / Workspace Governance</x:v>
      </x:c>
      <x:c r="C21" s="13" t="str">
        <x:v>Governed request approval and materialization</x:v>
      </x:c>
      <x:c r="D21" s="13" t="str">
        <x:v>Published source policy; independent approval</x:v>
      </x:c>
      <x:c r="E21" s="13" t="str">
        <x:v>Project Workspace creation and initialization timing</x:v>
      </x:c>
      <x:c r="F21" s="13" t="str">
        <x:v>Approved creation request</x:v>
      </x:c>
      <x:c r="G21" s="13" t="str">
        <x:v>One canonical pending Project identity</x:v>
      </x:c>
      <x:c r="H21" s="13" t="str">
        <x:v>Investment / Project Manager</x:v>
      </x:c>
      <x:c r="I21" s="13" t="str">
        <x:v>P16</x:v>
      </x:c>
      <x:c r="J21" s="13" t="str">
        <x:v>MANDATORY PREDECESSOR</x:v>
      </x:c>
      <x:c r="K21" s="13" t="str">
        <x:v>Investment / Project Manager</x:v>
      </x:c>
      <x:c r="L21" s="13" t="str">
        <x:v>Independent Project Approver / Activator as applicable</x:v>
      </x:c>
      <x:c r="M21" s="13" t="str">
        <x:v>C: Project Sponsor; Project Controls; Relevant domain reviewer. I: Read-only Executive</x:v>
      </x:c>
    </x:row>
    <x:row r="22" ht="53" customHeight="1">
      <x:c r="A22" s="14" t="str">
        <x:v>P15</x:v>
      </x:c>
      <x:c r="B22" s="6" t="str">
        <x:v>Enterprise / Workspace Governance</x:v>
      </x:c>
      <x:c r="C22" s="6" t="str">
        <x:v>Project Workspace Initialization</x:v>
      </x:c>
      <x:c r="D22" s="6" t="str">
        <x:v>Materialized Project; exact template/manager/modules/source context</x:v>
      </x:c>
      <x:c r="E22" s="6" t="str">
        <x:v>Project Workspace creation and initialization timing</x:v>
      </x:c>
      <x:c r="F22" s="6" t="str">
        <x:v>Pending identity and checklist</x:v>
      </x:c>
      <x:c r="G22" s="6" t="str">
        <x:v>Initialized state and eligibility; capital activation authorization may block</x:v>
      </x:c>
      <x:c r="H22" s="6" t="str">
        <x:v>Project Workspace Initializer</x:v>
      </x:c>
      <x:c r="I22" s="6" t="str">
        <x:v>P42</x:v>
      </x:c>
      <x:c r="J22" s="6" t="str">
        <x:v>CONDITIONAL</x:v>
      </x:c>
      <x:c r="K22" s="6" t="str">
        <x:v>Project Workspace Initializer</x:v>
      </x:c>
      <x:c r="L22" s="6" t="str">
        <x:v>Independent Project Approver / Activator as applicable</x:v>
      </x:c>
      <x:c r="M22" s="6" t="str">
        <x:v>C: Project Sponsor; Project Controls; Relevant domain reviewer. I: Read-only Executive</x:v>
      </x:c>
    </x:row>
    <x:row r="23" ht="53" customHeight="1">
      <x:c r="A23" s="15" t="str">
        <x:v>P16</x:v>
      </x:c>
      <x:c r="B23" s="13" t="str">
        <x:v>Portfolio Planning &amp; Review</x:v>
      </x:c>
      <x:c r="C23" s="13" t="str">
        <x:v>Portfolio Intake and Membership</x:v>
      </x:c>
      <x:c r="D23" s="13" t="str">
        <x:v>Materialized capital planning entry</x:v>
      </x:c>
      <x:c r="E23" s="13" t="str">
        <x:v>Portfolio Intake and membership</x:v>
      </x:c>
      <x:c r="F23" s="13" t="str">
        <x:v>Project and target portfolio</x:v>
      </x:c>
      <x:c r="G23" s="13" t="str">
        <x:v>ACTIVE contextual membership</x:v>
      </x:c>
      <x:c r="H23" s="13" t="str">
        <x:v>Portfolio Manager</x:v>
      </x:c>
      <x:c r="I23" s="13" t="str">
        <x:v>P17</x:v>
      </x:c>
      <x:c r="J23" s="13" t="str">
        <x:v>MANDATORY PREDECESSOR</x:v>
      </x:c>
      <x:c r="K23" s="13" t="str">
        <x:v>Portfolio Manager</x:v>
      </x:c>
      <x:c r="L23" s="13" t="str">
        <x:v>Portfolio Manager</x:v>
      </x:c>
      <x:c r="M23" s="13" t="str">
        <x:v>C: Project Sponsor; Project Controls; Relevant domain reviewer. I: Read-only Executive</x:v>
      </x:c>
    </x:row>
    <x:row r="24" ht="53" customHeight="1">
      <x:c r="A24" s="14" t="str">
        <x:v>P17</x:v>
      </x:c>
      <x:c r="B24" s="6" t="str">
        <x:v>Portfolio Planning &amp; Review</x:v>
      </x:c>
      <x:c r="C24" s="6" t="str">
        <x:v>Evaluation and Prioritization</x:v>
      </x:c>
      <x:c r="D24" s="6" t="str">
        <x:v>ACTIVE eligible membership; effective criteria</x:v>
      </x:c>
      <x:c r="E24" s="6" t="str">
        <x:v>Evaluation and Prioritization</x:v>
      </x:c>
      <x:c r="F24" s="6" t="str">
        <x:v>Contextual ratings</x:v>
      </x:c>
      <x:c r="G24" s="6" t="str">
        <x:v>Immutable evaluation and Portfolio Rank</x:v>
      </x:c>
      <x:c r="H24" s="6" t="str">
        <x:v>Portfolio Manager</x:v>
      </x:c>
      <x:c r="I24" s="6" t="str">
        <x:v>P18</x:v>
      </x:c>
      <x:c r="J24" s="6" t="str">
        <x:v>MANDATORY PREDECESSOR</x:v>
      </x:c>
      <x:c r="K24" s="6" t="str">
        <x:v>Portfolio Manager</x:v>
      </x:c>
      <x:c r="L24" s="6" t="str">
        <x:v>Portfolio Evaluator</x:v>
      </x:c>
      <x:c r="M24" s="6" t="str">
        <x:v>C: Project Sponsor; Project Controls; Relevant domain reviewer. I: Read-only Executive</x:v>
      </x:c>
    </x:row>
    <x:row r="25" ht="53" customHeight="1">
      <x:c r="A25" s="15" t="str">
        <x:v>P18</x:v>
      </x:c>
      <x:c r="B25" s="13" t="str">
        <x:v>Portfolio Planning &amp; Review</x:v>
      </x:c>
      <x:c r="C25" s="13" t="str">
        <x:v>Portfolio Analysis / Investor Map / Scorecard</x:v>
      </x:c>
      <x:c r="D25" s="13" t="str">
        <x:v>Current evaluation/rank and analysis configuration</x:v>
      </x:c>
      <x:c r="E25" s="13" t="str">
        <x:v>Portfolio Analysis / Investor Map / Scorecard</x:v>
      </x:c>
      <x:c r="F25" s="13" t="str">
        <x:v>Analysis source dataset</x:v>
      </x:c>
      <x:c r="G25" s="13" t="str">
        <x:v>Branch readiness / map / scorecard</x:v>
      </x:c>
      <x:c r="H25" s="13" t="str">
        <x:v>Portfolio Manager</x:v>
      </x:c>
      <x:c r="I25" s="13" t="str">
        <x:v>P19/P20</x:v>
      </x:c>
      <x:c r="J25" s="13" t="str">
        <x:v>PARALLEL-CAPABLE</x:v>
      </x:c>
      <x:c r="K25" s="13" t="str">
        <x:v>Portfolio Manager</x:v>
      </x:c>
      <x:c r="L25" s="13" t="str">
        <x:v>Portfolio Manager</x:v>
      </x:c>
      <x:c r="M25" s="13" t="str">
        <x:v>C: Project Sponsor; Project Controls; Relevant domain reviewer. I: Read-only Executive</x:v>
      </x:c>
    </x:row>
    <x:row r="26" ht="53" customHeight="1">
      <x:c r="A26" s="14" t="str">
        <x:v>P19</x:v>
      </x:c>
      <x:c r="B26" s="6" t="str">
        <x:v>Portfolio Planning &amp; Review</x:v>
      </x:c>
      <x:c r="C26" s="6" t="str">
        <x:v>Budget Target and Budget Scenarios / Waterline</x:v>
      </x:c>
      <x:c r="D26" s="6" t="str">
        <x:v>Current analysis/currency compatible target policy</x:v>
      </x:c>
      <x:c r="E26" s="6" t="str">
        <x:v>Budget Planning and scenarios</x:v>
      </x:c>
      <x:c r="F26" s="6" t="str">
        <x:v>Published target/selection/time phasing</x:v>
      </x:c>
      <x:c r="G26" s="6" t="str">
        <x:v>FROZEN analytical Budget Scenario</x:v>
      </x:c>
      <x:c r="H26" s="6" t="str">
        <x:v>Cost / Finance Reviewer</x:v>
      </x:c>
      <x:c r="I26" s="6" t="str">
        <x:v>P21</x:v>
      </x:c>
      <x:c r="J26" s="6" t="str">
        <x:v>PARALLEL-CAPABLE</x:v>
      </x:c>
      <x:c r="K26" s="6" t="str">
        <x:v>Cost / Finance Reviewer</x:v>
      </x:c>
      <x:c r="L26" s="6" t="str">
        <x:v>Cost / Finance Reviewer</x:v>
      </x:c>
      <x:c r="M26" s="6" t="str">
        <x:v>C: Project Sponsor; Project Controls; Relevant domain reviewer. I: Read-only Executive</x:v>
      </x:c>
    </x:row>
    <x:row r="27" ht="53" customHeight="1">
      <x:c r="A27" s="15" t="str">
        <x:v>P20</x:v>
      </x:c>
      <x:c r="B27" s="13" t="str">
        <x:v>Portfolio Planning &amp; Review</x:v>
      </x:c>
      <x:c r="C27" s="13" t="str">
        <x:v>Capacity / Demand and Resource Scenarios</x:v>
      </x:c>
      <x:c r="D27" s="13" t="str">
        <x:v>Current analysis and real published role-period capacity/demand</x:v>
      </x:c>
      <x:c r="E27" s="13" t="str">
        <x:v>Resource Planning and scenarios</x:v>
      </x:c>
      <x:c r="F27" s="13" t="str">
        <x:v>Strategic capacity/demand</x:v>
      </x:c>
      <x:c r="G27" s="13" t="str">
        <x:v>FROZEN Resource Scenario / overloads</x:v>
      </x:c>
      <x:c r="H27" s="13" t="str">
        <x:v>Project Controls</x:v>
      </x:c>
      <x:c r="I27" s="13" t="str">
        <x:v>P21</x:v>
      </x:c>
      <x:c r="J27" s="13" t="str">
        <x:v>PARALLEL-CAPABLE</x:v>
      </x:c>
      <x:c r="K27" s="13" t="str">
        <x:v>Project Controls</x:v>
      </x:c>
      <x:c r="L27" s="13" t="str">
        <x:v>Project Controls</x:v>
      </x:c>
      <x:c r="M27" s="13" t="str">
        <x:v>C: Project Sponsor; Project Controls; Relevant domain reviewer. I: Read-only Executive</x:v>
      </x:c>
    </x:row>
    <x:row r="28" ht="53" customHeight="1">
      <x:c r="A28" s="14" t="str">
        <x:v>P21</x:v>
      </x:c>
      <x:c r="B28" s="6" t="str">
        <x:v>Portfolio Planning &amp; Review</x:v>
      </x:c>
      <x:c r="C28" s="6" t="str">
        <x:v>Scenario Convergence and Recommendation</x:v>
      </x:c>
      <x:c r="D28" s="6" t="str">
        <x:v>Required frozen branches under effective configuration</x:v>
      </x:c>
      <x:c r="E28" s="6" t="str">
        <x:v>Scenario Convergence and Recommendation</x:v>
      </x:c>
      <x:c r="F28" s="6" t="str">
        <x:v>Compatible branch scenarios</x:v>
      </x:c>
      <x:c r="G28" s="6" t="str">
        <x:v>Governed recommendation, not FID</x:v>
      </x:c>
      <x:c r="H28" s="6" t="str">
        <x:v>Portfolio Manager</x:v>
      </x:c>
      <x:c r="I28" s="6" t="str">
        <x:v>P22/P23/P36</x:v>
      </x:c>
      <x:c r="J28" s="6" t="str">
        <x:v>CONDITIONAL</x:v>
      </x:c>
      <x:c r="K28" s="6" t="str">
        <x:v>Portfolio Manager</x:v>
      </x:c>
      <x:c r="L28" s="6" t="str">
        <x:v>Portfolio Manager</x:v>
      </x:c>
      <x:c r="M28" s="6" t="str">
        <x:v>C: Project Sponsor; Project Controls; Relevant domain reviewer. I: Read-only Executive</x:v>
      </x:c>
    </x:row>
    <x:row r="29" ht="53" customHeight="1">
      <x:c r="A29" s="15" t="str">
        <x:v>P22</x:v>
      </x:c>
      <x:c r="B29" s="13" t="str">
        <x:v>Portfolio Planning &amp; Review</x:v>
      </x:c>
      <x:c r="C29" s="13" t="str">
        <x:v>Periodic Portfolio Review and Governance Actions</x:v>
      </x:c>
      <x:c r="D29" s="13" t="str">
        <x:v>Effective review configuration and required actual sources</x:v>
      </x:c>
      <x:c r="E29" s="13" t="str">
        <x:v>Periodic Portfolio Review / actions</x:v>
      </x:c>
      <x:c r="F29" s="13" t="str">
        <x:v>Snapshot / matrix / conclusions</x:v>
      </x:c>
      <x:c r="G29" s="13" t="str">
        <x:v>Immutable completed review and request-only actions</x:v>
      </x:c>
      <x:c r="H29" s="13" t="str">
        <x:v>Portfolio Manager</x:v>
      </x:c>
      <x:c r="I29" s="13" t="str">
        <x:v>P23/P36</x:v>
      </x:c>
      <x:c r="J29" s="13" t="str">
        <x:v>RECOMMENDED PREDECESSOR</x:v>
      </x:c>
      <x:c r="K29" s="13" t="str">
        <x:v>Portfolio Manager</x:v>
      </x:c>
      <x:c r="L29" s="13" t="str">
        <x:v>Independent Portfolio Review approver</x:v>
      </x:c>
      <x:c r="M29" s="13" t="str">
        <x:v>C: Project Sponsor; Project Controls; Relevant domain reviewer. I: Read-only Executive</x:v>
      </x:c>
    </x:row>
    <x:row r="30" ht="53" customHeight="1">
      <x:c r="A30" s="14" t="str">
        <x:v>P23</x:v>
      </x:c>
      <x:c r="B30" s="6" t="str">
        <x:v>Business Case &amp; Investment Development</x:v>
      </x:c>
      <x:c r="C30" s="6" t="str">
        <x:v>Five Case Business Case</x:v>
      </x:c>
      <x:c r="D30" s="6" t="str">
        <x:v>Capital Project, proposal/BA and applicable actual sources</x:v>
      </x:c>
      <x:c r="E30" s="6" t="str">
        <x:v>Five Case Business Case</x:v>
      </x:c>
      <x:c r="F30" s="6" t="str">
        <x:v>Strategic/Economic/Commercial/Financial/Management</x:v>
      </x:c>
      <x:c r="G30" s="6" t="str">
        <x:v>Current completed BC revision and governed source/hash bundle</x:v>
      </x:c>
      <x:c r="H30" s="6" t="str">
        <x:v>Investment / Project Manager</x:v>
      </x:c>
      <x:c r="I30" s="6" t="str">
        <x:v>P37</x:v>
      </x:c>
      <x:c r="J30" s="6" t="str">
        <x:v>CONDITIONAL</x:v>
      </x:c>
      <x:c r="K30" s="6" t="str">
        <x:v>Investment / Project Manager</x:v>
      </x:c>
      <x:c r="L30" s="6" t="str">
        <x:v>Independent Business Case Reviewer</x:v>
      </x:c>
      <x:c r="M30" s="6" t="str">
        <x:v>C: Project Sponsor; Project Controls; Relevant domain reviewer. I: Read-only Executive</x:v>
      </x:c>
    </x:row>
    <x:row r="31" ht="53" customHeight="1">
      <x:c r="A31" s="15" t="str">
        <x:v>P24</x:v>
      </x:c>
      <x:c r="B31" s="13" t="str">
        <x:v>Business Case &amp; Investment Development</x:v>
      </x:c>
      <x:c r="C31" s="13" t="str">
        <x:v>Strategic Benefits Plan / Register</x:v>
      </x:c>
      <x:c r="D31" s="13" t="str">
        <x:v>Effective Benefits policy and objective/source context</x:v>
      </x:c>
      <x:c r="E31" s="13" t="str">
        <x:v>Strategic Benefits</x:v>
      </x:c>
      <x:c r="F31" s="13" t="str">
        <x:v>Benefits/owners/measures</x:v>
      </x:c>
      <x:c r="G31" s="13" t="str">
        <x:v>Completed Benefits evidence</x:v>
      </x:c>
      <x:c r="H31" s="13" t="str">
        <x:v>Project Sponsor</x:v>
      </x:c>
      <x:c r="I31" s="13" t="str">
        <x:v>P23/P37</x:v>
      </x:c>
      <x:c r="J31" s="13" t="str">
        <x:v>PARALLEL-CAPABLE</x:v>
      </x:c>
      <x:c r="K31" s="13" t="str">
        <x:v>Project Sponsor</x:v>
      </x:c>
      <x:c r="L31" s="13" t="str">
        <x:v>Independent Benefits Plan Reviewer</x:v>
      </x:c>
      <x:c r="M31" s="13" t="str">
        <x:v>C: Project Sponsor; Project Controls; Relevant domain reviewer. I: Read-only Executive</x:v>
      </x:c>
    </x:row>
    <x:row r="32" ht="53" customHeight="1">
      <x:c r="A32" s="14" t="str">
        <x:v>P25</x:v>
      </x:c>
      <x:c r="B32" s="6" t="str">
        <x:v>Business Case &amp; Investment Development</x:v>
      </x:c>
      <x:c r="C32" s="6" t="str">
        <x:v>Commercial &amp; Contracting Strategy</x:v>
      </x:c>
      <x:c r="D32" s="6" t="str">
        <x:v>Effective framework and real source context</x:v>
      </x:c>
      <x:c r="E32" s="6" t="str">
        <x:v>Commercial &amp; Contracting Strategy</x:v>
      </x:c>
      <x:c r="F32" s="6" t="str">
        <x:v>Delivery/packaging/contracting/risk allocation</x:v>
      </x:c>
      <x:c r="G32" s="6" t="str">
        <x:v>Completed commercial evidence</x:v>
      </x:c>
      <x:c r="H32" s="6" t="str">
        <x:v>Commercial Reviewer</x:v>
      </x:c>
      <x:c r="I32" s="6" t="str">
        <x:v>P23/P37</x:v>
      </x:c>
      <x:c r="J32" s="6" t="str">
        <x:v>PARALLEL-CAPABLE</x:v>
      </x:c>
      <x:c r="K32" s="6" t="str">
        <x:v>Commercial Reviewer</x:v>
      </x:c>
      <x:c r="L32" s="6" t="str">
        <x:v>Independent Commercial Strategy Reviewer</x:v>
      </x:c>
      <x:c r="M32" s="6" t="str">
        <x:v>C: Project Sponsor; Project Controls; Relevant domain reviewer. I: Read-only Executive</x:v>
      </x:c>
    </x:row>
    <x:row r="33" ht="53" customHeight="1">
      <x:c r="A33" s="15" t="str">
        <x:v>P26</x:v>
      </x:c>
      <x:c r="B33" s="13" t="str">
        <x:v>Business Case &amp; Investment Development</x:v>
      </x:c>
      <x:c r="C33" s="13" t="str">
        <x:v>FEL Stage lifecycle</x:v>
      </x:c>
      <x:c r="D33" s="13" t="str">
        <x:v>Published configured framework and Project definition readiness</x:v>
      </x:c>
      <x:c r="E33" s="13" t="str">
        <x:v>FEL and Definition Maturity / PDRI-compatible assessment</x:v>
      </x:c>
      <x:c r="F33" s="13" t="str">
        <x:v>Stage-specific definition work</x:v>
      </x:c>
      <x:c r="G33" s="13" t="str">
        <x:v>Governed ProjectFELStatus / FEL stage</x:v>
      </x:c>
      <x:c r="H33" s="13" t="str">
        <x:v>Technical Assurance / FEL Reviewer</x:v>
      </x:c>
      <x:c r="I33" s="13" t="str">
        <x:v>P27</x:v>
      </x:c>
      <x:c r="J33" s="13" t="str">
        <x:v>MANDATORY PREDECESSOR</x:v>
      </x:c>
      <x:c r="K33" s="13" t="str">
        <x:v>Technical Assurance / FEL Reviewer</x:v>
      </x:c>
      <x:c r="L33" s="13" t="str">
        <x:v>Independent FEL Reviewer</x:v>
      </x:c>
      <x:c r="M33" s="13" t="str">
        <x:v>C: Project Sponsor; Project Controls; Relevant domain reviewer. I: Read-only Executive</x:v>
      </x:c>
    </x:row>
    <x:row r="34" ht="53" customHeight="1">
      <x:c r="A34" s="14" t="str">
        <x:v>P27</x:v>
      </x:c>
      <x:c r="B34" s="6" t="str">
        <x:v>Business Case &amp; Investment Development</x:v>
      </x:c>
      <x:c r="C34" s="6" t="str">
        <x:v>Definition Maturity / PDRI-compatible assessment</x:v>
      </x:c>
      <x:c r="D34" s="6" t="str">
        <x:v>Configured current FEL stage assessment</x:v>
      </x:c>
      <x:c r="E34" s="6" t="str">
        <x:v>FEL and Definition Maturity / PDRI-compatible assessment</x:v>
      </x:c>
      <x:c r="F34" s="6" t="str">
        <x:v>Element scores/blocking gaps/actions</x:v>
      </x:c>
      <x:c r="G34" s="6" t="str">
        <x:v>Immutable completed maturity evidence</x:v>
      </x:c>
      <x:c r="H34" s="6" t="str">
        <x:v>Technical Assurance / FEL Reviewer</x:v>
      </x:c>
      <x:c r="I34" s="6" t="str">
        <x:v>P23/P37</x:v>
      </x:c>
      <x:c r="J34" s="6" t="str">
        <x:v>PARALLEL-CAPABLE</x:v>
      </x:c>
      <x:c r="K34" s="6" t="str">
        <x:v>Technical Assurance / FEL Reviewer</x:v>
      </x:c>
      <x:c r="L34" s="6" t="str">
        <x:v>Independent FEL Reviewer</x:v>
      </x:c>
      <x:c r="M34" s="6" t="str">
        <x:v>C: Project Sponsor; Project Controls; Relevant domain reviewer. I: Read-only Executive</x:v>
      </x:c>
    </x:row>
    <x:row r="35" ht="53" customHeight="1">
      <x:c r="A35" s="15" t="str">
        <x:v>P28</x:v>
      </x:c>
      <x:c r="B35" s="13" t="str">
        <x:v>Business Case &amp; Investment Development</x:v>
      </x:c>
      <x:c r="C35" s="13" t="str">
        <x:v>Basic Data Readiness</x:v>
      </x:c>
      <x:c r="D35" s="13" t="str">
        <x:v>Stage-aware published requirements</x:v>
      </x:c>
      <x:c r="E35" s="13" t="str">
        <x:v>Basic Data Readiness</x:v>
      </x:c>
      <x:c r="F35" s="13" t="str">
        <x:v>Availability/validation/quality/confidence/freshness</x:v>
      </x:c>
      <x:c r="G35" s="13" t="str">
        <x:v>Exact denominator readiness / blockers</x:v>
      </x:c>
      <x:c r="H35" s="13" t="str">
        <x:v>Project Controls</x:v>
      </x:c>
      <x:c r="I35" s="13" t="str">
        <x:v>P23/P37</x:v>
      </x:c>
      <x:c r="J35" s="13" t="str">
        <x:v>PARALLEL-CAPABLE</x:v>
      </x:c>
      <x:c r="K35" s="13" t="str">
        <x:v>Project Controls</x:v>
      </x:c>
      <x:c r="L35" s="13" t="str">
        <x:v>Independent Basic Data Validator / Reviewer</x:v>
      </x:c>
      <x:c r="M35" s="13" t="str">
        <x:v>C: Project Sponsor; Project Controls; Relevant domain reviewer. I: Read-only Executive</x:v>
      </x:c>
    </x:row>
    <x:row r="36" ht="53" customHeight="1">
      <x:c r="A36" s="14" t="str">
        <x:v>P29</x:v>
      </x:c>
      <x:c r="B36" s="6" t="str">
        <x:v>Business Case &amp; Investment Development</x:v>
      </x:c>
      <x:c r="C36" s="6" t="str">
        <x:v>Risk Capacity / Appetite / Thresholds</x:v>
      </x:c>
      <x:c r="D36" s="6" t="str">
        <x:v>Published scope/date/contextual declarative risk policy</x:v>
      </x:c>
      <x:c r="E36" s="6" t="str">
        <x:v>Risk Governance effective context</x:v>
      </x:c>
      <x:c r="F36" s="6" t="str">
        <x:v>Reusable governance framework</x:v>
      </x:c>
      <x:c r="G36" s="6" t="str">
        <x:v>Effective USER risk context, not decision</x:v>
      </x:c>
      <x:c r="H36" s="6" t="str">
        <x:v>Risk Reviewer</x:v>
      </x:c>
      <x:c r="I36" s="6" t="str">
        <x:v>P30</x:v>
      </x:c>
      <x:c r="J36" s="6" t="str">
        <x:v>CONDITIONAL</x:v>
      </x:c>
      <x:c r="K36" s="6" t="str">
        <x:v>Risk Reviewer</x:v>
      </x:c>
      <x:c r="L36" s="6" t="str">
        <x:v>Risk Reviewer</x:v>
      </x:c>
      <x:c r="M36" s="6" t="str">
        <x:v>C: Project Sponsor; Project Controls; Relevant domain reviewer. I: Read-only Executive</x:v>
      </x:c>
    </x:row>
    <x:row r="37" ht="53" customHeight="1">
      <x:c r="A37" s="15" t="str">
        <x:v>P30</x:v>
      </x:c>
      <x:c r="B37" s="13" t="str">
        <x:v>Business Case &amp; Investment Development</x:v>
      </x:c>
      <x:c r="C37" s="13" t="str">
        <x:v>Risk Readiness</x:v>
      </x:c>
      <x:c r="D37" s="13" t="str">
        <x:v>Published readiness policy and actual risks</x:v>
      </x:c>
      <x:c r="E37" s="13" t="str">
        <x:v>Risk Readiness</x:v>
      </x:c>
      <x:c r="F37" s="13" t="str">
        <x:v>Exposure/owners/treatment/acceptance</x:v>
      </x:c>
      <x:c r="G37" s="13" t="str">
        <x:v>Current completed Project/set Risk evidence</x:v>
      </x:c>
      <x:c r="H37" s="13" t="str">
        <x:v>Risk Reviewer</x:v>
      </x:c>
      <x:c r="I37" s="13" t="str">
        <x:v>P23/P37</x:v>
      </x:c>
      <x:c r="J37" s="13" t="str">
        <x:v>PARALLEL-CAPABLE</x:v>
      </x:c>
      <x:c r="K37" s="13" t="str">
        <x:v>Risk Reviewer</x:v>
      </x:c>
      <x:c r="L37" s="13" t="str">
        <x:v>Independent Risk Acceptance Authority where required</x:v>
      </x:c>
      <x:c r="M37" s="13" t="str">
        <x:v>C: Project Sponsor; Project Controls; Relevant domain reviewer. I: Read-only Executive</x:v>
      </x:c>
    </x:row>
    <x:row r="38" ht="53" customHeight="1">
      <x:c r="A38" s="14" t="str">
        <x:v>P31</x:v>
      </x:c>
      <x:c r="B38" s="6" t="str">
        <x:v>Business Case &amp; Investment Development</x:v>
      </x:c>
      <x:c r="C38" s="6" t="str">
        <x:v>Permit Readiness</x:v>
      </x:c>
      <x:c r="D38" s="6" t="str">
        <x:v>Applicable requirement catalog and actual permits/conditions</x:v>
      </x:c>
      <x:c r="E38" s="6" t="str">
        <x:v>Permit Readiness</x:v>
      </x:c>
      <x:c r="F38" s="6" t="str">
        <x:v>Applicability/status/expiry/conditions</x:v>
      </x:c>
      <x:c r="G38" s="6" t="str">
        <x:v>Current contextual Permit evidence</x:v>
      </x:c>
      <x:c r="H38" s="6" t="str">
        <x:v>Investment / Project Manager</x:v>
      </x:c>
      <x:c r="I38" s="6" t="str">
        <x:v>P23/P37</x:v>
      </x:c>
      <x:c r="J38" s="6" t="str">
        <x:v>PARALLEL-CAPABLE</x:v>
      </x:c>
      <x:c r="K38" s="6" t="str">
        <x:v>Investment / Project Manager</x:v>
      </x:c>
      <x:c r="L38" s="6" t="str">
        <x:v>Configured Permit Reviewer</x:v>
      </x:c>
      <x:c r="M38" s="6" t="str">
        <x:v>C: Project Sponsor; Project Controls; Relevant domain reviewer. I: Read-only Executive</x:v>
      </x:c>
    </x:row>
    <x:row r="39" ht="53" customHeight="1">
      <x:c r="A39" s="15" t="str">
        <x:v>P32</x:v>
      </x:c>
      <x:c r="B39" s="13" t="str">
        <x:v>Business Case &amp; Investment Development</x:v>
      </x:c>
      <x:c r="C39" s="13" t="str">
        <x:v>Owner Capability Readiness</x:v>
      </x:c>
      <x:c r="D39" s="13" t="str">
        <x:v>Effective capability framework and real accountability evidence</x:v>
      </x:c>
      <x:c r="E39" s="13" t="str">
        <x:v>Owner Capability Readiness</x:v>
      </x:c>
      <x:c r="F39" s="13" t="str">
        <x:v>Maturity/quality/confidence/gaps/mitigations</x:v>
      </x:c>
      <x:c r="G39" s="13" t="str">
        <x:v>Current Owner Capability evidence</x:v>
      </x:c>
      <x:c r="H39" s="13" t="str">
        <x:v>Project Sponsor</x:v>
      </x:c>
      <x:c r="I39" s="13" t="str">
        <x:v>P23/P37</x:v>
      </x:c>
      <x:c r="J39" s="13" t="str">
        <x:v>PARALLEL-CAPABLE</x:v>
      </x:c>
      <x:c r="K39" s="13" t="str">
        <x:v>Project Sponsor</x:v>
      </x:c>
      <x:c r="L39" s="13" t="str">
        <x:v>Independent Owner Capability Reviewer</x:v>
      </x:c>
      <x:c r="M39" s="13" t="str">
        <x:v>C: Project Sponsor; Project Controls; Relevant domain reviewer. I: Read-only Executive</x:v>
      </x:c>
    </x:row>
    <x:row r="40" ht="53" customHeight="1">
      <x:c r="A40" s="14" t="str">
        <x:v>P33</x:v>
      </x:c>
      <x:c r="B40" s="6" t="str">
        <x:v>Business Case &amp; Investment Development</x:v>
      </x:c>
      <x:c r="C40" s="6" t="str">
        <x:v>Funding Source / Fund / Assignment / Readiness</x:v>
      </x:c>
      <x:c r="D40" s="6" t="str">
        <x:v>Published Funding policy; actual funding authority</x:v>
      </x:c>
      <x:c r="E40" s="6" t="str">
        <x:v>Funding</x:v>
      </x:c>
      <x:c r="F40" s="6" t="str">
        <x:v>Confirmed eligible monetary assignments</x:v>
      </x:c>
      <x:c r="G40" s="6" t="str">
        <x:v>Governed Funding coverage/snapshot</x:v>
      </x:c>
      <x:c r="H40" s="6" t="str">
        <x:v>Cost / Finance Reviewer</x:v>
      </x:c>
      <x:c r="I40" s="6" t="str">
        <x:v>P34/P37</x:v>
      </x:c>
      <x:c r="J40" s="6" t="str">
        <x:v>PARALLEL-CAPABLE</x:v>
      </x:c>
      <x:c r="K40" s="6" t="str">
        <x:v>Cost / Finance Reviewer</x:v>
      </x:c>
      <x:c r="L40" s="6" t="str">
        <x:v>Independent Funding Approver</x:v>
      </x:c>
      <x:c r="M40" s="6" t="str">
        <x:v>C: Project Sponsor; Project Controls; Relevant domain reviewer. I: Read-only Executive</x:v>
      </x:c>
    </x:row>
    <x:row r="41" ht="53" customHeight="1">
      <x:c r="A41" s="15" t="str">
        <x:v>P34</x:v>
      </x:c>
      <x:c r="B41" s="13" t="str">
        <x:v>Business Case &amp; Investment Development</x:v>
      </x:c>
      <x:c r="C41" s="13" t="str">
        <x:v>Deterministic Economic / Financial Model</x:v>
      </x:c>
      <x:c r="D41" s="13" t="str">
        <x:v>Applicable model configuration; actual BC/Budget/Funding sources</x:v>
      </x:c>
      <x:c r="E41" s="13" t="str">
        <x:v>Economic / Financial Model</x:v>
      </x:c>
      <x:c r="F41" s="13" t="str">
        <x:v>Cashflows/capital structure/WACC</x:v>
      </x:c>
      <x:c r="G41" s="13" t="str">
        <x:v>Completed FIN metrics/hash and reconciliation</x:v>
      </x:c>
      <x:c r="H41" s="13" t="str">
        <x:v>Cost / Finance Reviewer</x:v>
      </x:c>
      <x:c r="I41" s="13" t="str">
        <x:v>P23/P37</x:v>
      </x:c>
      <x:c r="J41" s="13" t="str">
        <x:v>PARALLEL-CAPABLE</x:v>
      </x:c>
      <x:c r="K41" s="13" t="str">
        <x:v>Cost / Finance Reviewer</x:v>
      </x:c>
      <x:c r="L41" s="13" t="str">
        <x:v>Independent FIN Reviewer</x:v>
      </x:c>
      <x:c r="M41" s="13" t="str">
        <x:v>C: Project Sponsor; Project Controls; Relevant domain reviewer. I: Read-only Executive</x:v>
      </x:c>
    </x:row>
    <x:row r="42" ht="53" customHeight="1">
      <x:c r="A42" s="14" t="str">
        <x:v>P35</x:v>
      </x:c>
      <x:c r="B42" s="6" t="str">
        <x:v>Business Case &amp; Investment Development</x:v>
      </x:c>
      <x:c r="C42" s="6" t="str">
        <x:v>QRA Foundation and approved Model Definition</x:v>
      </x:c>
      <x:c r="D42" s="6" t="str">
        <x:v>Methodology, actual sources and capability matching context</x:v>
      </x:c>
      <x:c r="E42" s="6" t="str">
        <x:v>QRA Foundation</x:v>
      </x:c>
      <x:c r="F42" s="6" t="str">
        <x:v>Ranges/distributions/correlations/scope</x:v>
      </x:c>
      <x:c r="G42" s="6" t="str">
        <x:v>APPROVED_FOR_ANALYSIS model; no simulation</x:v>
      </x:c>
      <x:c r="H42" s="6" t="str">
        <x:v>QRA Analyst</x:v>
      </x:c>
      <x:c r="I42" s="6" t="str">
        <x:v>P36</x:v>
      </x:c>
      <x:c r="J42" s="6" t="str">
        <x:v>CONDITIONAL</x:v>
      </x:c>
      <x:c r="K42" s="6" t="str">
        <x:v>QRA Analyst</x:v>
      </x:c>
      <x:c r="L42" s="6" t="str">
        <x:v>Independent QRA Model Reviewer</x:v>
      </x:c>
      <x:c r="M42" s="6" t="str">
        <x:v>C: Project Sponsor; Project Controls; Relevant domain reviewer. I: Read-only Executive</x:v>
      </x:c>
    </x:row>
    <x:row r="43" ht="53" customHeight="1">
      <x:c r="A43" s="15" t="str">
        <x:v>P36</x:v>
      </x:c>
      <x:c r="B43" s="13" t="str">
        <x:v>Business Case &amp; Investment Development</x:v>
      </x:c>
      <x:c r="C43" s="13" t="str">
        <x:v>Cost and/or Schedule QRA results</x:v>
      </x:c>
      <x:c r="D43" s="13" t="str">
        <x:v>Approved current supported model; effective policy context</x:v>
      </x:c>
      <x:c r="E43" s="13" t="str">
        <x:v>Contextual QRA Results</x:v>
      </x:c>
      <x:c r="F43" s="13" t="str">
        <x:v>Real run and independent acceptance</x:v>
      </x:c>
      <x:c r="G43" s="13" t="str">
        <x:v>Accepted current bounded QRA provider evidence</x:v>
      </x:c>
      <x:c r="H43" s="13" t="str">
        <x:v>QRA Analyst</x:v>
      </x:c>
      <x:c r="I43" s="13" t="str">
        <x:v>P23/P37</x:v>
      </x:c>
      <x:c r="J43" s="13" t="str">
        <x:v>CONDITIONAL</x:v>
      </x:c>
      <x:c r="K43" s="13" t="str">
        <x:v>QRA Analyst</x:v>
      </x:c>
      <x:c r="L43" s="13" t="str">
        <x:v>Independent QRA Result Reviewer</x:v>
      </x:c>
      <x:c r="M43" s="13" t="str">
        <x:v>C: Project Sponsor; Project Controls; Relevant domain reviewer. I: Read-only Executive</x:v>
      </x:c>
    </x:row>
    <x:row r="44" ht="53" customHeight="1">
      <x:c r="A44" s="14" t="str">
        <x:v>P37</x:v>
      </x:c>
      <x:c r="B44" s="6" t="str">
        <x:v>Investment Gate &amp; Decision</x:v>
      </x:c>
      <x:c r="C44" s="6" t="str">
        <x:v>Investment Gate Preparation / Evidence Matrix / Criteria</x:v>
      </x:c>
      <x:c r="D44" s="6" t="str">
        <x:v>Recommendation/profile/effective policy; actual required providers</x:v>
      </x:c>
      <x:c r="E44" s="6" t="str">
        <x:v>Gate Preparation / Evidence / Decision Criteria</x:v>
      </x:c>
      <x:c r="F44" s="6" t="str">
        <x:v>Scoped Class A/B/C evidence and criteria</x:v>
      </x:c>
      <x:c r="G44" s="6" t="str">
        <x:v>READY package, not decision</x:v>
      </x:c>
      <x:c r="H44" s="6" t="str">
        <x:v>Gate Preparer</x:v>
      </x:c>
      <x:c r="I44" s="6" t="str">
        <x:v>P38</x:v>
      </x:c>
      <x:c r="J44" s="6" t="str">
        <x:v>MANDATORY PREDECESSOR</x:v>
      </x:c>
      <x:c r="K44" s="6" t="str">
        <x:v>Gate Preparer</x:v>
      </x:c>
      <x:c r="L44" s="6" t="str">
        <x:v>Independent Investment Evidence Reviewer</x:v>
      </x:c>
      <x:c r="M44" s="6" t="str">
        <x:v>C: Project Sponsor; Project Controls; Relevant domain reviewer. I: Read-only Executive</x:v>
      </x:c>
    </x:row>
    <x:row r="45" ht="53" customHeight="1">
      <x:c r="A45" s="15" t="str">
        <x:v>P38</x:v>
      </x:c>
      <x:c r="B45" s="13" t="str">
        <x:v>Investment Gate &amp; Decision</x:v>
      </x:c>
      <x:c r="C45" s="13" t="str">
        <x:v>Source consistency and readiness verification</x:v>
      </x:c>
      <x:c r="D45" s="13" t="str">
        <x:v>Effective configured consistency/criteria rules</x:v>
      </x:c>
      <x:c r="E45" s="13" t="str">
        <x:v>Business Case ↔ Gate source consistency</x:v>
      </x:c>
      <x:c r="F45" s="13" t="str">
        <x:v>BC/native provider refs and hashes</x:v>
      </x:c>
      <x:c r="G45" s="13" t="str">
        <x:v>Consistent exact scope/current evidence or controlled blockers</x:v>
      </x:c>
      <x:c r="H45" s="13" t="str">
        <x:v>Gate Preparer</x:v>
      </x:c>
      <x:c r="I45" s="13" t="str">
        <x:v>P39</x:v>
      </x:c>
      <x:c r="J45" s="13" t="str">
        <x:v>CONDITIONAL</x:v>
      </x:c>
      <x:c r="K45" s="13" t="str">
        <x:v>Gate Preparer</x:v>
      </x:c>
      <x:c r="L45" s="13" t="str">
        <x:v>Gate Preparer</x:v>
      </x:c>
      <x:c r="M45" s="13" t="str">
        <x:v>C: Project Sponsor; Project Controls; Relevant domain reviewer. I: Read-only Executive</x:v>
      </x:c>
    </x:row>
    <x:row r="46" ht="53" customHeight="1">
      <x:c r="A46" s="14" t="str">
        <x:v>P39</x:v>
      </x:c>
      <x:c r="B46" s="6" t="str">
        <x:v>Investment Gate &amp; Decision</x:v>
      </x:c>
      <x:c r="C46" s="6" t="str">
        <x:v>Independent Gate package freeze</x:v>
      </x:c>
      <x:c r="D46" s="6" t="str">
        <x:v>Current READY preparation; independent reviewer</x:v>
      </x:c>
      <x:c r="E46" s="6" t="str">
        <x:v>Freeze Gate package</x:v>
      </x:c>
      <x:c r="F46" s="6" t="str">
        <x:v>Policy/provider/source hashes, criteria and warnings</x:v>
      </x:c>
      <x:c r="G46" s="6" t="str">
        <x:v>Immutable FROZEN package</x:v>
      </x:c>
      <x:c r="H46" s="6" t="str">
        <x:v>Gate Preparer</x:v>
      </x:c>
      <x:c r="I46" s="6" t="str">
        <x:v>P40</x:v>
      </x:c>
      <x:c r="J46" s="6" t="str">
        <x:v>MANDATORY PREDECESSOR</x:v>
      </x:c>
      <x:c r="K46" s="6" t="str">
        <x:v>Gate Preparer</x:v>
      </x:c>
      <x:c r="L46" s="6" t="str">
        <x:v>Independent Investment Evidence Reviewer</x:v>
      </x:c>
      <x:c r="M46" s="6" t="str">
        <x:v>C: Project Sponsor; Project Controls; Relevant domain reviewer. I: Read-only Executive</x:v>
      </x:c>
    </x:row>
    <x:row r="47" ht="53" customHeight="1">
      <x:c r="A47" s="15" t="str">
        <x:v>P40</x:v>
      </x:c>
      <x:c r="B47" s="13" t="str">
        <x:v>Investment Gate &amp; Decision</x:v>
      </x:c>
      <x:c r="C47" s="13" t="str">
        <x:v>Formal Investment Decision / FID</x:v>
      </x:c>
      <x:c r="D47" s="13" t="str">
        <x:v>Frozen valid package, configured independent authority/SoD</x:v>
      </x:c>
      <x:c r="E47" s="13" t="str">
        <x:v>Investment Decision / FID</x:v>
      </x:c>
      <x:c r="F47" s="13" t="str">
        <x:v>Decision checklist and authorized outcome/amount</x:v>
      </x:c>
      <x:c r="G47" s="13" t="str">
        <x:v>DECIDED; PYP-FFA+GO formal FID only</x:v>
      </x:c>
      <x:c r="H47" s="13" t="str">
        <x:v>Investment Committee / Decision Maker</x:v>
      </x:c>
      <x:c r="I47" s="13" t="str">
        <x:v>P41</x:v>
      </x:c>
      <x:c r="J47" s="13" t="str">
        <x:v>CONDITIONAL</x:v>
      </x:c>
      <x:c r="K47" s="13" t="str">
        <x:v>Investment Committee / Decision Maker</x:v>
      </x:c>
      <x:c r="L47" s="13" t="str">
        <x:v>Authorized independent Investment Decision Maker / Committee</x:v>
      </x:c>
      <x:c r="M47" s="13" t="str">
        <x:v>C: Project Sponsor; Project Controls; Relevant domain reviewer. I: Read-only Executive</x:v>
      </x:c>
    </x:row>
    <x:row r="48" ht="53" customHeight="1">
      <x:c r="A48" s="14" t="str">
        <x:v>P41</x:v>
      </x:c>
      <x:c r="B48" s="6" t="str">
        <x:v>Post-FID Governance</x:v>
      </x:c>
      <x:c r="C48" s="6" t="str">
        <x:v>Post-FID conditions, routing and eligibility</x:v>
      </x:c>
      <x:c r="D48" s="6" t="str">
        <x:v>Formal decided FID and effective policy</x:v>
      </x:c>
      <x:c r="E48" s="6" t="str">
        <x:v>Post-FID Governance and operational boundary</x:v>
      </x:c>
      <x:c r="F48" s="6" t="str">
        <x:v>Decision/project state/conditions</x:v>
      </x:c>
      <x:c r="G48" s="6" t="str">
        <x:v>Immutable per-project eligibility; no operational execution</x:v>
      </x:c>
      <x:c r="H48" s="6" t="str">
        <x:v>Post-FID Governance User</x:v>
      </x:c>
      <x:c r="I48" s="6" t="str">
        <x:v>P15/P42</x:v>
      </x:c>
      <x:c r="J48" s="6" t="str">
        <x:v>CONDITIONAL</x:v>
      </x:c>
      <x:c r="K48" s="6" t="str">
        <x:v>Post-FID Governance User</x:v>
      </x:c>
      <x:c r="L48" s="6" t="str">
        <x:v>Configured Post-FID authority / independent Activator</x:v>
      </x:c>
      <x:c r="M48" s="6" t="str">
        <x:v>C: Project Sponsor; Project Controls; Relevant domain reviewer. I: Read-only Executive</x:v>
      </x:c>
    </x:row>
    <x:row r="49" ht="53" customHeight="1">
      <x:c r="A49" s="15" t="str">
        <x:v>P42</x:v>
      </x:c>
      <x:c r="B49" s="13" t="str">
        <x:v>Enterprise / Workspace Governance</x:v>
      </x:c>
      <x:c r="C49" s="13" t="str">
        <x:v>Independent Project Workspace Activation</x:v>
      </x:c>
      <x:c r="D49" s="13" t="str">
        <x:v>Initialized eligible Project; source execution authorization; actor not initializer</x:v>
      </x:c>
      <x:c r="E49" s="13" t="str">
        <x:v>Post-FID Governance and operational boundary</x:v>
      </x:c>
      <x:c r="F49" s="13" t="str">
        <x:v>Governed source authorization/checklist</x:v>
      </x:c>
      <x:c r="G49" s="13" t="str">
        <x:v>Active canonical Project; stop before operational delivery</x:v>
      </x:c>
      <x:c r="H49" s="13" t="str">
        <x:v>Project Workspace Activator</x:v>
      </x:c>
      <x:c r="I49" s="13" t="str">
        <x:v>STOP_OPERATIONAL_BOUNDARY</x:v>
      </x:c>
      <x:c r="J49" s="13" t="str">
        <x:v>CONDITIONAL</x:v>
      </x:c>
      <x:c r="K49" s="13" t="str">
        <x:v>Project Workspace Activator</x:v>
      </x:c>
      <x:c r="L49" s="13" t="str">
        <x:v>Configured Post-FID authority / independent Activator</x:v>
      </x:c>
      <x:c r="M49" s="13" t="str">
        <x:v>C: Project Sponsor; Project Controls; Relevant domain reviewer. I: Read-only Executive</x:v>
      </x:c>
    </x:row>
    <x:row r="50" ht="53" customHeight="1">
      <x:c r="A50" s="14" t="str">
        <x:v>P43</x:v>
      </x:c>
      <x:c r="B50" s="6" t="str">
        <x:v>Compact alternative routes</x:v>
      </x:c>
      <x:c r="C50" s="6" t="str">
        <x:v>Contractor Delivery creation route</x:v>
      </x:c>
      <x:c r="D50" s="6" t="str">
        <x:v>Contract source policy/template/manager; client/contract/scope/mobilization</x:v>
      </x:c>
      <x:c r="E50" s="6" t="str">
        <x:v>CONTRACTOR_DELIVERY compact creation→initialization→activation</x:v>
      </x:c>
      <x:c r="F50" s="6" t="str">
        <x:v>CONTRACT_AWARD request</x:v>
      </x:c>
      <x:c r="G50" s="6" t="str">
        <x:v>Pending→initialized→active without default capital governance</x:v>
      </x:c>
      <x:c r="H50" s="6" t="str">
        <x:v>Investment / Project Manager</x:v>
      </x:c>
      <x:c r="I50" s="6" t="str">
        <x:v>P14/P15/P42</x:v>
      </x:c>
      <x:c r="J50" s="6" t="str">
        <x:v>CONDITIONAL</x:v>
      </x:c>
      <x:c r="K50" s="6" t="str">
        <x:v>Investment / Project Manager</x:v>
      </x:c>
      <x:c r="L50" s="6" t="str">
        <x:v>Independent Project Approver and Activator</x:v>
      </x:c>
      <x:c r="M50" s="6" t="str">
        <x:v>C: Project Sponsor; Project Controls; Relevant domain reviewer. I: Read-only Executive</x:v>
      </x:c>
    </x:row>
    <x:row r="51" ht="53" customHeight="1">
      <x:c r="A51" s="15" t="str">
        <x:v>P44</x:v>
      </x:c>
      <x:c r="B51" s="13" t="str">
        <x:v>Compact alternative routes</x:v>
      </x:c>
      <x:c r="C51" s="13" t="str">
        <x:v>Direct Internal creation route</x:v>
      </x:c>
      <x:c r="D51" s="13" t="str">
        <x:v>Direct policy/template/manager; authorization/sponsor/approval</x:v>
      </x:c>
      <x:c r="E51" s="13" t="str">
        <x:v>DIRECT_INTERNAL compact creation→initialization→activation</x:v>
      </x:c>
      <x:c r="F51" s="13" t="str">
        <x:v>DIRECT_AUTHORIZATION request</x:v>
      </x:c>
      <x:c r="G51" s="13" t="str">
        <x:v>Pending→initialized→active without default capital governance</x:v>
      </x:c>
      <x:c r="H51" s="13" t="str">
        <x:v>Investment / Project Manager</x:v>
      </x:c>
      <x:c r="I51" s="13" t="str">
        <x:v>P14/P15/P42</x:v>
      </x:c>
      <x:c r="J51" s="13" t="str">
        <x:v>CONDITIONAL</x:v>
      </x:c>
      <x:c r="K51" s="13" t="str">
        <x:v>Investment / Project Manager</x:v>
      </x:c>
      <x:c r="L51" s="13" t="str">
        <x:v>Independent Project Approver and Activator</x:v>
      </x:c>
      <x:c r="M51" s="13" t="str">
        <x:v>C: Project Sponsor; Project Controls; Relevant domain reviewer. I: Read-only Executive</x:v>
      </x:c>
    </x:row>
  </x:sheetData>
  <x:pageMargins left="0.7" right="0.7" top="0.75" bottom="0.75" header="0.3" footer="0.3"/>
  <x:tableParts count="1">
    <x:tablePart xmlns:r="http://schemas.openxmlformats.org/officeDocument/2006/relationships" r:id="R034b0a0eea38475c"/>
  </x:tableParts>
</x:worksheet>
</file>

<file path=xl/worksheets/sheet2.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0" hidden="0" customWidth="1"/>
    <x:col min="2" max="2" width="38" hidden="0" customWidth="1"/>
    <x:col min="3" max="3" width="58" hidden="0" customWidth="1"/>
    <x:col min="4" max="4" width="30" hidden="0" customWidth="1"/>
    <x:col min="5" max="5" width="43" hidden="0" customWidth="1"/>
    <x:col min="6" max="6" width="65" hidden="0" customWidth="1"/>
    <x:col min="7" max="7" width="65" hidden="0" customWidth="1"/>
    <x:col min="8" max="8" width="75" hidden="0" customWidth="1"/>
    <x:col min="9" max="9" width="75" hidden="0" customWidth="1"/>
    <x:col min="10" max="10" width="14" hidden="0" customWidth="1"/>
    <x:col min="11" max="11" width="22" hidden="0" customWidth="1"/>
    <x:col min="12" max="12" width="24" hidden="0" customWidth="1"/>
    <x:col min="13" max="13" width="75" hidden="0" customWidth="1"/>
    <x:col min="14" max="14" width="75" hidden="0" customWidth="1"/>
    <x:col min="15" max="15" width="20" hidden="0" customWidth="1"/>
    <x:col min="16" max="16" width="75" hidden="0" customWidth="1"/>
    <x:col min="17" max="17" width="24" hidden="0" customWidth="1"/>
    <x:col min="18" max="18" width="75" hidden="0" customWidth="1"/>
    <x:col min="19" max="19" width="75" hidden="0" customWidth="1"/>
    <x:col min="20" max="20" width="28" hidden="0" customWidth="1"/>
    <x:col min="21" max="21" width="75" hidden="0" customWidth="1"/>
  </x:cols>
  <x:sheetData>
    <x:row r="2" ht="26" customHeight="1">
      <x:c r="A2" s="1" t="str">
        <x:v>Registro formal de casos UAT y alcance de las pruebas</x:v>
      </x:c>
    </x:row>
    <x:row r="3">
      <x:c r="A3" s="2"/>
      <x:c r="B3" s="2"/>
      <x:c r="C3" s="2"/>
      <x:c r="D3" s="2"/>
      <x:c r="E3" s="2"/>
      <x:c r="F3" s="2"/>
      <x:c r="G3" s="2"/>
      <x:c r="H3" s="2"/>
      <x:c r="I3" s="2"/>
      <x:c r="J3" s="2"/>
      <x:c r="K3" s="2"/>
    </x:row>
    <x:row r="4">
      <x:c r="A4" s="3" t="str">
        <x:v>Corte actual 15 octubre 2026; historial en L a N</x:v>
      </x:c>
      <x:c r="B4" s="3"/>
      <x:c r="C4" s="3"/>
      <x:c r="D4" s="3" t="str">
        <x:v>Fuente del registro</x:v>
      </x:c>
      <x:c r="E4" s="3" t="str">
        <x:v>Registro de escenarios más resultados explícitos del incremento. PASS técnico no es firma humana.</x:v>
      </x:c>
      <x:c r="F4" s="3"/>
      <x:c r="G4" s="3"/>
      <x:c r="H4" s="3"/>
      <x:c r="I4" s="3"/>
      <x:c r="J4" s="3"/>
      <x:c r="K4" s="3"/>
    </x:row>
    <x:row r="5">
      <x:c r="A5" s="3" t="str">
        <x:v>Registros</x:v>
      </x:c>
      <x:c r="B5" s="3" t="n">
        <x:f>COUNTA(A8:A58)</x:f>
        <x:v>51</x:v>
      </x:c>
      <x:c r="C5" s="3" t="str">
        <x:v>PASS</x:v>
      </x:c>
      <x:c r="D5" s="3" t="n">
        <x:f>COUNTIFS(J8:J58,"PASS")</x:f>
        <x:v>0</x:v>
      </x:c>
      <x:c r="E5" s="3" t="str">
        <x:v>FAIL</x:v>
      </x:c>
      <x:c r="F5" s="3" t="n">
        <x:f>COUNTIFS(J8:J58,"FAIL")</x:f>
        <x:v>0</x:v>
      </x:c>
      <x:c r="G5" s="3" t="str">
        <x:v>BLOCKED</x:v>
      </x:c>
      <x:c r="H5" s="3" t="n">
        <x:f>COUNTIFS(J8:J58,"BLOCKED")</x:f>
        <x:v>51</x:v>
      </x:c>
      <x:c r="I5" s="3"/>
      <x:c r="J5" s="3"/>
      <x:c r="K5" s="3"/>
    </x:row>
    <x:row r="7" ht="34" customHeight="1">
      <x:c r="A7" s="10" t="str">
        <x:v>UAT ID</x:v>
      </x:c>
      <x:c r="B7" s="11" t="str">
        <x:v>Proceso de negocio</x:v>
      </x:c>
      <x:c r="C7" s="11" t="str">
        <x:v>Precondiciones</x:v>
      </x:c>
      <x:c r="D7" s="11" t="str">
        <x:v>Persona</x:v>
      </x:c>
      <x:c r="E7" s="11" t="str">
        <x:v>Datos</x:v>
      </x:c>
      <x:c r="F7" s="11" t="str">
        <x:v>Pasos</x:v>
      </x:c>
      <x:c r="G7" s="11" t="str">
        <x:v>Resultado esperado</x:v>
      </x:c>
      <x:c r="H7" s="11" t="str">
        <x:v>Resultado real</x:v>
      </x:c>
      <x:c r="I7" s="11" t="str">
        <x:v>Evidencia y alcance</x:v>
      </x:c>
      <x:c r="J7" s="11" t="str">
        <x:v>Estado</x:v>
      </x:c>
      <x:c r="K7" s="12" t="str">
        <x:v>Defecto ID</x:v>
      </x:c>
      <x:c r="L7" s="11" t="str">
        <x:v>Estado anterior 14 octubre</x:v>
      </x:c>
      <x:c r="M7" s="11" t="str">
        <x:v>Resultado anterior</x:v>
      </x:c>
      <x:c r="N7" s="11" t="str">
        <x:v>Evidencia anterior</x:v>
      </x:c>
      <x:c r="O7" s="11" t="str">
        <x:v>Corte actual</x:v>
      </x:c>
      <x:c r="P7" s="12" t="str">
        <x:v>Evidencia actual</x:v>
      </x:c>
      <x:c r="Q7" s="11" t="str">
        <x:v>Estado previo al preflight</x:v>
      </x:c>
      <x:c r="R7" s="11" t="str">
        <x:v>Resultado previo</x:v>
      </x:c>
      <x:c r="S7" s="11" t="str">
        <x:v>Evidencia previa</x:v>
      </x:c>
      <x:c r="T7" s="11" t="str">
        <x:v>Preflight Bogotá (UTC-5)</x:v>
      </x:c>
      <x:c r="U7" s="12" t="str">
        <x:v>Evidencia de preflight</x:v>
      </x:c>
    </x:row>
    <x:row r="8" ht="105" customHeight="1">
      <x:c r="A8" s="14" t="str">
        <x:v>A0</x:v>
      </x:c>
      <x:c r="B8" s="6" t="str">
        <x:v>ADMIN reusable preparation</x:v>
      </x:c>
      <x:c r="C8" s="6" t="str">
        <x:v>Published scoped configurations for all applicable domains; independent publisher where configured; Disposable isolated UAT database; protected Project ID14 baseline captured; actual scoped RBAC actors</x:v>
      </x:c>
      <x:c r="D8" s="6" t="str">
        <x:v>Enterprise Administrator; Capital Planning Administrator</x:v>
      </x:c>
      <x:c r="E8" s="6" t="str">
        <x:v>UAT-CAPITAL-COPPER; CAPITAL_OWNER; governed taxonomy resolved from options; PYP-FFA only where configured; no operational ID reuse</x:v>
      </x:c>
      <x:c r="F8" s="6" t="str">
        <x:v>Inventory applicable configuration IDs/revisions/hashes and inheritance.; Preview contextual effective policies without persistence.; Publish only approved disposable UAT successors.</x:v>
      </x:c>
      <x:c r="G8" s="6" t="str">
        <x:v>Effective published configuration resolves; USER has no reusable editing authority; no operational policy is auto-published.</x:v>
      </x:c>
      <x:c r="H8" s="6" t="str">
        <x:v>Configuraciones y asignaciones reales registradas; el inventario efectivo y todos los negativos ADMIN/USER del caso formal no se acreditan solo por publicar sucesores</x:v>
      </x:c>
      <x:c r="I8" s="6" t="str">
        <x:v>fresh-capital-owner-chain.json; tenant 4; Project 16; estado por etapa, no suma de fixtures</x:v>
      </x:c>
      <x:c r="J8" s="6" t="str">
        <x:v>BLOCKED</x:v>
      </x:c>
      <x:c r="K8" s="6" t="str"/>
      <x:c r="L8" s="6" t="str">
        <x:v>BLOCKED</x:v>
      </x:c>
      <x:c r="M8" s="6" t="str">
        <x:v>Not executed as this increment's end-to-end business case by scenario coverage auditor. Source/test definitions reviewed; prior release assertions are historical only.</x:v>
      </x:c>
      <x:c r="N8" s="6" t="str">
        <x:v>source_tests: backend/tests/test_capital_planning_wave1.py::test_wave1_config_and_user_duties_are_segregated_by_real_rbac; backend/tests/test_qra_evidence_policy.py::test_configured_policy_author_publisher_sod_prevents_publish_without_new_role; implementation: backend/app/modules/enterprise_structure/service.py; current_increment_execution: ; evidence_class: SOURCE_REVIEW_ONLY; historical execution must be linked separately</x:v>
      </x:c>
      <x:c r="O8" s="6" t="str">
        <x:v>2026-10-15</x:v>
      </x:c>
      <x:c r="P8" s="6" t="str">
        <x:v>fresh-capital-owner-chain.json; tenant 4; Project 16; estado por etapa, no suma de fixtures</x:v>
      </x:c>
    </x:row>
    <x:row r="9" ht="92" customHeight="1">
      <x:c r="A9" s="15" t="str">
        <x:v>A1</x:v>
      </x:c>
      <x:c r="B9" s="13" t="str">
        <x:v>Enterprise structure and Workspace context</x:v>
      </x:c>
      <x:c r="C9" s="13" t="str">
        <x:v>Active Enterprise/Business Unit/Portfolio; actual configured Workspace Types; Disposable isolated UAT database; protected Project ID14 baseline captured; actual scoped RBAC actors</x:v>
      </x:c>
      <x:c r="D9" s="13" t="str">
        <x:v>Enterprise Administrator; Read-only Executive</x:v>
      </x:c>
      <x:c r="E9" s="13" t="str">
        <x:v>UAT-CAPITAL-COPPER; CAPITAL_OWNER; governed taxonomy resolved from options; PYP-FFA only where configured; no operational ID reuse</x:v>
      </x:c>
      <x:c r="F9" s="13" t="str">
        <x:v>Inspect hierarchy, Record Code and external_key.; Open Enterprise Explorer and Workspace Context.; Read canonical PROJECT identity and scope boundaries.</x:v>
      </x:c>
      <x:c r="G9" s="13" t="str">
        <x:v>Canonical project is enterprise_workspaces row workspace_type_code=project; external identity and Record Code remain stable.</x:v>
      </x:c>
      <x:c r="H9" s="13" t="str">
        <x:v>Jerarquía nueva y Project canónico materializados con Record Codes. La visita de Explorer se registra aparte y no sustituye todos los controles de identidad y ámbito</x:v>
      </x:c>
      <x:c r="I9" s="13" t="str">
        <x:v>fresh-capital-owner-chain.json; tenant 4; Project 16; estado por etapa, no suma de fixtures</x:v>
      </x:c>
      <x:c r="J9" s="13" t="str">
        <x:v>BLOCKED</x:v>
      </x:c>
      <x:c r="K9" s="13" t="str"/>
      <x:c r="L9" s="6" t="str">
        <x:v>BLOCKED</x:v>
      </x:c>
      <x:c r="M9" s="6" t="str">
        <x:v>Not executed as this increment's end-to-end business case by scenario coverage auditor. Source/test definitions reviewed; prior release assertions are historical only.</x:v>
      </x:c>
      <x:c r="N9" s="6" t="str">
        <x:v>source_tests: backend/tests/test_enterprise_structure.py; backend/tests/test_project_creation_process.py::test_35_created_workspace_is_visible_in_enterprise_explorer; implementation: backend/app/modules/enterprise_structure/service.py; current_increment_execution: ; evidence_class: SOURCE_REVIEW_ONLY; historical execution must be linked separately</x:v>
      </x:c>
      <x:c r="O9" s="6" t="str">
        <x:v>2026-10-15</x:v>
      </x:c>
      <x:c r="P9" s="6" t="str">
        <x:v>fresh-capital-owner-chain.json; tenant 4; Project 16; estado por etapa, no suma de fixtures</x:v>
      </x:c>
    </x:row>
    <x:row r="10" ht="105" customHeight="1">
      <x:c r="A10" s="14" t="str">
        <x:v>A2</x:v>
      </x:c>
      <x:c r="B10" s="6" t="str">
        <x:v>Strategic capital demand, cycles, buckets and allocation</x:v>
      </x:c>
      <x:c r="C10" s="6" t="str">
        <x:v>Published planning/bucket configuration and active objective/theme catalog; Disposable isolated UAT database; protected Project ID14 baseline captured; actual scoped RBAC actors</x:v>
      </x:c>
      <x:c r="D10" s="6" t="str">
        <x:v>Capital Planning Administrator; Portfolio Manager; Project Sponsor</x:v>
      </x:c>
      <x:c r="E10" s="6" t="str">
        <x:v>UAT-CAPITAL-COPPER; CAPITAL_OWNER; governed taxonomy resolved from options; PYP-FFA only where configured; no operational ID reuse</x:v>
      </x:c>
      <x:c r="F10" s="6" t="str">
        <x:v>Create/open cycle, draft and endorse demand.; Create allocation targets, classify buckets and freeze endorsed revision.; Compare Target/Current/Recommended/Approved without inventing FX.</x:v>
      </x:c>
      <x:c r="G10" s="6" t="str">
        <x:v>Governed demand lineage and immutable allocation snapshot; approved capital derives only formal FFA authority.</x:v>
      </x:c>
      <x:c r="H10" s="6" t="str">
        <x:v>Ciclo, Demand y Allocation recorridos y utilizados para originar la Idea de esta misma cadena; la auditoría compuesta completa sigue pendiente</x:v>
      </x:c>
      <x:c r="I10" s="6" t="str">
        <x:v>fresh-capital-owner-chain.json; tenant 4; Project 16; estado por etapa, no suma de fixtures</x:v>
      </x:c>
      <x:c r="J10" s="6" t="str">
        <x:v>BLOCKED</x:v>
      </x:c>
      <x:c r="K10" s="6" t="str"/>
      <x:c r="L10" s="6" t="str">
        <x:v>BLOCKED</x:v>
      </x:c>
      <x:c r="M10" s="6" t="str">
        <x:v>Not executed as this increment's end-to-end business case by scenario coverage auditor. Source/test definitions reviewed; prior release assertions are historical only.</x:v>
      </x:c>
      <x:c r="N10" s="6" t="str">
        <x:v>source_tests: backend/tests/test_capital_planning_wave1.py::test_wave1_lifecycle_atomic_origin_idempotency_sod_filters_and_boundaries; backend/tests/test_capital_allocation_wave2a.py::test_wave2a_reads_gate07i_recommendation_and_only_full_pyp_ffa_approval; implementation: backend/app/modules/capital_planning/service.py; current_increment_execution: ; evidence_class: SOURCE_REVIEW_ONLY; historical execution must be linked separately</x:v>
      </x:c>
      <x:c r="O10" s="6" t="str">
        <x:v>2026-10-15</x:v>
      </x:c>
      <x:c r="P10" s="6" t="str">
        <x:v>fresh-capital-owner-chain.json; tenant 4; Project 16; estado por etapa, no suma de fixtures</x:v>
      </x:c>
    </x:row>
    <x:row r="11" ht="66" customHeight="1">
      <x:c r="A11" s="15" t="str">
        <x:v>A3</x:v>
      </x:c>
      <x:c r="B11" s="13" t="str">
        <x:v>Idea, evaluation and governed Business Analysis</x:v>
      </x:c>
      <x:c r="C11" s="13" t="str">
        <x:v>Eligible owning Workspace and published Idea/BA policies; CAPITAL_OWNER source; Disposable isolated UAT database; protected Project ID14 baseline captured; actual scoped RBAC actors</x:v>
      </x:c>
      <x:c r="D11" s="13" t="str">
        <x:v>Investment Originator; Project Sponsor; independent Business Analysis Reviewer</x:v>
      </x:c>
      <x:c r="E11" s="13" t="str">
        <x:v>UAT-CAPITAL-COPPER; CAPITAL_OWNER; governed taxonomy resolved from options; PYP-FFA only where configured; no operational ID reuse</x:v>
      </x:c>
      <x:c r="F11" s="13" t="str">
        <x:v>Create Idea and submit, screen, route, assign owner.; Complete contextual evaluation and accept Idea.; Where policy requires, complete independent Business Analysis with evaluated alternatives before Proposal.</x:v>
      </x:c>
      <x:c r="G11" s="13" t="str">
        <x:v>Idea is not Workspace; ACCEPTED may yield READY_FOR_BUSINESS_ANALYSIS, then BA COMPLETED yields READY_FOR_PROJECT_PROPOSAL.</x:v>
      </x:c>
      <x:c r="H11" s="13" t="str">
        <x:v>Idea aceptada y BA completado por revisor independiente mediante comandos HTTP reales; una pantalla abierta no equivale a ejecutar allí todo el lifecycle</x:v>
      </x:c>
      <x:c r="I11" s="13" t="str">
        <x:v>fresh-capital-owner-chain.json; tenant 4; Project 16; estado por etapa, no suma de fixtures</x:v>
      </x:c>
      <x:c r="J11" s="13" t="str">
        <x:v>BLOCKED</x:v>
      </x:c>
      <x:c r="K11" s="13" t="str"/>
      <x:c r="L11" s="6" t="str">
        <x:v>PASS</x:v>
      </x:c>
      <x:c r="M11" s="6" t="str">
        <x:v>Idea, evaluación y Business Analysis independiente completados por HTTP real; alcance upstream, no toda la ruta A</x:v>
      </x:c>
      <x:c r="N11" s="6" t="str">
        <x:v>routes-postgresql-final.xml; scenario-routes-sqlite-junit.xml</x:v>
      </x:c>
      <x:c r="O11" s="6" t="str">
        <x:v>2026-10-15</x:v>
      </x:c>
      <x:c r="P11" s="6" t="str">
        <x:v>fresh-capital-owner-chain.json; tenant 4; Project 16; estado por etapa, no suma de fixtures</x:v>
      </x:c>
    </x:row>
    <x:row r="12" ht="66" customHeight="1">
      <x:c r="A12" s="14" t="str">
        <x:v>A4</x:v>
      </x:c>
      <x:c r="B12" s="6" t="str">
        <x:v>Project Proposal</x:v>
      </x:c>
      <x:c r="C12" s="6" t="str">
        <x:v>Accepted Idea; required completed/current BA or legitimate grandfathered snapshot; Disposable isolated UAT database; protected Project ID14 baseline captured; actual scoped RBAC actors</x:v>
      </x:c>
      <x:c r="D12" s="6" t="str">
        <x:v>Project Sponsor; Investment / Project Manager</x:v>
      </x:c>
      <x:c r="E12" s="6" t="str">
        <x:v>UAT-CAPITAL-COPPER; CAPITAL_OWNER; governed taxonomy resolved from options; PYP-FFA only where configured; no operational ID reuse</x:v>
      </x:c>
      <x:c r="F12" s="6" t="str">
        <x:v>Create from eligible Idea.; Complete scope, business need/justification, benefits, ROM, dates, risks, assumptions and constraints.; Submit, review, evaluate, mark Gate-ready.</x:v>
      </x:c>
      <x:c r="G12" s="6" t="str">
        <x:v>Stored status READY_FOR_STRATEGIC_GATE; readiness output READY_FOR_STRATEGIC_GATE_DECISION; source evaluation/BA retained.</x:v>
      </x:c>
      <x:c r="H12" s="6" t="str">
        <x:v>Proposal evaluada y handoff al Strategic Gate ejecutado en esta cadena; no se trasladan hallazgos o aprobaciones de otro tenant a este caso formal</x:v>
      </x:c>
      <x:c r="I12" s="6" t="str">
        <x:v>fresh-capital-owner-chain.json; tenant 4; Project 16; estado por etapa, no suma de fixtures</x:v>
      </x:c>
      <x:c r="J12" s="6" t="str">
        <x:v>BLOCKED</x:v>
      </x:c>
      <x:c r="K12" s="6" t="str"/>
      <x:c r="L12" s="6" t="str">
        <x:v>PASS</x:v>
      </x:c>
      <x:c r="M12" s="6" t="str">
        <x:v>Proposal desde Idea y BA reales; independiente del ensayo heredado que siembra propuestas</x:v>
      </x:c>
      <x:c r="N12" s="6" t="str">
        <x:v>routes-postgresql-final.xml</x:v>
      </x:c>
      <x:c r="O12" s="6" t="str">
        <x:v>2026-10-15</x:v>
      </x:c>
      <x:c r="P12" s="6" t="str">
        <x:v>fresh-capital-owner-chain.json; tenant 4; Project 16; estado por etapa, no suma de fixtures</x:v>
      </x:c>
    </x:row>
    <x:row r="13" ht="66" customHeight="1">
      <x:c r="A13" s="15" t="str">
        <x:v>A5</x:v>
      </x:c>
      <x:c r="B13" s="13" t="str">
        <x:v>Strategic Gate</x:v>
      </x:c>
      <x:c r="C13" s="13" t="str">
        <x:v>Gate-ready Proposal, published Strategic Gate profile and valid decision authority; Disposable isolated UAT database; protected Project ID14 baseline captured; actual scoped RBAC actors</x:v>
      </x:c>
      <x:c r="D13" s="13" t="str">
        <x:v>Gate Preparer; independent Strategic Decision Maker</x:v>
      </x:c>
      <x:c r="E13" s="13" t="str">
        <x:v>UAT-CAPITAL-COPPER; CAPITAL_OWNER; governed taxonomy resolved from options; PYP-FFA only where configured; no operational ID reuse</x:v>
      </x:c>
      <x:c r="F13" s="13" t="str">
        <x:v>Preview and create decision linked to Proposal.; Prepare, submit, review and decide APPROVE with independent actor.; Read intake readiness; run RETURN/REJECT/DEFER separately.</x:v>
      </x:c>
      <x:c r="G13" s="13" t="str">
        <x:v>APPROVE produces READY_FOR_PORTFOLIO_INTAKE, not a Project/FID/activation. Project created later by shared materializer.</x:v>
      </x:c>
      <x:c r="H13" s="13" t="str">
        <x:v>Strategic Gate APPROVE por autoridad independiente ejecutado; no equivale a FID, financiación ni activación</x:v>
      </x:c>
      <x:c r="I13" s="13" t="str">
        <x:v>fresh-capital-owner-chain.json; tenant 4; Project 16; estado por etapa, no suma de fixtures</x:v>
      </x:c>
      <x:c r="J13" s="13" t="str">
        <x:v>BLOCKED</x:v>
      </x:c>
      <x:c r="K13" s="13" t="str"/>
      <x:c r="L13" s="6" t="str">
        <x:v>PASS</x:v>
      </x:c>
      <x:c r="M13" s="6" t="str">
        <x:v>Strategic Gate APPROVE con actor independiente produce handoff y materialización pending; outcomes negativos se informan por su regresión, no por esta ruta feliz</x:v>
      </x:c>
      <x:c r="N13" s="6" t="str">
        <x:v>routes-postgresql-final.xml</x:v>
      </x:c>
      <x:c r="O13" s="6" t="str">
        <x:v>2026-10-15</x:v>
      </x:c>
      <x:c r="P13" s="6" t="str">
        <x:v>fresh-capital-owner-chain.json; tenant 4; Project 16; estado por etapa, no suma de fixtures</x:v>
      </x:c>
    </x:row>
    <x:row r="14" ht="131" customHeight="1">
      <x:c r="A14" s="14" t="str">
        <x:v>A6</x:v>
      </x:c>
      <x:c r="B14" s="6" t="str">
        <x:v>Project Workspace creation and initialization timing</x:v>
      </x:c>
      <x:c r="C14" s="6" t="str">
        <x:v>APPROVE intake readiness, published exact template, manager, eligible portfolio/program parent; Disposable isolated UAT database; protected Project ID14 baseline captured; actual scoped RBAC actors</x:v>
      </x:c>
      <x:c r="D14" s="6" t="str">
        <x:v>Investment / Project Manager; Project Workspace Initializer</x:v>
      </x:c>
      <x:c r="E14" s="6" t="str">
        <x:v>UAT-CAPITAL-COPPER; CAPITAL_OWNER; governed taxonomy resolved from options; PYP-FFA only where configured; no operational ID reuse</x:v>
      </x:c>
      <x:c r="F14" s="6" t="str">
        <x:v>Create strategic planning entry with expected decision/readiness hashes.; Submit shared request, independent approval and materialize.; Inspect pending identity and initialization/activation eligibility without premature Capital Owner activation.</x:v>
      </x:c>
      <x:c r="G14" s="6" t="str">
        <x:v>Exactly one canonical pending Project and creation lineage; initialization is separate and activation requires execution authorization.</x:v>
      </x:c>
      <x:c r="H14" s="6" t="str">
        <x:v>Solicitud revisada, aprobada y materializada como Project pending. Replay, elegibilidad e inicialización del caso compuesto requieren su propia evidencia</x:v>
      </x:c>
      <x:c r="I14" s="6" t="str">
        <x:v>fresh-capital-owner-chain.json; tenant 4; Project 16; estado por etapa, no suma de fixtures</x:v>
      </x:c>
      <x:c r="J14" s="6" t="str">
        <x:v>BLOCKED</x:v>
      </x:c>
      <x:c r="K14" s="6" t="str"/>
      <x:c r="L14" s="6" t="str">
        <x:v>BLOCKED</x:v>
      </x:c>
      <x:c r="M14" s="6" t="str">
        <x:v>Fresh local SQLite upstream proof materialized canonical CAPITAL_OWNER pending Project 5 and ACTIVE STRATEGIC_INTAKE membership through normal HTTP. Case remains BLOCKED/PARTIAL because its wider initialization timing / extra membership boundary assertions were not all executed by this new upstream test.</x:v>
      </x:c>
      <x:c r="N14" s="6" t="str">
        <x:v>source_tests: backend/tests/test_project_creation_process.py::test_30_materialization_creates_one_pending_project_workspace; backend/tests/test_project_workspace_initialization.py::test_54_gate05b_materialization_to_gate05c_activation; backend/tests/test_strategic_final_uat_routes.py::test_capital_owner_idea_business_analysis_proposal_gate_to_pending_project; implementation: backend/app/modules/project_creation/service.py; current_increment_execution: docs/validation/strategic-final-uat/routes-sqlite/scenario-route-CAPITAL_OWNER_UPSTREAM.json; evidence_class: CURRENT_INCREMENT_SQLITE_HTTP_PARTIAL</x:v>
      </x:c>
      <x:c r="O14" s="6" t="str">
        <x:v>2026-10-15</x:v>
      </x:c>
      <x:c r="P14" s="6" t="str">
        <x:v>fresh-capital-owner-chain.json; tenant 4; Project 16; estado por etapa, no suma de fixtures</x:v>
      </x:c>
    </x:row>
    <x:row r="15" ht="118" customHeight="1">
      <x:c r="A15" s="15" t="str">
        <x:v>A7</x:v>
      </x:c>
      <x:c r="B15" s="13" t="str">
        <x:v>Portfolio Intake and membership</x:v>
      </x:c>
      <x:c r="C15" s="13" t="str">
        <x:v>Materialized CAPITAL_OWNER Project; approved strategic intake; Disposable isolated UAT database; protected Project ID14 baseline captured; actual scoped RBAC actors</x:v>
      </x:c>
      <x:c r="D15" s="13" t="str">
        <x:v>Portfolio Manager</x:v>
      </x:c>
      <x:c r="E15" s="13" t="str">
        <x:v>UAT-CAPITAL-COPPER; CAPITAL_OWNER; governed taxonomy resolved from options; PYP-FFA only where configured; no operational ID reuse</x:v>
      </x:c>
      <x:c r="F15" s="13" t="str">
        <x:v>Read planning entry and target membership.; Confirm ACTIVE membership and STRATEGIC_INTAKE source.; Verify eligibility and independent membership in another portfolio without changing canonical parent.</x:v>
      </x:c>
      <x:c r="G15" s="13" t="str">
        <x:v>Target membership resolves correct Project and no second Project identity; CAPITAL_OWNER eligible.</x:v>
      </x:c>
      <x:c r="H15" s="13" t="str">
        <x:v>Intake y membership principal ACTIVE de la misma identidad. No se infieren todas las variaciones de membresía ni cambios de padre</x:v>
      </x:c>
      <x:c r="I15" s="13" t="str">
        <x:v>fresh-capital-owner-chain.json; tenant 4; Project 16; estado por etapa, no suma de fixtures</x:v>
      </x:c>
      <x:c r="J15" s="13" t="str">
        <x:v>BLOCKED</x:v>
      </x:c>
      <x:c r="K15" s="13" t="str"/>
      <x:c r="L15" s="6" t="str">
        <x:v>BLOCKED</x:v>
      </x:c>
      <x:c r="M15" s="6" t="str">
        <x:v>Fresh local SQLite upstream proof materialized canonical CAPITAL_OWNER pending Project 5 and ACTIVE STRATEGIC_INTAKE membership through normal HTTP. Case remains BLOCKED/PARTIAL because its wider initialization timing / extra membership boundary assertions were not all executed by this new upstream test.</x:v>
      </x:c>
      <x:c r="N15" s="6" t="str">
        <x:v>source_tests: backend/tests/test_portfolio_planning_gate07d.py::test_gate07d_full_lifecycle_creates_one_pending_project_and_target_membership; backend/tests/test_strategic_final_uat_routes.py::test_capital_owner_idea_business_analysis_proposal_gate_to_pending_project; implementation: backend/app/modules/portfolio_planning/service.py; current_increment_execution: docs/validation/strategic-final-uat/routes-sqlite/scenario-route-CAPITAL_OWNER_UPSTREAM.json; evidence_class: CURRENT_INCREMENT_SQLITE_HTTP_PARTIAL</x:v>
      </x:c>
      <x:c r="O15" s="6" t="str">
        <x:v>2026-10-15</x:v>
      </x:c>
      <x:c r="P15" s="6" t="str">
        <x:v>fresh-capital-owner-chain.json; tenant 4; Project 16; estado por etapa, no suma de fixtures</x:v>
      </x:c>
    </x:row>
    <x:row r="16" ht="105" customHeight="1">
      <x:c r="A16" s="14" t="str">
        <x:v>A8</x:v>
      </x:c>
      <x:c r="B16" s="6" t="str">
        <x:v>Evaluation and Prioritization</x:v>
      </x:c>
      <x:c r="C16" s="6" t="str">
        <x:v>ACTIVE capital membership and effective evaluation criteria; Disposable isolated UAT database; protected Project ID14 baseline captured; actual scoped RBAC actors</x:v>
      </x:c>
      <x:c r="D16" s="6" t="str">
        <x:v>Portfolio Manager; Portfolio Evaluator</x:v>
      </x:c>
      <x:c r="E16" s="6" t="str">
        <x:v>UAT-CAPITAL-COPPER; CAPITAL_OWNER; governed taxonomy resolved from options; PYP-FFA only where configured; no operational ID reuse</x:v>
      </x:c>
      <x:c r="F16" s="6" t="str">
        <x:v>Start contextual evaluation in portfolio.; Rate and complete immutable scoring revision.; Read deterministic Portfolio Rank and test second-portfolio context.</x:v>
      </x:c>
      <x:c r="G16" s="6" t="str">
        <x:v>No duplicate global rank; history remains immutable; contextual rank excludes inactive membership.</x:v>
      </x:c>
      <x:c r="H16" s="6" t="str">
        <x:v>Etapa técnica completada: evaluación inmutable, historia real y rank contextual de la misma inversión. El caso formal compuesto continúa BLOCKED</x:v>
      </x:c>
      <x:c r="I16" s="6" t="str">
        <x:v>fresh-capital-owner-chain.json; tenant 4; Project 16; estado por etapa, no suma de fixtures</x:v>
      </x:c>
      <x:c r="J16" s="6" t="str">
        <x:v>BLOCKED</x:v>
      </x:c>
      <x:c r="K16" s="6" t="str"/>
      <x:c r="L16" s="6" t="str">
        <x:v>BLOCKED</x:v>
      </x:c>
      <x:c r="M16" s="6" t="str">
        <x:v>Not executed as this increment's end-to-end business case by scenario coverage auditor. Source/test definitions reviewed; prior release assertions are historical only.</x:v>
      </x:c>
      <x:c r="N16" s="6" t="str">
        <x:v>source_tests: backend/tests/test_portfolio_evaluation_gate07e.py::test_same_project_can_have_independent_evaluation_and_rank_in_two_portfolios; backend/tests/test_portfolio_evaluation_gate07e.py::test_capital_owner_scoring_is_deterministic_and_completed_snapshot_is_immutable; implementation: backend/app/modules/portfolio_evaluation/service.py; current_increment_execution: ; evidence_class: SOURCE_REVIEW_ONLY; historical execution must be linked separately</x:v>
      </x:c>
      <x:c r="O16" s="6" t="str">
        <x:v>2026-10-15</x:v>
      </x:c>
      <x:c r="P16" s="6" t="str">
        <x:v>fresh-capital-owner-chain.json; tenant 4; Project 16; estado por etapa, no suma de fixtures</x:v>
      </x:c>
    </x:row>
    <x:row r="17" ht="105" customHeight="1">
      <x:c r="A17" s="15" t="str">
        <x:v>A9</x:v>
      </x:c>
      <x:c r="B17" s="13" t="str">
        <x:v>Portfolio Analysis / Investor Map / Scorecard</x:v>
      </x:c>
      <x:c r="C17" s="13" t="str">
        <x:v>Current contextual evaluations/rank and published analysis catalog; Disposable isolated UAT database; protected Project ID14 baseline captured; actual scoped RBAC actors</x:v>
      </x:c>
      <x:c r="D17" s="13" t="str">
        <x:v>Portfolio Manager; Read-only Executive</x:v>
      </x:c>
      <x:c r="E17" s="13" t="str">
        <x:v>UAT-CAPITAL-COPPER; CAPITAL_OWNER; governed taxonomy resolved from options; PYP-FFA only where configured; no operational ID reuse</x:v>
      </x:c>
      <x:c r="F17" s="13" t="str">
        <x:v>Read Investor Map and Scorecard.; Inspect source hash and branch readiness.; Mix currencies and confirm only incompatible monetary branch is blocked.</x:v>
      </x:c>
      <x:c r="G17" s="13" t="str">
        <x:v>Analysis reuses Gate07E rank; no hidden FX, no rank mutation, explicit budget/resource readiness.</x:v>
      </x:c>
      <x:c r="H17" s="13" t="str">
        <x:v>Etapa técnica completada: análisis, moneda y cobertura comprobados, Investor Map, Scorecard y distribuciones consultados. No implica validación visual integral</x:v>
      </x:c>
      <x:c r="I17" s="13" t="str">
        <x:v>fresh-capital-owner-chain.json; tenant 4; Project 16; estado por etapa, no suma de fixtures</x:v>
      </x:c>
      <x:c r="J17" s="13" t="str">
        <x:v>BLOCKED</x:v>
      </x:c>
      <x:c r="K17" s="13" t="str"/>
      <x:c r="L17" s="6" t="str">
        <x:v>BLOCKED</x:v>
      </x:c>
      <x:c r="M17" s="6" t="str">
        <x:v>Not executed as this increment's end-to-end business case by scenario coverage auditor. Source/test definitions reviewed; prior release assertions are historical only.</x:v>
      </x:c>
      <x:c r="N17" s="6" t="str">
        <x:v>source_tests: backend/tests/test_portfolio_analysis_gate07f.py::test_analysis_reuses_gate07e_rank_and_produces_map_scorecard_and_readiness; backend/tests/test_portfolio_analysis_gate07f.py::test_currency_guardrail_disables_monetary_size_and_budget_branch_only; implementation: backend/app/modules/portfolio_analysis/service.py; current_increment_execution: ; evidence_class: SOURCE_REVIEW_ONLY; historical execution must be linked separately</x:v>
      </x:c>
      <x:c r="O17" s="6" t="str">
        <x:v>2026-10-15</x:v>
      </x:c>
      <x:c r="P17" s="6" t="str">
        <x:v>fresh-capital-owner-chain.json; tenant 4; Project 16; estado por etapa, no suma de fixtures</x:v>
      </x:c>
    </x:row>
    <x:row r="18" ht="105" customHeight="1">
      <x:c r="A18" s="14" t="str">
        <x:v>A10</x:v>
      </x:c>
      <x:c r="B18" s="6" t="str">
        <x:v>Budget Planning and scenarios</x:v>
      </x:c>
      <x:c r="C18" s="6" t="str">
        <x:v>Current analysis, published contextual budget configuration and target; Disposable isolated UAT database; protected Project ID14 baseline captured; actual scoped RBAC actors</x:v>
      </x:c>
      <x:c r="D18" s="6" t="str">
        <x:v>Portfolio Manager; Project Controls; Cost / Finance Reviewer</x:v>
      </x:c>
      <x:c r="E18" s="6" t="str">
        <x:v>UAT-CAPITAL-COPPER; CAPITAL_OWNER; governed taxonomy resolved from options; PYP-FFA only where configured; no operational ID reuse</x:v>
      </x:c>
      <x:c r="F18" s="6" t="str">
        <x:v>Create/publish budget target with periods.; Create multiple scenarios and inspect selection, CAPEX/Expense, time phasing and Waterline.; Freeze scenario and compare; confirm no approval or Budget write-back.</x:v>
      </x:c>
      <x:c r="G18" s="6" t="str">
        <x:v>FROZEN is immutable analytical state, not investment approval; over-budget is explicit analytical result.</x:v>
      </x:c>
      <x:c r="H18" s="6" t="str">
        <x:v>Budget Target publicado y escenario Budget FROZEN mediante comandos normales; no constituye inversión aprobada</x:v>
      </x:c>
      <x:c r="I18" s="6" t="str">
        <x:v>fresh-capital-owner-chain.json; tenant 4; Project 16; estado por etapa, no suma de fixtures</x:v>
      </x:c>
      <x:c r="J18" s="6" t="str">
        <x:v>BLOCKED</x:v>
      </x:c>
      <x:c r="K18" s="6" t="str"/>
      <x:c r="L18" s="6" t="str">
        <x:v>BLOCKED</x:v>
      </x:c>
      <x:c r="M18" s="6" t="str">
        <x:v>Not executed as this increment's end-to-end business case by scenario coverage auditor. Source/test definitions reviewed; prior release assertions are historical only.</x:v>
      </x:c>
      <x:c r="N18" s="6" t="str">
        <x:v>source_tests: backend/tests/test_portfolio_budget_gate07g.py::test_happy_path_target_scenarios_comparison_and_final_contract; backend/tests/test_portfolio_budget_gate07g_a.py::test_waterline_reuses_rank_and_exposes_governed_budget_breakdown; implementation: backend/app/modules/portfolio_budget/service.py; current_increment_execution: ; evidence_class: SOURCE_REVIEW_ONLY; historical execution must be linked separately</x:v>
      </x:c>
      <x:c r="O18" s="6" t="str">
        <x:v>2026-10-15</x:v>
      </x:c>
      <x:c r="P18" s="6" t="str">
        <x:v>fresh-capital-owner-chain.json; tenant 4; Project 16; estado por etapa, no suma de fixtures</x:v>
      </x:c>
    </x:row>
    <x:row r="19" ht="105" customHeight="1">
      <x:c r="A19" s="15" t="str">
        <x:v>A11</x:v>
      </x:c>
      <x:c r="B19" s="13" t="str">
        <x:v>Resource Planning and scenarios</x:v>
      </x:c>
      <x:c r="C19" s="13" t="str">
        <x:v>Published Capacity Plan; actual Project demand profiles; current analysis; Disposable isolated UAT database; protected Project ID14 baseline captured; actual scoped RBAC actors</x:v>
      </x:c>
      <x:c r="D19" s="13" t="str">
        <x:v>Portfolio Manager; Project Controls</x:v>
      </x:c>
      <x:c r="E19" s="13" t="str">
        <x:v>UAT-CAPITAL-COPPER; CAPITAL_OWNER; governed taxonomy resolved from options; PYP-FFA only where configured; no operational ID reuse</x:v>
      </x:c>
      <x:c r="F19" s="13" t="str">
        <x:v>Create/publish role-period capacity and Project demand.; Create scenarios and inspect overload/timing/comparison.; Freeze and verify no Project date mutation or named-person staffing.</x:v>
      </x:c>
      <x:c r="G19" s="13" t="str">
        <x:v>Strategic role capacity only, not P6 leveling or named staffing; missing demand not fabricated.</x:v>
      </x:c>
      <x:c r="H19" s="13" t="str">
        <x:v>Capacity y Demand publicados y escenario Resource FROZEN en esta cadena; la identidad y fechas fuente del Project se conservaron</x:v>
      </x:c>
      <x:c r="I19" s="13" t="str">
        <x:v>fresh-capital-owner-chain.json; tenant 4; Project 16; estado por etapa, no suma de fixtures</x:v>
      </x:c>
      <x:c r="J19" s="13" t="str">
        <x:v>BLOCKED</x:v>
      </x:c>
      <x:c r="K19" s="13" t="str"/>
      <x:c r="L19" s="6" t="str">
        <x:v>BLOCKED</x:v>
      </x:c>
      <x:c r="M19" s="6" t="str">
        <x:v>Not executed as this increment's end-to-end business case by scenario coverage auditor. Source/test definitions reviewed; prior release assertions are historical only.</x:v>
      </x:c>
      <x:c r="N19" s="6" t="str">
        <x:v>source_tests: backend/tests/test_portfolio_resource_gate07h.py::test_gate07h_happy_path_overload_timing_comparison_and_final_output; backend/tests/test_portfolio_resource_gate07h.py::test_missing_demand_is_not_fabricated_and_unit_mismatch_blocks; implementation: backend/app/modules/portfolio_resource/service.py; current_increment_execution: ; evidence_class: SOURCE_REVIEW_ONLY; historical execution must be linked separately</x:v>
      </x:c>
      <x:c r="O19" s="6" t="str">
        <x:v>2026-10-15</x:v>
      </x:c>
      <x:c r="P19" s="6" t="str">
        <x:v>fresh-capital-owner-chain.json; tenant 4; Project 16; estado por etapa, no suma de fixtures</x:v>
      </x:c>
    </x:row>
    <x:row r="20" ht="105" customHeight="1">
      <x:c r="A20" s="14" t="str">
        <x:v>A12</x:v>
      </x:c>
      <x:c r="B20" s="6" t="str">
        <x:v>Scenario Convergence and Recommendation</x:v>
      </x:c>
      <x:c r="C20" s="6" t="str">
        <x:v>Frozen compatible budget/resource source alternatives required by effective convergence configuration; Disposable isolated UAT database; protected Project ID14 baseline captured; actual scoped RBAC actors</x:v>
      </x:c>
      <x:c r="D20" s="6" t="str">
        <x:v>Portfolio Manager</x:v>
      </x:c>
      <x:c r="E20" s="6" t="str">
        <x:v>UAT-CAPITAL-COPPER; CAPITAL_OWNER; governed taxonomy resolved from options; PYP-FFA only where configured; no operational ID reuse</x:v>
      </x:c>
      <x:c r="F20" s="6" t="str">
        <x:v>Create convergence and alternatives linking branch scenarios.; Evaluate feasibility and alignment.; Recommend only feasible alternative; test mismatch/forced conflict separately.</x:v>
      </x:c>
      <x:c r="G20" s="6" t="str">
        <x:v>Immutable formal recommendation with source hashes; recommendation is not FID and does not activate Project.</x:v>
      </x:c>
      <x:c r="H20" s="6" t="str">
        <x:v>Budget y Resource actuales convergieron en alternativa RECOMMENDED y READY_FOR_INVESTMENT_GATE_PREPARATION; todavía no es FID</x:v>
      </x:c>
      <x:c r="I20" s="6" t="str">
        <x:v>fresh-capital-owner-chain.json; tenant 4; Project 16; estado por etapa, no suma de fixtures</x:v>
      </x:c>
      <x:c r="J20" s="6" t="str">
        <x:v>BLOCKED</x:v>
      </x:c>
      <x:c r="K20" s="6" t="str"/>
      <x:c r="L20" s="6" t="str">
        <x:v>BLOCKED</x:v>
      </x:c>
      <x:c r="M20" s="6" t="str">
        <x:v>Not executed as this increment's end-to-end business case by scenario coverage auditor. Source/test definitions reviewed; prior release assertions are historical only.</x:v>
      </x:c>
      <x:c r="N20" s="6" t="str">
        <x:v>source_tests: backend/tests/test_portfolio_convergence_gate07i.py::test_happy_path_formal_recommendation_and_downstream_contract; backend/tests/test_portfolio_convergence_gate07i.py::test_misaligned_and_forced_conflict_alternative_is_not_recommendable; implementation: backend/app/modules/portfolio_convergence/service.py; current_increment_execution: ; evidence_class: SOURCE_REVIEW_ONLY; historical execution must be linked separately</x:v>
      </x:c>
      <x:c r="O20" s="6" t="str">
        <x:v>2026-10-15</x:v>
      </x:c>
      <x:c r="P20" s="6" t="str">
        <x:v>fresh-capital-owner-chain.json; tenant 4; Project 16; estado por etapa, no suma de fixtures</x:v>
      </x:c>
    </x:row>
    <x:row r="21" ht="105" customHeight="1">
      <x:c r="A21" s="15" t="str">
        <x:v>A13</x:v>
      </x:c>
      <x:c r="B21" s="13" t="str">
        <x:v>Periodic Portfolio Review / actions</x:v>
      </x:c>
      <x:c r="C21" s="13" t="str">
        <x:v>Applicable review policy and available required allocation/budget/resource/Gate sources; Disposable isolated UAT database; protected Project ID14 baseline captured; actual scoped RBAC actors</x:v>
      </x:c>
      <x:c r="D21" s="13" t="str">
        <x:v>Portfolio Manager; independent Portfolio Reviewer</x:v>
      </x:c>
      <x:c r="E21" s="13" t="str">
        <x:v>UAT-CAPITAL-COPPER; CAPITAL_OWNER; governed taxonomy resolved from options; PYP-FFA only where configured; no operational ID reuse</x:v>
      </x:c>
      <x:c r="F21" s="13" t="str">
        <x:v>Prepare review, preview/capture snapshot and freeze/review.; Inspect Project Matrix, conclusions and linked authority context.; Create governance action and verify source authority remains unchanged.</x:v>
      </x:c>
      <x:c r="G21" s="13" t="str">
        <x:v>Historical frozen sources not reinterpreted; HOLD_FOR_CAPACITY is request-only portfolio action, not Gate07K HOLD.</x:v>
      </x:c>
      <x:c r="H21" s="13" t="str">
        <x:v>Review real COMPLETED con snapshot histórico congelado, conclusión y acción por actores independientes; Project y membership preservados. No es decisión de inversión</x:v>
      </x:c>
      <x:c r="I21" s="13" t="str">
        <x:v>fresh-capital-owner-chain.json; tenant 4; Project 16; estado por etapa, no suma de fixtures</x:v>
      </x:c>
      <x:c r="J21" s="13" t="str">
        <x:v>BLOCKED</x:v>
      </x:c>
      <x:c r="K21" s="13" t="str"/>
      <x:c r="L21" s="6" t="str">
        <x:v>BLOCKED</x:v>
      </x:c>
      <x:c r="M21" s="6" t="str">
        <x:v>Not executed as this increment's end-to-end business case by scenario coverage auditor. Source/test definitions reviewed; prior release assertions are historical only.</x:v>
      </x:c>
      <x:c r="N21" s="6" t="str">
        <x:v>source_tests: backend/tests/test_portfolio_review_wave3a.py::test_wave3a_two_actor_lifecycle_snapshot_preview_freeze_idempotency_and_sod; backend/tests/test_portfolio_review_wave3a.py::test_wave3a_action_semantics_are_request_only_without_source_mutations; implementation: backend/app/modules/portfolio_review/service.py; current_increment_execution: ; evidence_class: SOURCE_REVIEW_ONLY; historical execution must be linked separately</x:v>
      </x:c>
      <x:c r="O21" s="6" t="str">
        <x:v>2026-10-15</x:v>
      </x:c>
      <x:c r="P21" s="6" t="str">
        <x:v>fresh-capital-owner-chain.json; tenant 4; Project 16; estado por etapa, no suma de fixtures</x:v>
      </x:c>
    </x:row>
    <x:row r="22" ht="105" customHeight="1">
      <x:c r="A22" s="14" t="str">
        <x:v>A14</x:v>
      </x:c>
      <x:c r="B22" s="6" t="str">
        <x:v>Five Case Business Case</x:v>
      </x:c>
      <x:c r="C22" s="6" t="str">
        <x:v>Canonical capital Project, proposal/BA lineage and policy-required governed sources; Disposable isolated UAT database; protected Project ID14 baseline captured; actual scoped RBAC actors</x:v>
      </x:c>
      <x:c r="D22" s="6" t="str">
        <x:v>Investment / Project Manager; Project Sponsor; independent Business Case Reviewer</x:v>
      </x:c>
      <x:c r="E22" s="6" t="str">
        <x:v>UAT-CAPITAL-COPPER; CAPITAL_OWNER; governed taxonomy resolved from options; PYP-FFA only where configured; no operational ID reuse</x:v>
      </x:c>
      <x:c r="F22" s="6" t="str">
        <x:v>Create revision from actual source bundle.; Complete Strategic/Economic/Commercial/Financial/Management cases with source refs.; Submit and independently complete; create successor rather than edit completed revision.</x:v>
      </x:c>
      <x:c r="G22" s="6" t="str">
        <x:v>Five Case readiness and source hashes are governed; historical revision data is frozen; FIN bridge exact id/version/hash.</x:v>
      </x:c>
      <x:c r="H22" s="6" t="str">
        <x:v>Revisión Five Case FFA final completada por revisor independiente y providers actuales comprobados; falta acreditación completa del caso formal y del E2E browser</x:v>
      </x:c>
      <x:c r="I22" s="6" t="str">
        <x:v>fresh-capital-owner-chain.json; tenant 4; Project 16; estado por etapa, no suma de fixtures</x:v>
      </x:c>
      <x:c r="J22" s="6" t="str">
        <x:v>BLOCKED</x:v>
      </x:c>
      <x:c r="K22" s="6" t="str"/>
      <x:c r="L22" s="6" t="str">
        <x:v>BLOCKED</x:v>
      </x:c>
      <x:c r="M22" s="6" t="str">
        <x:v>Not executed as this increment's end-to-end business case by scenario coverage auditor. Source/test definitions reviewed; prior release assertions are historical only.</x:v>
      </x:c>
      <x:c r="N22" s="6" t="str">
        <x:v>source_tests: backend/tests/test_business_case_gate07m_bc_5c.py::test_historical_five_case_is_derived_only_from_frozen_revision_data; backend/tests/test_business_case_gate07m.py::test_complete_snapshot_and_new_revision_preserve_longitudinal_history; implementation: backend/app/modules/business_case/service.py; current_increment_execution: ; evidence_class: SOURCE_REVIEW_ONLY; historical execution must be linked separately</x:v>
      </x:c>
      <x:c r="O22" s="6" t="str">
        <x:v>2026-10-15</x:v>
      </x:c>
      <x:c r="P22" s="6" t="str">
        <x:v>fresh-capital-owner-chain.json; tenant 4; Project 16; estado por etapa, no suma de fixtures</x:v>
      </x:c>
    </x:row>
    <x:row r="23" ht="105" customHeight="1">
      <x:c r="A23" s="15" t="str">
        <x:v>A15</x:v>
      </x:c>
      <x:c r="B23" s="13" t="str">
        <x:v>Strategic Benefits</x:v>
      </x:c>
      <x:c r="C23" s="13" t="str">
        <x:v>Capital Project, effective benefits configuration and objective/source references; Disposable isolated UAT database; protected Project ID14 baseline captured; actual scoped RBAC actors</x:v>
      </x:c>
      <x:c r="D23" s="13" t="str">
        <x:v>Project Sponsor; Benefits Author; independent Benefits Reviewer</x:v>
      </x:c>
      <x:c r="E23" s="13" t="str">
        <x:v>UAT-CAPITAL-COPPER; CAPITAL_OWNER; governed taxonomy resolved from options; PYP-FFA only where configured; no operational ID reuse</x:v>
      </x:c>
      <x:c r="F23" s="13" t="str">
        <x:v>Create Plan/Register and benefit stable identities.; Assign accountable owner and primary measures with known baseline/target.; Submit/review/complete and inspect readiness/history.</x:v>
      </x:c>
      <x:c r="G23" s="13" t="str">
        <x:v>Unknown baseline stays null and blocks where mandatory; strategy traceability; no Benefits Realization execution.</x:v>
      </x:c>
      <x:c r="H23" s="13" t="str">
        <x:v>Benefits completado y provider source_current comprobado tras el enlace inverso final del Business Case; no se acredita todo el caso compuesto automáticamente</x:v>
      </x:c>
      <x:c r="I23" s="13" t="str">
        <x:v>fresh-capital-owner-chain.json; tenant 4; Project 16; estado por etapa, no suma de fixtures</x:v>
      </x:c>
      <x:c r="J23" s="13" t="str">
        <x:v>BLOCKED</x:v>
      </x:c>
      <x:c r="K23" s="13" t="str"/>
      <x:c r="L23" s="6" t="str">
        <x:v>BLOCKED</x:v>
      </x:c>
      <x:c r="M23" s="6" t="str">
        <x:v>Not executed as this increment's end-to-end business case by scenario coverage auditor. Source/test definitions reviewed; prior release assertions are historical only.</x:v>
      </x:c>
      <x:c r="N23" s="6" t="str">
        <x:v>source_tests: backend/tests/test_strategic_benefits_gate07m_ben.py::test_lifecycle_stable_identity_sod_provider_and_terminal_immutability; backend/tests/test_strategic_benefits_gate07m_ben.py::test_unknown_baseline_is_null_and_blocks_submission_with_explicit_denominators; implementation: backend/app/modules/strategic_benefits/service.py; current_increment_execution: ; evidence_class: SOURCE_REVIEW_ONLY; historical execution must be linked separately</x:v>
      </x:c>
      <x:c r="O23" s="6" t="str">
        <x:v>2026-10-15</x:v>
      </x:c>
      <x:c r="P23" s="6" t="str">
        <x:v>fresh-capital-owner-chain.json; tenant 4; Project 16; estado por etapa, no suma de fixtures</x:v>
      </x:c>
    </x:row>
    <x:row r="24" ht="105" customHeight="1">
      <x:c r="A24" s="14" t="str">
        <x:v>A16</x:v>
      </x:c>
      <x:c r="B24" s="6" t="str">
        <x:v>Commercial &amp; Contracting Strategy</x:v>
      </x:c>
      <x:c r="C24" s="6" t="str">
        <x:v>Effective commercial framework and actual source context; Disposable isolated UAT database; protected Project ID14 baseline captured; actual scoped RBAC actors</x:v>
      </x:c>
      <x:c r="D24" s="6" t="str">
        <x:v>Commercial Reviewer; Investment / Project Manager</x:v>
      </x:c>
      <x:c r="E24" s="6" t="str">
        <x:v>UAT-CAPITAL-COPPER; CAPITAL_OWNER; governed taxonomy resolved from options; PYP-FFA only where configured; no operational ID reuse</x:v>
      </x:c>
      <x:c r="F24" s="6" t="str">
        <x:v>Create strategy version and fill governed delivery/packaging/commercial model/contracting/risk allocation.; Review readiness, source currentness and warnings.; Independently complete and inspect terminal immutability.</x:v>
      </x:c>
      <x:c r="G24" s="6" t="str">
        <x:v>Strategic commercial evidence only; no procurement, contract award or commitments execution.</x:v>
      </x:c>
      <x:c r="H24" s="6" t="str">
        <x:v>Commercial completado y provider source_current comprobado tras el Business Case final; no se infiere aprobación de inversión</x:v>
      </x:c>
      <x:c r="I24" s="6" t="str">
        <x:v>fresh-capital-owner-chain.json; tenant 4; Project 16; estado por etapa, no suma de fixtures</x:v>
      </x:c>
      <x:c r="J24" s="6" t="str">
        <x:v>BLOCKED</x:v>
      </x:c>
      <x:c r="K24" s="6" t="str"/>
      <x:c r="L24" s="6" t="str">
        <x:v>BLOCKED</x:v>
      </x:c>
      <x:c r="M24" s="6" t="str">
        <x:v>Not executed as this increment's end-to-end business case by scenario coverage auditor. Source/test definitions reviewed; prior release assertions are historical only.</x:v>
      </x:c>
      <x:c r="N24" s="6" t="str">
        <x:v>source_tests: backend/tests/test_commercial_strategy_gate07m_comm.py::test_lifecycle_etag_idempotency_sod_provider_and_terminal_immutability; backend/tests/test_commercial_strategy_gate07m_comm.py::test_tailoring_applies_only_to_matching_project_context_and_rejects_invalid_rules; implementation: backend/app/modules/commercial_strategy/service.py; current_increment_execution: ; evidence_class: SOURCE_REVIEW_ONLY; historical execution must be linked separately</x:v>
      </x:c>
      <x:c r="O24" s="6" t="str">
        <x:v>2026-10-15</x:v>
      </x:c>
      <x:c r="P24" s="6" t="str">
        <x:v>fresh-capital-owner-chain.json; tenant 4; Project 16; estado por etapa, no suma de fixtures</x:v>
      </x:c>
    </x:row>
    <x:row r="25" ht="105" customHeight="1">
      <x:c r="A25" s="15" t="str">
        <x:v>A17</x:v>
      </x:c>
      <x:c r="B25" s="13" t="str">
        <x:v>FEL and Definition Maturity / PDRI-compatible assessment</x:v>
      </x:c>
      <x:c r="C25" s="13" t="str">
        <x:v>Effective stage framework, canonical Project and stage entry readiness; Disposable isolated UAT database; protected Project ID14 baseline captured; actual scoped RBAC actors</x:v>
      </x:c>
      <x:c r="D25" s="13" t="str">
        <x:v>Technical Assurance / FEL Reviewer; Investment / Project Manager</x:v>
      </x:c>
      <x:c r="E25" s="13" t="str">
        <x:v>UAT-CAPITAL-COPPER; CAPITAL_OWNER; governed taxonomy resolved from options; PYP-FFA only where configured; no operational ID reuse</x:v>
      </x:c>
      <x:c r="F25" s="13" t="str">
        <x:v>Start FEL and complete stage-specific maturity assessment.; Submit review and independent stage completion without skipping.; Inspect blocking elements/actions and immutable history.</x:v>
      </x:c>
      <x:c r="G25" s="13" t="str">
        <x:v>FEL Stage is lifecycle context, not numeric maturity; score alone cannot hide mandatory gaps.</x:v>
      </x:c>
      <x:c r="H25" s="13" t="str">
        <x:v>Las etapas FEL 1, FEL 2 y FEL 3 recorrieron assessment y revisión independiente antes de las fuentes finales. El Business Case final completado consume la definición vigente; no equivale a aprobación FID</x:v>
      </x:c>
      <x:c r="I25" s="13" t="str">
        <x:v>fresh-capital-owner-chain.json; tenant 4; Project 16; estado por etapa, no suma de fixtures</x:v>
      </x:c>
      <x:c r="J25" s="13" t="str">
        <x:v>BLOCKED</x:v>
      </x:c>
      <x:c r="K25" s="13" t="str"/>
      <x:c r="L25" s="6" t="str">
        <x:v>BLOCKED</x:v>
      </x:c>
      <x:c r="M25" s="6" t="str">
        <x:v>Not executed as this increment's end-to-end business case by scenario coverage auditor. Source/test definitions reviewed; prior release assertions are historical only.</x:v>
      </x:c>
      <x:c r="N25" s="6" t="str">
        <x:v>source_tests: backend/tests/test_project_definition_gate07j_fel.py::test_custom_framework_happy_path_supplies_gate07j_evidence_without_fid; backend/tests/test_project_definition_gate07j_fel.py::test_governance_stage_skip_staleness_and_completed_immutability; implementation: backend/app/modules/project_definition/service.py; current_increment_execution: ; evidence_class: SOURCE_REVIEW_ONLY; historical execution must be linked separately</x:v>
      </x:c>
      <x:c r="O25" s="6" t="str">
        <x:v>2026-10-15</x:v>
      </x:c>
      <x:c r="P25" s="6" t="str">
        <x:v>fresh-capital-owner-chain.json; tenant 4; Project 16; estado por etapa, no suma de fixtures</x:v>
      </x:c>
    </x:row>
    <x:row r="26" ht="105" customHeight="1">
      <x:c r="A26" s="14" t="str">
        <x:v>A18</x:v>
      </x:c>
      <x:c r="B26" s="6" t="str">
        <x:v>Basic Data Readiness</x:v>
      </x:c>
      <x:c r="C26" s="6" t="str">
        <x:v>Stage-aware effective Basic Data policy and requirements; Disposable isolated UAT database; protected Project ID14 baseline captured; actual scoped RBAC actors</x:v>
      </x:c>
      <x:c r="D26" s="6" t="str">
        <x:v>Technical Assurance / FEL Reviewer; Project Controls</x:v>
      </x:c>
      <x:c r="E26" s="6" t="str">
        <x:v>UAT-CAPITAL-COPPER; CAPITAL_OWNER; governed taxonomy resolved from options; PYP-FFA only where configured; no operational ID reuse</x:v>
      </x:c>
      <x:c r="F26" s="6" t="str">
        <x:v>Populate data items with availability/quality/confidence/source refs.; Independently validate items and complete readiness assessment.; Inspect exact denominator and critical missing/expired data blockers.</x:v>
      </x:c>
      <x:c r="G26" s="6" t="str">
        <x:v>Basic Data is independent of FEL/PDRI; 90% cannot hide critical geotechnical missing data.</x:v>
      </x:c>
      <x:c r="H26" s="6" t="str">
        <x:v>Basic Data completó su lifecycle con validación y revisión independientes; el caso formal completo no se infiere solo de su provider</x:v>
      </x:c>
      <x:c r="I26" s="6" t="str">
        <x:v>fresh-capital-owner-chain.json; tenant 4; Project 16; estado por etapa, no suma de fixtures</x:v>
      </x:c>
      <x:c r="J26" s="6" t="str">
        <x:v>BLOCKED</x:v>
      </x:c>
      <x:c r="K26" s="6" t="str"/>
      <x:c r="L26" s="6" t="str">
        <x:v>BLOCKED</x:v>
      </x:c>
      <x:c r="M26" s="6" t="str">
        <x:v>Not executed as this increment's end-to-end business case by scenario coverage auditor. Source/test definitions reviewed; prior release assertions are historical only.</x:v>
      </x:c>
      <x:c r="N26" s="6" t="str">
        <x:v>source_tests: backend/tests/test_basic_data_wave2b.py::test_basic_data_mining_happy_path_exact_denominator_provider_and_authority_independence; backend/tests/test_basic_data_wave2b.py::test_basic_data_90_percent_cannot_hide_critical_missing_geotechnical; implementation: backend/app/modules/basic_data/service.py; current_increment_execution: ; evidence_class: SOURCE_REVIEW_ONLY; historical execution must be linked separately</x:v>
      </x:c>
      <x:c r="O26" s="6" t="str">
        <x:v>2026-10-15</x:v>
      </x:c>
      <x:c r="P26" s="6" t="str">
        <x:v>fresh-capital-owner-chain.json; tenant 4; Project 16; estado por etapa, no suma de fixtures</x:v>
      </x:c>
    </x:row>
    <x:row r="27" ht="105" customHeight="1">
      <x:c r="A27" s="15" t="str">
        <x:v>A19</x:v>
      </x:c>
      <x:c r="B27" s="13" t="str">
        <x:v>Risk Governance effective context</x:v>
      </x:c>
      <x:c r="C27" s="13" t="str">
        <x:v>Published scoped risk capacity/appetite/threshold policy with dates; Disposable isolated UAT database; protected Project ID14 baseline captured; actual scoped RBAC actors</x:v>
      </x:c>
      <x:c r="D27" s="13" t="str">
        <x:v>Risk Reviewer; Risk Configuration Administrator</x:v>
      </x:c>
      <x:c r="E27" s="13" t="str">
        <x:v>UAT-CAPITAL-COPPER; CAPITAL_OWNER; governed taxonomy resolved from options; PYP-FFA only where configured; no operational ID reuse</x:v>
      </x:c>
      <x:c r="F27" s="13" t="str">
        <x:v>Resolve inherited effective policy for actual Project context.; Evaluate configured thresholds against governed inputs.; Review read-only USER context and historical policy revision.</x:v>
      </x:c>
      <x:c r="G27" s="13" t="str">
        <x:v>Declarative capacity/appetite/threshold context, not automatic investment decision; project_type ≠ governance_model.</x:v>
      </x:c>
      <x:c r="H27" s="13" t="str">
        <x:v>BLOCKED NOT EXECUTED como caso UAT completo en esta revisión</x:v>
      </x:c>
      <x:c r="I27" s="13" t="str">
        <x:v>Sin acreditación completa de todos los controles del caso</x:v>
      </x:c>
      <x:c r="J27" s="13" t="str">
        <x:v>BLOCKED</x:v>
      </x:c>
      <x:c r="K27" s="13" t="str"/>
      <x:c r="L27" s="6" t="str">
        <x:v>BLOCKED</x:v>
      </x:c>
      <x:c r="M27" s="6" t="str">
        <x:v>Not executed as this increment's end-to-end business case by scenario coverage auditor. Source/test definitions reviewed; prior release assertions are historical only.</x:v>
      </x:c>
      <x:c r="N27" s="6" t="str">
        <x:v>source_tests: backend/tests/test_risk_governance_wave2b.py::test_wave2b_risk_inheritance_effective_dates_context_overrides_and_history; backend/tests/test_risk_governance_wave2b.py::test_wave2b_risk_canonical_project_classifiers_do_not_equate_mining_with_capital_owner; implementation: backend/app/modules/risk_governance/service.py; current_increment_execution: ; evidence_class: SOURCE_REVIEW_ONLY; historical execution must be linked separately</x:v>
      </x:c>
      <x:c r="O27" s="6" t="str">
        <x:v>2026-10-15</x:v>
      </x:c>
      <x:c r="P27" s="6" t="str">
        <x:v>Sin acreditación completa de todos los controles del caso</x:v>
      </x:c>
    </x:row>
    <x:row r="28" ht="105" customHeight="1">
      <x:c r="A28" s="14" t="str">
        <x:v>A20</x:v>
      </x:c>
      <x:c r="B28" s="6" t="str">
        <x:v>Risk Readiness</x:v>
      </x:c>
      <x:c r="C28" s="6" t="str">
        <x:v>Risk policy and scoped Project risks; Disposable isolated UAT database; protected Project ID14 baseline captured; actual scoped RBAC actors</x:v>
      </x:c>
      <x:c r="D28" s="6" t="str">
        <x:v>Risk Reviewer; Risk Owner; independent Risk Acceptance Authority</x:v>
      </x:c>
      <x:c r="E28" s="6" t="str">
        <x:v>UAT-CAPITAL-COPPER; CAPITAL_OWNER; governed taxonomy resolved from options; PYP-FFA only where configured; no operational ID reuse</x:v>
      </x:c>
      <x:c r="F28" s="6" t="str">
        <x:v>Record inherent/residual exposure and owners/treatments.; Independently accept high residual risk where required.; Complete assessment and verify per-project/set exact coverage.</x:v>
      </x:c>
      <x:c r="G28" s="6" t="str">
        <x:v>Current completed governed readiness; owner cannot accept own high residual; expiry/change stales current provider without rewriting history.</x:v>
      </x:c>
      <x:c r="H28" s="6" t="str">
        <x:v>Risk Assessment completado en la misma cadena por actores reales. No sustituye la auditoría completa de Risk Governance ni una cuantificación QRA</x:v>
      </x:c>
      <x:c r="I28" s="6" t="str">
        <x:v>fresh-capital-owner-chain.json; tenant 4; Project 16; estado por etapa, no suma de fixtures</x:v>
      </x:c>
      <x:c r="J28" s="6" t="str">
        <x:v>BLOCKED</x:v>
      </x:c>
      <x:c r="K28" s="6" t="str"/>
      <x:c r="L28" s="6" t="str">
        <x:v>BLOCKED</x:v>
      </x:c>
      <x:c r="M28" s="6" t="str">
        <x:v>Not executed as this increment's end-to-end business case by scenario coverage auditor. Source/test definitions reviewed; prior release assertions are historical only.</x:v>
      </x:c>
      <x:c r="N28" s="6" t="str">
        <x:v>source_tests: backend/tests/test_risk_readiness_gate07j_risk.py::test_project_and_project_set_happy_path_supply_current_governed_evidence; backend/tests/test_risk_readiness_gate07j_risk.py::test_owner_cannot_accept_own_high_residual_and_etag_is_enforced; implementation: backend/app/modules/risk_readiness/service.py; current_increment_execution: ; evidence_class: SOURCE_REVIEW_ONLY; historical execution must be linked separately</x:v>
      </x:c>
      <x:c r="O28" s="6" t="str">
        <x:v>2026-10-15</x:v>
      </x:c>
      <x:c r="P28" s="6" t="str">
        <x:v>fresh-capital-owner-chain.json; tenant 4; Project 16; estado por etapa, no suma de fixtures</x:v>
      </x:c>
    </x:row>
    <x:row r="29" ht="105" customHeight="1">
      <x:c r="A29" s="15" t="str">
        <x:v>A21</x:v>
      </x:c>
      <x:c r="B29" s="13" t="str">
        <x:v>Permit Readiness</x:v>
      </x:c>
      <x:c r="C29" s="13" t="str">
        <x:v>Contextual permit requirements/catalog and actual applicable Project permits; Disposable isolated UAT database; protected Project ID14 baseline captured; actual scoped RBAC actors</x:v>
      </x:c>
      <x:c r="D29" s="13" t="str">
        <x:v>Investment / Project Manager; Permit Reviewer</x:v>
      </x:c>
      <x:c r="E29" s="13" t="str">
        <x:v>UAT-CAPITAL-COPPER; CAPITAL_OWNER; governed taxonomy resolved from options; PYP-FFA only where configured; no operational ID reuse</x:v>
      </x:c>
      <x:c r="F29" s="13" t="str">
        <x:v>Assign requirements/applicability and permit records.; Record issued status, dates and blocking/nonblocking conditions.; Complete current Project/set assessment; inspect exact contextual Class A coverage.</x:v>
      </x:c>
      <x:c r="G29" s="13" t="str">
        <x:v>Missing/submitted/rejected/suspended/expired permits block required FFA; no fabricated coverage.</x:v>
      </x:c>
      <x:c r="H29" s="13" t="str">
        <x:v>Permit completó su lifecycle y assessment mediante comandos normales y política efectiva; no se escribió un provider terminal prefabricado</x:v>
      </x:c>
      <x:c r="I29" s="13" t="str">
        <x:v>fresh-capital-owner-chain.json; tenant 4; Project 16; estado por etapa, no suma de fixtures</x:v>
      </x:c>
      <x:c r="J29" s="13" t="str">
        <x:v>BLOCKED</x:v>
      </x:c>
      <x:c r="K29" s="13" t="str"/>
      <x:c r="L29" s="6" t="str">
        <x:v>BLOCKED</x:v>
      </x:c>
      <x:c r="M29" s="6" t="str">
        <x:v>Not executed as this increment's end-to-end business case by scenario coverage auditor. Source/test definitions reviewed; prior release assertions are historical only.</x:v>
      </x:c>
      <x:c r="N29" s="6" t="str">
        <x:v>source_tests: backend/tests/test_permit_readiness_gate07j_permit.py::test_happy_path_project_and_project_set_supply_current_evidence; backend/tests/test_permit_readiness_gate07j_permit.py::test_project_set_denominator_only_counts_contextual_class_a_projects; implementation: backend/app/modules/permit_readiness/service.py; current_increment_execution: ; evidence_class: SOURCE_REVIEW_ONLY; historical execution must be linked separately</x:v>
      </x:c>
      <x:c r="O29" s="6" t="str">
        <x:v>2026-10-15</x:v>
      </x:c>
      <x:c r="P29" s="6" t="str">
        <x:v>fresh-capital-owner-chain.json; tenant 4; Project 16; estado por etapa, no suma de fixtures</x:v>
      </x:c>
    </x:row>
    <x:row r="30" ht="92" customHeight="1">
      <x:c r="A30" s="14" t="str">
        <x:v>A22</x:v>
      </x:c>
      <x:c r="B30" s="6" t="str">
        <x:v>Owner Capability Readiness</x:v>
      </x:c>
      <x:c r="C30" s="6" t="str">
        <x:v>Effective owner framework, actual sponsor/accountability and evidence; Disposable isolated UAT database; protected Project ID14 baseline captured; actual scoped RBAC actors</x:v>
      </x:c>
      <x:c r="D30" s="6" t="str">
        <x:v>Project Sponsor; Investment / Project Manager; independent Owner Capability Reviewer</x:v>
      </x:c>
      <x:c r="E30" s="6" t="str">
        <x:v>UAT-CAPITAL-COPPER; CAPITAL_OWNER; governed taxonomy resolved from options; PYP-FFA only where configured; no operational ID reuse</x:v>
      </x:c>
      <x:c r="F30" s="6" t="str">
        <x:v>Rate configured maturity separately from quality and confidence.; Record internal/external/hybrid sourcing, gaps and mitigations.; Independent review/completion; inspect exact blockers, staleness and history.</x:v>
      </x:c>
      <x:c r="G30" s="6" t="str">
        <x:v>Owner capability is not resource planning/contractor capability/operational readiness; critical gaps remain blockers even after accepted mitigation.</x:v>
      </x:c>
      <x:c r="H30" s="6" t="str">
        <x:v>Owner Capability completó preparación, revisión y completion reales; el caso formal y sus negativos permanecen sin acreditación integral</x:v>
      </x:c>
      <x:c r="I30" s="6" t="str">
        <x:v>fresh-capital-owner-chain.json; tenant 4; Project 16; estado por etapa, no suma de fixtures</x:v>
      </x:c>
      <x:c r="J30" s="6" t="str">
        <x:v>BLOCKED</x:v>
      </x:c>
      <x:c r="K30" s="6" t="str"/>
      <x:c r="L30" s="6" t="str">
        <x:v>BLOCKED</x:v>
      </x:c>
      <x:c r="M30" s="6" t="str">
        <x:v>Not executed as this increment's end-to-end business case by scenario coverage auditor. Source/test definitions reviewed; prior release assertions are historical only.</x:v>
      </x:c>
      <x:c r="N30" s="6" t="str">
        <x:v>source_tests: backend/tests/test_owner_capability_wave3b.py::test_happy_path_immutable_provider_and_history; backend/tests/test_owner_capability_wave3b.py::test_critical_gap_remains_blocker_even_with_accepted_mitigation; implementation: backend/app/modules/owner_capability/service.py; current_increment_execution: ; evidence_class: SOURCE_REVIEW_ONLY; historical execution must be linked separately</x:v>
      </x:c>
      <x:c r="O30" s="6" t="str">
        <x:v>2026-10-15</x:v>
      </x:c>
      <x:c r="P30" s="6" t="str">
        <x:v>fresh-capital-owner-chain.json; tenant 4; Project 16; estado por etapa, no suma de fixtures</x:v>
      </x:c>
    </x:row>
    <x:row r="31" ht="105" customHeight="1">
      <x:c r="A31" s="15" t="str">
        <x:v>A23</x:v>
      </x:c>
      <x:c r="B31" s="13" t="str">
        <x:v>Funding</x:v>
      </x:c>
      <x:c r="C31" s="13" t="str">
        <x:v>Published funding policy, approved funds and relevant Project/portfolio monetary requirements; Disposable isolated UAT database; protected Project ID14 baseline captured; actual scoped RBAC actors</x:v>
      </x:c>
      <x:c r="D31" s="13" t="str">
        <x:v>Cost / Finance Reviewer; Funding Planner; independent Funding Approver</x:v>
      </x:c>
      <x:c r="E31" s="13" t="str">
        <x:v>UAT-CAPITAL-COPPER; CAPITAL_OWNER; governed taxonomy resolved from options; PYP-FFA only where configured; no operational ID reuse</x:v>
      </x:c>
      <x:c r="F31" s="13" t="str">
        <x:v>Create and govern Funding Source→Fund→Funding Assignment.; Independently confirm assignments and refresh readiness.; Inspect current coverage/currency/restrictions and immutable history.</x:v>
      </x:c>
      <x:c r="G31" s="13" t="str">
        <x:v>Funding ≠ Budget; no double-counting parent-child assignments, no accounting/treasury mutation.</x:v>
      </x:c>
      <x:c r="H31" s="13" t="str">
        <x:v>Funds y asignaciones recorrieron autorización y confirmación con actores independientes; no equivalen a FID ni a ejecución del Project</x:v>
      </x:c>
      <x:c r="I31" s="13" t="str">
        <x:v>fresh-capital-owner-chain.json; tenant 4; Project 16; estado por etapa, no suma de fixtures</x:v>
      </x:c>
      <x:c r="J31" s="13" t="str">
        <x:v>BLOCKED</x:v>
      </x:c>
      <x:c r="K31" s="13" t="str"/>
      <x:c r="L31" s="6" t="str">
        <x:v>BLOCKED</x:v>
      </x:c>
      <x:c r="M31" s="6" t="str">
        <x:v>Not executed as this increment's end-to-end business case by scenario coverage auditor. Source/test definitions reviewed; prior release assertions are historical only.</x:v>
      </x:c>
      <x:c r="N31" s="6" t="str">
        <x:v>source_tests: backend/tests/test_funds_manager_gate07j_fund.py::test_confirmed_coverage_supplies_governed_gate07j_evidence_and_stales_explicitly; backend/tests/test_funds_manager_gate07j_fund.py::test_four_eyes_etag_and_idempotency_controls_are_enforced; implementation: backend/app/modules/funds_manager/service.py; current_increment_execution: ; evidence_class: SOURCE_REVIEW_ONLY; historical execution must be linked separately</x:v>
      </x:c>
      <x:c r="O31" s="6" t="str">
        <x:v>2026-10-15</x:v>
      </x:c>
      <x:c r="P31" s="6" t="str">
        <x:v>fresh-capital-owner-chain.json; tenant 4; Project 16; estado por etapa, no suma de fixtures</x:v>
      </x:c>
    </x:row>
    <x:row r="32" ht="105" customHeight="1">
      <x:c r="A32" s="14" t="str">
        <x:v>A24</x:v>
      </x:c>
      <x:c r="B32" s="6" t="str">
        <x:v>Economic / Financial Model</x:v>
      </x:c>
      <x:c r="C32" s="6" t="str">
        <x:v>Actual BC/Project baseline, funding evidence and published FIN configuration; Disposable isolated UAT database; protected Project ID14 baseline captured; actual scoped RBAC actors</x:v>
      </x:c>
      <x:c r="D32" s="6" t="str">
        <x:v>Cost / Finance Reviewer; independent FIN Reviewer</x:v>
      </x:c>
      <x:c r="E32" s="6" t="str">
        <x:v>UAT-CAPITAL-COPPER; CAPITAL_OWNER; governed taxonomy resolved from options; PYP-FFA only where configured; no operational ID reuse</x:v>
      </x:c>
      <x:c r="F32" s="6" t="str">
        <x:v>Create deterministic commercial/economic model; populate cashflow, WACC and capital instruments.; Calculate and reconcile funding, debt and returns.; Submit/independently complete, bridge BC exact FIN id/version/hash, inspect source lineage.</x:v>
      </x:c>
      <x:c r="G32" s="6" t="str">
        <x:v>NPV/IRR/BCR/Payback/WACC/capital structure/DSCR/LLCR/MOIC controlled; no Treasury/Accounting write-back.</x:v>
      </x:c>
      <x:c r="H32" s="6" t="str">
        <x:v>Modelo económico financiero y versión completados con fuentes reales. Sus resultados no sustituyen Five Case final, Gate ni decisión de inversión</x:v>
      </x:c>
      <x:c r="I32" s="6" t="str">
        <x:v>fresh-capital-owner-chain.json; tenant 4; Project 16; estado por etapa, no suma de fixtures</x:v>
      </x:c>
      <x:c r="J32" s="6" t="str">
        <x:v>BLOCKED</x:v>
      </x:c>
      <x:c r="K32" s="6" t="str"/>
      <x:c r="L32" s="6" t="str">
        <x:v>BLOCKED</x:v>
      </x:c>
      <x:c r="M32" s="6" t="str">
        <x:v>Not executed as this increment's end-to-end business case by scenario coverage auditor. Source/test definitions reviewed; prior release assertions are historical only.</x:v>
      </x:c>
      <x:c r="N32" s="6" t="str">
        <x:v>source_tests: backend/tests/test_economic_financial_model_gate07m_fin.py::test_commercial_model_lifecycle_readiness_provider_and_immutability; backend/tests/test_gate07m_fid_e2e.py::test_new_pyp_ffa_fid_path_full_stack_revalidation; implementation: backend/app/modules/economic_financial_model/service.py; current_increment_execution: ; evidence_class: SOURCE_REVIEW_ONLY; historical execution must be linked separately</x:v>
      </x:c>
      <x:c r="O32" s="6" t="str">
        <x:v>2026-10-15</x:v>
      </x:c>
      <x:c r="P32" s="6" t="str">
        <x:v>fresh-capital-owner-chain.json; tenant 4; Project 16; estado por etapa, no suma de fixtures</x:v>
      </x:c>
    </x:row>
    <x:row r="33" ht="92" customHeight="1">
      <x:c r="A33" s="15" t="str">
        <x:v>A25</x:v>
      </x:c>
      <x:c r="B33" s="13" t="str">
        <x:v>QRA Foundation</x:v>
      </x:c>
      <x:c r="C33" s="13" t="str">
        <x:v>Effective methodology and actual governed Cost/Schedule sources; released engine capability; Disposable isolated UAT database; protected Project ID14 baseline captured; actual scoped RBAC actors</x:v>
      </x:c>
      <x:c r="D33" s="13" t="str">
        <x:v>QRA Analyst; independent QRA Model Reviewer</x:v>
      </x:c>
      <x:c r="E33" s="13" t="str">
        <x:v>UAT-CAPITAL-COPPER; CAPITAL_OWNER; governed taxonomy resolved from options; PYP-FFA only where configured; no operational ID reuse</x:v>
      </x:c>
      <x:c r="F33" s="13" t="str">
        <x:v>Create/validate source snapshots and input populations.; Configure distributions/ranges/correlations/model definition with exact denominator.; Submit/independently approve model for analysis and inspect staleness.</x:v>
      </x:c>
      <x:c r="G33" s="13" t="str">
        <x:v>APPROVED_FOR_ANALYSIS requires complete current source/methodology and SoD; Foundation does not simulate.</x:v>
      </x:c>
      <x:c r="H33" s="13" t="str">
        <x:v>Preview de política efectiva capturado. La exigencia contextual QRA debe leerse de ese resultado; no se infiere una corrida ni se fabrica evidencia cuando no corresponde</x:v>
      </x:c>
      <x:c r="I33" s="13" t="str">
        <x:v>fresh-capital-owner-chain.json; tenant 4; Project 16; estado por etapa, no suma de fixtures</x:v>
      </x:c>
      <x:c r="J33" s="13" t="str">
        <x:v>BLOCKED</x:v>
      </x:c>
      <x:c r="K33" s="13" t="str"/>
      <x:c r="L33" s="6" t="str">
        <x:v>BLOCKED</x:v>
      </x:c>
      <x:c r="M33" s="6" t="str">
        <x:v>Not executed as this increment's end-to-end business case by scenario coverage auditor. Source/test definitions reviewed; prior release assertions are historical only.</x:v>
      </x:c>
      <x:c r="N33" s="6" t="str">
        <x:v>source_tests: backend/tests/test_qra_foundation.py::test_cost_schedule_model_happy_path_hash_and_zero_simulation; backend/tests/test_qra_foundation.py::test_model_preparer_and_methodology_author_sod; implementation: backend/app/modules/qra_foundation/service.py; current_increment_execution: ; evidence_class: SOURCE_REVIEW_ONLY; historical execution must be linked separately</x:v>
      </x:c>
      <x:c r="O33" s="6" t="str">
        <x:v>2026-10-15</x:v>
      </x:c>
      <x:c r="P33" s="6" t="str">
        <x:v>fresh-capital-owner-chain.json; tenant 4; Project 16; estado por etapa, no suma de fixtures</x:v>
      </x:c>
    </x:row>
    <x:row r="34" ht="92" customHeight="1">
      <x:c r="A34" s="14" t="str">
        <x:v>A26</x:v>
      </x:c>
      <x:c r="B34" s="6" t="str">
        <x:v>Contextual QRA Results</x:v>
      </x:c>
      <x:c r="C34" s="6" t="str">
        <x:v>Applicable policy and current APPROVED_FOR_ANALYSIS supported model; QRA not universal; Disposable isolated UAT database; protected Project ID14 baseline captured; actual scoped RBAC actors</x:v>
      </x:c>
      <x:c r="D34" s="6" t="str">
        <x:v>QRA Analyst; independent QRA Result Reviewer</x:v>
      </x:c>
      <x:c r="E34" s="6" t="str">
        <x:v>UAT-CAPITAL-COPPER; CAPITAL_OWNER; governed taxonomy resolved from options; PYP-FFA only where configured; no operational ID reuse</x:v>
      </x:c>
      <x:c r="F34" s="6" t="str">
        <x:v>Create/execute supported Cost or elapsed Schedule run.; Independent review then ACCEPTED; inspect percentiles/probability/convergence/warnings/provenance.; Resolve contextual provider and verify acceptance/currentness/type/scope/capability.</x:v>
      </x:c>
      <x:c r="G34" s="6" t="str">
        <x:v>QRA_RESULT_PROVIDER availability is not universal requirement; no Integrated QRA; no auto FID/contingency/Budget/schedule mutation.</x:v>
      </x:c>
      <x:c r="H34" s="6" t="str">
        <x:v>Preview de política efectiva capturado. La exigencia contextual QRA debe leerse de ese resultado; no se infiere una corrida ni se fabrica evidencia cuando no corresponde</x:v>
      </x:c>
      <x:c r="I34" s="6" t="str">
        <x:v>fresh-capital-owner-chain.json; tenant 4; Project 16; estado por etapa, no suma de fixtures</x:v>
      </x:c>
      <x:c r="J34" s="6" t="str">
        <x:v>BLOCKED</x:v>
      </x:c>
      <x:c r="K34" s="6" t="str"/>
      <x:c r="L34" s="6" t="str">
        <x:v>BLOCKED</x:v>
      </x:c>
      <x:c r="M34" s="6" t="str">
        <x:v>Not executed as this increment's end-to-end business case by scenario coverage auditor. Source/test definitions reviewed; prior release assertions are historical only.</x:v>
      </x:c>
      <x:c r="N34" s="6" t="str">
        <x:v>source_tests: backend/tests/test_qra_engine.py::test_completed_run_immutable_separate_review_acceptance_provider; backend/tests/test_qra_evidence_stack.py::test_actual_cost_schedule_policy_bc_gate_and_fid_path; implementation: backend/app/modules/qra_engine/service.py; current_increment_execution: ; evidence_class: SOURCE_REVIEW_ONLY; historical execution must be linked separately</x:v>
      </x:c>
      <x:c r="O34" s="6" t="str">
        <x:v>2026-10-15</x:v>
      </x:c>
      <x:c r="P34" s="6" t="str">
        <x:v>fresh-capital-owner-chain.json; tenant 4; Project 16; estado por etapa, no suma de fixtures</x:v>
      </x:c>
    </x:row>
    <x:row r="35" ht="92" customHeight="1">
      <x:c r="A35" s="15" t="str">
        <x:v>A27</x:v>
      </x:c>
      <x:c r="B35" s="13" t="str">
        <x:v>Gate Preparation / Evidence / Decision Criteria</x:v>
      </x:c>
      <x:c r="C35" s="13" t="str">
        <x:v>Recommended convergence; applicable published Gate Profile/evidence policy/criteria and actual governed providers; Disposable isolated UAT database; protected Project ID14 baseline captured; actual scoped RBAC actors</x:v>
      </x:c>
      <x:c r="D35" s="13" t="str">
        <x:v>Gate Preparer; independent Evidence Reviewer</x:v>
      </x:c>
      <x:c r="E35" s="13" t="str">
        <x:v>UAT-CAPITAL-COPPER; CAPITAL_OWNER; governed taxonomy resolved from options; PYP-FFA only where configured; no operational ID reuse</x:v>
      </x:c>
      <x:c r="F35" s="13" t="str">
        <x:v>Create preparation for exact portfolio/project set.; Inspect effective Class A/B/C matrix, providers and exact per-project coverage.; Evaluate mandatory criteria, exceptions/warnings and readiness without deciding.</x:v>
      </x:c>
      <x:c r="G35" s="13" t="str">
        <x:v>Gate07J is preparation authority only; manual fallback prohibited on Class A; Gate07K sole decision authority.</x:v>
      </x:c>
      <x:c r="H35" s="13" t="str">
        <x:v>BLOCKED_UAT_DATABASE_NOT_AVAILABLE. No se revalidó Gate07J ni se presentaron o validaron referencias Class B. La base UAT tmpfs está detenida y no dispone de PG_VERSION ni backup coincidente</x:v>
      </x:c>
      <x:c r="I35" s="13" t="str">
        <x:v>preflight.json. BLOCKED_UAT_DATABASE_NOT_AVAILABLE. Tenant 4 / Project 16 no verificables en vivo. Pruebas y navegador NOT_RUN. Los JSON previos son historia, no sustituyen PostgreSQL</x:v>
      </x:c>
      <x:c r="J35" s="13" t="str">
        <x:v>BLOCKED</x:v>
      </x:c>
      <x:c r="K35" s="13" t="str"/>
      <x:c r="L35" s="6" t="str">
        <x:v>BLOCKED</x:v>
      </x:c>
      <x:c r="M35" s="6" t="str">
        <x:v>Not executed as this increment's end-to-end business case by scenario coverage auditor. Source/test definitions reviewed; prior release assertions are historical only.</x:v>
      </x:c>
      <x:c r="N35" s="6" t="str">
        <x:v>source_tests: backend/tests/test_investment_gate_preparation_gate07j.py::test_happy_path_freezes_decision_ready_package_without_fid_authority; backend/tests/test_gate07j_evid2_decision_criteria.py; implementation: backend/app/modules/investment_gate_preparation/service.py; current_increment_execution: ; evidence_class: SOURCE_REVIEW_ONLY; historical execution must be linked separately</x:v>
      </x:c>
      <x:c r="O35" s="6" t="str">
        <x:v>2026-10-15</x:v>
      </x:c>
      <x:c r="P35" s="6" t="str">
        <x:v>fresh-capital-owner-chain.json; tenant 4; Project 16; estado por etapa, no suma de fixtures</x:v>
      </x:c>
      <x:c r="Q35" s="6" t="str">
        <x:v>BLOCKED</x:v>
      </x:c>
      <x:c r="R35" s="6" t="str">
        <x:v>Gate creado como DRAFT con fuentes actuales. La política exige cuatro referencias Class B todavía sin presentación y validación independiente; readiness BLOCKED. No es defecto por provider STALE</x:v>
      </x:c>
      <x:c r="S35" s="6" t="str">
        <x:v>fresh-capital-owner-chain.json; tenant 4; Project 16; estado por etapa, no suma de fixtures</x:v>
      </x:c>
      <x:c r="T35" s="29" t="d">
        <x:v>2026-10-15T22:56:32.584Z</x:v>
      </x:c>
      <x:c r="U35" s="6" t="str">
        <x:v>preflight.json. BLOCKED_UAT_DATABASE_NOT_AVAILABLE. Tenant 4 / Project 16 no verificables en vivo. Pruebas y navegador NOT_RUN. Los JSON previos son historia, no sustituyen PostgreSQL</x:v>
      </x:c>
    </x:row>
    <x:row r="36" ht="105" customHeight="1">
      <x:c r="A36" s="14" t="str">
        <x:v>A28</x:v>
      </x:c>
      <x:c r="B36" s="6" t="str">
        <x:v>Business Case ↔ Gate source consistency</x:v>
      </x:c>
      <x:c r="C36" s="6" t="str">
        <x:v>Policy configured cross-source consistency and actual completed BC/native providers; Disposable isolated UAT database; protected Project ID14 baseline captured; actual scoped RBAC actors</x:v>
      </x:c>
      <x:c r="D36" s="6" t="str">
        <x:v>Gate Preparer; Cost / Finance Reviewer</x:v>
      </x:c>
      <x:c r="E36" s="6" t="str">
        <x:v>UAT-CAPITAL-COPPER; CAPITAL_OWNER; governed taxonomy resolved from options; PYP-FFA only where configured; no operational ID reuse</x:v>
      </x:c>
      <x:c r="F36" s="6" t="str">
        <x:v>Compare native Project/scoped source references and hashes with BC snapshot.; Inspect mismatch/duplicate source handling.; Refresh new revisions without rewriting completed BC/frozen package.</x:v>
      </x:c>
      <x:c r="G36" s="6" t="str">
        <x:v>Exact source authority and hash consistency, not readiness-wrapper identity; mismatch fails closed where mandatory.</x:v>
      </x:c>
      <x:c r="H36" s="6" t="str">
        <x:v>BLOCKED_UAT_DATABASE_NOT_AVAILABLE. La consistencia Business Case / Gate y su currentness no se pudieron verificar en vivo. El resultado anterior se conserva como histórico</x:v>
      </x:c>
      <x:c r="I36" s="6" t="str">
        <x:v>preflight.json. BLOCKED_UAT_DATABASE_NOT_AVAILABLE. Tenant 4 / Project 16 no verificables en vivo. Pruebas y navegador NOT_RUN. Los JSON previos son historia, no sustituyen PostgreSQL</x:v>
      </x:c>
      <x:c r="J36" s="6" t="str">
        <x:v>BLOCKED</x:v>
      </x:c>
      <x:c r="K36" s="6" t="str"/>
      <x:c r="L36" s="6" t="str">
        <x:v>BLOCKED</x:v>
      </x:c>
      <x:c r="M36" s="6" t="str">
        <x:v>Not executed as this increment's end-to-end business case by scenario coverage auditor. Source/test definitions reviewed; prior release assertions are historical only.</x:v>
      </x:c>
      <x:c r="N36" s="6" t="str">
        <x:v>source_tests: backend/tests/test_qra_evidence_policy.py::test_business_case_qra_strict_consistency_reuses_cross_source_mismatch; backend/tests/test_qra_evidence_policy.py::test_bc_consistency_compares_trusted_native_project_source_not_readiness_wrapper; implementation: backend/app/modules/investment_evidence_policy/service.py; current_increment_execution: ; evidence_class: SOURCE_REVIEW_ONLY; historical execution must be linked separately</x:v>
      </x:c>
      <x:c r="O36" s="6" t="str">
        <x:v>2026-10-15</x:v>
      </x:c>
      <x:c r="P36" s="6" t="str">
        <x:v>fresh-capital-owner-chain.json; tenant 4; Project 16; estado por etapa, no suma de fixtures</x:v>
      </x:c>
      <x:c r="Q36" s="6" t="str">
        <x:v>BLOCKED</x:v>
      </x:c>
      <x:c r="R36" s="6" t="str">
        <x:v>Business Case, FIN, Benefits y Commercial actuales antes del Gate; falta la cobertura de evidencias controladas y la auditoría completa de compatibilidad y negativos</x:v>
      </x:c>
      <x:c r="S36" s="6" t="str">
        <x:v>fresh-capital-owner-chain.json; tenant 4; Project 16; estado por etapa, no suma de fixtures</x:v>
      </x:c>
      <x:c r="T36" s="29" t="d">
        <x:v>2026-10-15T22:56:32.584Z</x:v>
      </x:c>
      <x:c r="U36" s="6" t="str">
        <x:v>preflight.json. BLOCKED_UAT_DATABASE_NOT_AVAILABLE. Tenant 4 / Project 16 no verificables en vivo. Pruebas y navegador NOT_RUN. Los JSON previos son historia, no sustituyen PostgreSQL</x:v>
      </x:c>
    </x:row>
    <x:row r="37" ht="105" customHeight="1">
      <x:c r="A37" s="15" t="str">
        <x:v>A29</x:v>
      </x:c>
      <x:c r="B37" s="13" t="str">
        <x:v>Freeze Gate package</x:v>
      </x:c>
      <x:c r="C37" s="13" t="str">
        <x:v>READY current preparation, required criteria satisfied and valid scoped Class A/B evidence; Disposable isolated UAT database; protected Project ID14 baseline captured; actual scoped RBAC actors</x:v>
      </x:c>
      <x:c r="D37" s="13" t="str">
        <x:v>Gate Preparer; independent Evidence Reviewer</x:v>
      </x:c>
      <x:c r="E37" s="13" t="str">
        <x:v>UAT-CAPITAL-COPPER; CAPITAL_OWNER; governed taxonomy resolved from options; PYP-FFA only where configured; no operational ID reuse</x:v>
      </x:c>
      <x:c r="F37" s="13" t="str">
        <x:v>Author marks ready for review.; Independent reviewer freezes package.; Record profile/policy/provider/source hashes, warnings, scope and immutable handoff.</x:v>
      </x:c>
      <x:c r="G37" s="13" t="str">
        <x:v>FROZEN governed snapshot immutable; later source change affects new/live readiness only; no QRA sampling in Gate.</x:v>
      </x:c>
      <x:c r="H37" s="13" t="str">
        <x:v>BLOCKED_UAT_DATABASE_NOT_AVAILABLE. Freeze no ejecutado. No se reconstruyó la cadena ni se reutilizaron snapshots como estados terminales</x:v>
      </x:c>
      <x:c r="I37" s="13" t="str">
        <x:v>preflight.json. BLOCKED_UAT_DATABASE_NOT_AVAILABLE. Tenant 4 / Project 16 no verificables en vivo. Pruebas y navegador NOT_RUN. Los JSON previos son historia, no sustituyen PostgreSQL</x:v>
      </x:c>
      <x:c r="J37" s="13" t="str">
        <x:v>BLOCKED</x:v>
      </x:c>
      <x:c r="K37" s="13" t="str"/>
      <x:c r="L37" s="6" t="str">
        <x:v>BLOCKED</x:v>
      </x:c>
      <x:c r="M37" s="6" t="str">
        <x:v>Not executed as this increment's end-to-end business case by scenario coverage auditor. Source/test definitions reviewed; prior release assertions are historical only.</x:v>
      </x:c>
      <x:c r="N37" s="6" t="str">
        <x:v>source_tests: backend/tests/test_investment_gate_preparation_gate07j.py::test_sod_is_enforced_and_frozen_revision_is_immutable; backend/tests/test_qra_evidence_stack.py::test_actual_accepted_successor_preserves_frozen_gate_and_completed_bc; implementation: backend/app/modules/investment_gate_preparation/service.py; current_increment_execution: ; evidence_class: SOURCE_REVIEW_ONLY; historical execution must be linked separately</x:v>
      </x:c>
      <x:c r="O37" s="6" t="str">
        <x:v>2026-10-15</x:v>
      </x:c>
      <x:c r="P37" s="6" t="str">
        <x:v>fresh-capital-owner-chain.json; tenant 4; Project 16; estado por etapa, no suma de fixtures</x:v>
      </x:c>
      <x:c r="Q37" s="6" t="str">
        <x:v>BLOCKED</x:v>
      </x:c>
      <x:c r="R37" s="6" t="str">
        <x:v>Freeze no ejecutado: el paquete sigue DRAFT/BLOCKED bajo su política sin rebajar requisitos. No existe handoff frozen nuevo</x:v>
      </x:c>
      <x:c r="S37" s="6" t="str">
        <x:v>fresh-capital-owner-chain.json; tenant 4; Project 16; estado por etapa, no suma de fixtures</x:v>
      </x:c>
      <x:c r="T37" s="29" t="d">
        <x:v>2026-10-15T22:56:32.584Z</x:v>
      </x:c>
      <x:c r="U37" s="6" t="str">
        <x:v>preflight.json. BLOCKED_UAT_DATABASE_NOT_AVAILABLE. Tenant 4 / Project 16 no verificables en vivo. Pruebas y navegador NOT_RUN. Los JSON previos son historia, no sustituyen PostgreSQL</x:v>
      </x:c>
    </x:row>
    <x:row r="38" ht="66" customHeight="1">
      <x:c r="A38" s="14" t="str">
        <x:v>A30</x:v>
      </x:c>
      <x:c r="B38" s="6" t="str">
        <x:v>Investment Decision / FID</x:v>
      </x:c>
      <x:c r="C38" s="6" t="str">
        <x:v>Frozen Gate package, valid authority/committee/quorum and configured decision checklist; Disposable isolated UAT database; protected Project ID14 baseline captured; actual scoped RBAC actors</x:v>
      </x:c>
      <x:c r="D38" s="6" t="str">
        <x:v>Investment Committee / Decision Maker independent of preparer/reviewer</x:v>
      </x:c>
      <x:c r="E38" s="6" t="str">
        <x:v>UAT-CAPITAL-COPPER; CAPITAL_OWNER; governed taxonomy resolved from options; PYP-FFA only where configured; no operational ID reuse</x:v>
      </x:c>
      <x:c r="F38" s="6" t="str">
        <x:v>Create/submit/review decision package.; Independent authorized actor decides GO for PYP-FFA and authorized amount/currency.; Inspect FID/full-funds/investment outputs; exercise HOLD/RECYCLE/KILL separately.</x:v>
      </x:c>
      <x:c r="G38" s="6" t="str">
        <x:v>PYP-FFA GO is_fid=true,investment_authorized=true,full_funds_authorized=true; selection GO is not FID; evidence never auto-GO/activate.</x:v>
      </x:c>
      <x:c r="H38" s="6" t="str">
        <x:v>BLOCKED_UAT_DATABASE_NOT_AVAILABLE. FID no ejecutado ni acreditado en esta continuación. No hay nueva decisión GO ni autorización de fondos</x:v>
      </x:c>
      <x:c r="I38" s="6" t="str">
        <x:v>preflight.json. BLOCKED_UAT_DATABASE_NOT_AVAILABLE. Tenant 4 / Project 16 no verificables en vivo. Pruebas y navegador NOT_RUN. Los JSON previos son historia, no sustituyen PostgreSQL</x:v>
      </x:c>
      <x:c r="J38" s="6" t="str">
        <x:v>BLOCKED</x:v>
      </x:c>
      <x:c r="K38" s="6" t="str">
        <x:v>UAT-S2-003</x:v>
      </x:c>
      <x:c r="L38" s="6" t="str">
        <x:v>BLOCKED</x:v>
      </x:c>
      <x:c r="M38" s="6" t="str">
        <x:v>El ensayo FID heredado no completa el BC por BA Benefits Commercial Permit FEL FIN requeridos; no se acredita Gate07K FID nuevo empresarial</x:v>
      </x:c>
      <x:c r="N38" s="6" t="str">
        <x:v>backend-strategic-regression.xml</x:v>
      </x:c>
      <x:c r="O38" s="6" t="str">
        <x:v>2026-10-15</x:v>
      </x:c>
      <x:c r="P38" s="6" t="str">
        <x:v>Sin acreditación completa de todos los controles del caso</x:v>
      </x:c>
      <x:c r="Q38" s="6" t="str">
        <x:v>BLOCKED</x:v>
      </x:c>
      <x:c r="R38" s="6" t="str">
        <x:v>BLOCKED NOT EXECUTED como caso UAT completo en esta revisión</x:v>
      </x:c>
      <x:c r="S38" s="6" t="str">
        <x:v>Sin acreditación completa de todos los controles del caso</x:v>
      </x:c>
      <x:c r="T38" s="29" t="d">
        <x:v>2026-10-15T22:56:32.584Z</x:v>
      </x:c>
      <x:c r="U38" s="6" t="str">
        <x:v>preflight.json. BLOCKED_UAT_DATABASE_NOT_AVAILABLE. Tenant 4 / Project 16 no verificables en vivo. Pruebas y navegador NOT_RUN. Los JSON previos son historia, no sustituyen PostgreSQL</x:v>
      </x:c>
    </x:row>
    <x:row r="39" ht="105" customHeight="1">
      <x:c r="A39" s="15" t="str">
        <x:v>A31</x:v>
      </x:c>
      <x:c r="B39" s="13" t="str">
        <x:v>Post-FID Governance and operational boundary</x:v>
      </x:c>
      <x:c r="C39" s="13" t="str">
        <x:v>Formal decided FID and effective Post-FID policy; Project state/conditions retained; Disposable isolated UAT database; protected Project ID14 baseline captured; actual scoped RBAC actors</x:v>
      </x:c>
      <x:c r="D39" s="13" t="str">
        <x:v>Post-FID Governance User; Project Workspace Initializer; independent Activator</x:v>
      </x:c>
      <x:c r="E39" s="13" t="str">
        <x:v>UAT-CAPITAL-COPPER; CAPITAL_OWNER; governed taxonomy resolved from options; PYP-FFA only where configured; no operational ID reuse</x:v>
      </x:c>
      <x:c r="F39" s="13" t="str">
        <x:v>Evaluate immutable per-project eligibility and conditions.; Read routing and initialization/activation blockers.; Verify already-active Project is not reactivated; stop before delivery execution.</x:v>
      </x:c>
      <x:c r="G39" s="13" t="str">
        <x:v>Eligibility is explicit and independent of operational execution; valid FID can yield READY_FOR_INITIALIZATION with can_activate=false.</x:v>
      </x:c>
      <x:c r="H39" s="13" t="str">
        <x:v>BLOCKED_UAT_DATABASE_NOT_AVAILABLE. Post-FID no ejecutado. No se inicializó, activó ni modificó el Project operativo</x:v>
      </x:c>
      <x:c r="I39" s="13" t="str">
        <x:v>preflight.json. BLOCKED_UAT_DATABASE_NOT_AVAILABLE. Tenant 4 / Project 16 no verificables en vivo. Pruebas y navegador NOT_RUN. Los JSON previos son historia, no sustituyen PostgreSQL</x:v>
      </x:c>
      <x:c r="J39" s="13" t="str">
        <x:v>BLOCKED</x:v>
      </x:c>
      <x:c r="K39" s="13" t="str"/>
      <x:c r="L39" s="6" t="str">
        <x:v>BLOCKED</x:v>
      </x:c>
      <x:c r="M39" s="6" t="str">
        <x:v>Not executed as this increment's end-to-end business case by scenario coverage auditor. Source/test definitions reviewed; prior release assertions are historical only.</x:v>
      </x:c>
      <x:c r="N39" s="6" t="str">
        <x:v>source_tests: backend/tests/test_post_fid_governance_gate07l.py::test_project_state_routes_reuse_existing_initialization_state; backend/tests/test_post_fid_governance_gate07l.py::test_valid_fid_persists_immutable_per_project_snapshots_idempotently; implementation: backend/app/modules/post_fid_governance/service.py; current_increment_execution: ; evidence_class: SOURCE_REVIEW_ONLY; historical execution must be linked separately</x:v>
      </x:c>
      <x:c r="O39" s="6" t="str">
        <x:v>2026-10-15</x:v>
      </x:c>
      <x:c r="P39" s="6" t="str">
        <x:v>Sin acreditación completa de todos los controles del caso</x:v>
      </x:c>
      <x:c r="Q39" s="6" t="str">
        <x:v>BLOCKED</x:v>
      </x:c>
      <x:c r="R39" s="6" t="str">
        <x:v>BLOCKED NOT EXECUTED como caso UAT completo en esta revisión</x:v>
      </x:c>
      <x:c r="S39" s="6" t="str">
        <x:v>Sin acreditación completa de todos los controles del caso</x:v>
      </x:c>
      <x:c r="T39" s="29" t="d">
        <x:v>2026-10-15T22:56:32.584Z</x:v>
      </x:c>
      <x:c r="U39" s="6" t="str">
        <x:v>preflight.json. BLOCKED_UAT_DATABASE_NOT_AVAILABLE. Tenant 4 / Project 16 no verificables en vivo. Pruebas y navegador NOT_RUN. Los JSON previos son historia, no sustituyen PostgreSQL</x:v>
      </x:c>
    </x:row>
    <x:row r="40" ht="92" customHeight="1">
      <x:c r="A40" s="14" t="str">
        <x:v>B1</x:v>
      </x:c>
      <x:c r="B40" s="6" t="str">
        <x:v>CONTRACTOR_DELIVERY compact creation→initialization→activation</x:v>
      </x:c>
      <x:c r="C40" s="6" t="str">
        <x:v>Published reusable source-specific governance policy and exact Project template; Eligible parent and active manager; requestor/reviewer/approver/materializer/initializer/activator are separate scoped actors</x:v>
      </x:c>
      <x:c r="D40" s="6" t="str">
        <x:v>Investment / Project Manager; Project Workspace Initializer; independent Project Workspace Activator</x:v>
      </x:c>
      <x:c r="E40" s="6" t="str">
        <x:v>governance_model: CONTRACTOR_DELIVERY; source_context_type: CONTRACT_AWARD; required_source_fields: client; contract_number; contractual_scope; mobilization_authorized; operational_records: Excluded; isolated disposable fixture</x:v>
      </x:c>
      <x:c r="F40" s="6" t="str">
        <x:v>Preview correct source adapter; verify no default portfolio/FEL/PDRI/FID requirement.; Create source request; submit, review and independently approve; materialize one pending Project.; Reject premature activation; initialize; independently activate using legitimate source authorization; verify identity unchanged.</x:v>
      </x:c>
      <x:c r="G40" s="6" t="str">
        <x:v>Canonical active Project, explicit model/source lineage, no compulsory Idea/Portfolio/FEL/Funding/QRA/FID, no manufactured investment decision or membership; no operational execution.</x:v>
      </x:c>
      <x:c r="H40" s="6" t="str">
        <x:v>Caso no reejecutado de manera formal en esta revisión; resultado previo preservado</x:v>
      </x:c>
      <x:c r="I40" s="6" t="str">
        <x:v>Historial de ejecución en columnas L a N</x:v>
      </x:c>
      <x:c r="J40" s="6" t="str">
        <x:v>BLOCKED</x:v>
      </x:c>
      <x:c r="K40" s="6" t="str"/>
      <x:c r="L40" s="6" t="str">
        <x:v>PASS</x:v>
      </x:c>
      <x:c r="M40" s="6" t="str">
        <x:v>CONTRACTOR_DELIVERY contrato a solicitud revisada, materialización pending, rechazo de activación prematura, inicialización e independiente ACTIVATED sin FID ni Portfolio membership</x:v>
      </x:c>
      <x:c r="N40" s="6" t="str">
        <x:v>routes-postgresql-final.xml; scenario-routes-sqlite-junit.xml</x:v>
      </x:c>
      <x:c r="O40" s="6" t="str">
        <x:v>2026-10-15</x:v>
      </x:c>
      <x:c r="P40" s="6" t="str">
        <x:v>Sin nueva ejecución formal de este caso; consultar historial</x:v>
      </x:c>
    </x:row>
    <x:row r="41" ht="92" customHeight="1">
      <x:c r="A41" s="15" t="str">
        <x:v>C1</x:v>
      </x:c>
      <x:c r="B41" s="13" t="str">
        <x:v>DIRECT_INTERNAL compact creation→initialization→activation</x:v>
      </x:c>
      <x:c r="C41" s="13" t="str">
        <x:v>Published reusable source-specific governance policy and exact Project template; Eligible parent and active manager; requestor/reviewer/approver/materializer/initializer/activator are separate scoped actors</x:v>
      </x:c>
      <x:c r="D41" s="13" t="str">
        <x:v>Investment / Project Manager; Project Workspace Initializer; independent Project Workspace Activator</x:v>
      </x:c>
      <x:c r="E41" s="13" t="str">
        <x:v>governance_model: DIRECT_INTERNAL; source_context_type: DIRECT_AUTHORIZATION; required_source_fields: authorization_reference; sponsor; authorization_approved; operational_records: Excluded; isolated disposable fixture</x:v>
      </x:c>
      <x:c r="F41" s="13" t="str">
        <x:v>Preview correct source adapter; verify no default portfolio/FEL/PDRI/FID requirement.; Create source request; submit, review and independently approve; materialize one pending Project.; Reject premature activation; initialize; independently activate using legitimate source authorization; verify identity unchanged.</x:v>
      </x:c>
      <x:c r="G41" s="13" t="str">
        <x:v>Canonical active Project, explicit model/source lineage, no compulsory Idea/Portfolio/FEL/Funding/QRA/FID, no manufactured investment decision or membership; no operational execution.</x:v>
      </x:c>
      <x:c r="H41" s="13" t="str">
        <x:v>Caso no reejecutado de manera formal en esta revisión; resultado previo preservado</x:v>
      </x:c>
      <x:c r="I41" s="13" t="str">
        <x:v>Historial de ejecución en columnas L a N</x:v>
      </x:c>
      <x:c r="J41" s="13" t="str">
        <x:v>BLOCKED</x:v>
      </x:c>
      <x:c r="K41" s="13" t="str"/>
      <x:c r="L41" s="6" t="str">
        <x:v>PASS</x:v>
      </x:c>
      <x:c r="M41" s="6" t="str">
        <x:v>DIRECT_INTERNAL autorización directa a solicitud revisada, materialización pending, inicialización e independiente ACTIVATED sin FID ni Portfolio membership</x:v>
      </x:c>
      <x:c r="N41" s="6" t="str">
        <x:v>routes-postgresql-final.xml; scenario-routes-sqlite-junit.xml</x:v>
      </x:c>
      <x:c r="O41" s="6" t="str">
        <x:v>2026-10-15</x:v>
      </x:c>
      <x:c r="P41" s="6" t="str">
        <x:v>Sin nueva ejecución formal de este caso; consultar historial</x:v>
      </x:c>
    </x:row>
    <x:row r="42" ht="66" customHeight="1">
      <x:c r="A42" s="14" t="str">
        <x:v>N01</x:v>
      </x:c>
      <x:c r="B42" s="6" t="str">
        <x:v>Strategic Gate RETURN</x:v>
      </x:c>
      <x:c r="C42" s="6" t="str">
        <x:v>Ready proposal and reviewed Strategic Gate; Isolated disposable fixture; exact current source and history hashes captured</x:v>
      </x:c>
      <x:c r="D42" s="6" t="str">
        <x:v>Gate Preparer; Strategic Decision Maker</x:v>
      </x:c>
      <x:c r="E42" s="6" t="str">
        <x:v>RETURN</x:v>
      </x:c>
      <x:c r="F42" s="6" t="str">
        <x:v>Prepare prerequisite: Ready proposal and reviewed Strategic Gate.; Attempt boundary: RETURN.; Read response, stored state and original snapshots; compare before/after hashes.</x:v>
      </x:c>
      <x:c r="G42" s="6" t="str">
        <x:v>No intake; returned Proposal/decision history retained.</x:v>
      </x:c>
      <x:c r="H42" s="6" t="str">
        <x:v>Caso no reejecutado de manera formal en esta revisión; resultado previo preservado</x:v>
      </x:c>
      <x:c r="I42" s="6" t="str">
        <x:v>Historial de ejecución en columnas L a N</x:v>
      </x:c>
      <x:c r="J42" s="6" t="str">
        <x:v>BLOCKED</x:v>
      </x:c>
      <x:c r="K42" s="6" t="str"/>
      <x:c r="L42" s="6" t="str">
        <x:v>BLOCKED</x:v>
      </x:c>
      <x:c r="M42" s="6" t="str">
        <x:v>No fresh execution linked by scenario coverage auditor; matching automated test definitions and historical release scope reviewed.</x:v>
      </x:c>
      <x:c r="N42" s="6" t="str">
        <x:v>source_tests: backend/tests/test_strategic_gate_gate07c.py::test_gate07c_non_approval_outcomes_never_produce_portfolio_intake; current_increment_execution: ; evidence_class: SOURCE_REVIEW_ONLY; historical regression does not equal fresh case execution</x:v>
      </x:c>
      <x:c r="O42" s="6" t="str">
        <x:v>2026-10-15</x:v>
      </x:c>
      <x:c r="P42" s="6" t="str">
        <x:v>Sin nueva ejecución formal de este caso; consultar historial</x:v>
      </x:c>
    </x:row>
    <x:row r="43" ht="66" customHeight="1">
      <x:c r="A43" s="15" t="str">
        <x:v>N02</x:v>
      </x:c>
      <x:c r="B43" s="13" t="str">
        <x:v>Strategic Gate REJECT</x:v>
      </x:c>
      <x:c r="C43" s="13" t="str">
        <x:v>Ready proposal and reviewed Strategic Gate; Isolated disposable fixture; exact current source and history hashes captured</x:v>
      </x:c>
      <x:c r="D43" s="13" t="str">
        <x:v>Gate Preparer; Strategic Decision Maker</x:v>
      </x:c>
      <x:c r="E43" s="13" t="str">
        <x:v>REJECT</x:v>
      </x:c>
      <x:c r="F43" s="13" t="str">
        <x:v>Prepare prerequisite: Ready proposal and reviewed Strategic Gate.; Attempt boundary: REJECT.; Read response, stored state and original snapshots; compare before/after hashes.</x:v>
      </x:c>
      <x:c r="G43" s="13" t="str">
        <x:v>No intake; rejected strategic source cannot create Project through Gate07D.</x:v>
      </x:c>
      <x:c r="H43" s="13" t="str">
        <x:v>Caso no reejecutado de manera formal en esta revisión; resultado previo preservado</x:v>
      </x:c>
      <x:c r="I43" s="13" t="str">
        <x:v>Historial de ejecución en columnas L a N</x:v>
      </x:c>
      <x:c r="J43" s="13" t="str">
        <x:v>BLOCKED</x:v>
      </x:c>
      <x:c r="K43" s="13" t="str"/>
      <x:c r="L43" s="6" t="str">
        <x:v>BLOCKED</x:v>
      </x:c>
      <x:c r="M43" s="6" t="str">
        <x:v>No fresh execution linked by scenario coverage auditor; matching automated test definitions and historical release scope reviewed.</x:v>
      </x:c>
      <x:c r="N43" s="6" t="str">
        <x:v>source_tests: backend/tests/test_strategic_gate_gate07c.py::test_gate07c_non_approval_outcomes_never_produce_portfolio_intake; current_increment_execution: ; evidence_class: SOURCE_REVIEW_ONLY; historical regression does not equal fresh case execution</x:v>
      </x:c>
      <x:c r="O43" s="6" t="str">
        <x:v>2026-10-15</x:v>
      </x:c>
      <x:c r="P43" s="6" t="str">
        <x:v>Sin nueva ejecución formal de este caso; consultar historial</x:v>
      </x:c>
    </x:row>
    <x:row r="44" ht="66" customHeight="1">
      <x:c r="A44" s="14" t="str">
        <x:v>N03</x:v>
      </x:c>
      <x:c r="B44" s="6" t="str">
        <x:v>Strategic Gate DEFER</x:v>
      </x:c>
      <x:c r="C44" s="6" t="str">
        <x:v>Ready proposal and reviewed Strategic Gate; Isolated disposable fixture; exact current source and history hashes captured</x:v>
      </x:c>
      <x:c r="D44" s="6" t="str">
        <x:v>Gate Preparer; Strategic Decision Maker</x:v>
      </x:c>
      <x:c r="E44" s="6" t="str">
        <x:v>DEFER</x:v>
      </x:c>
      <x:c r="F44" s="6" t="str">
        <x:v>Prepare prerequisite: Ready proposal and reviewed Strategic Gate.; Attempt boundary: DEFER.; Read response, stored state and original snapshots; compare before/after hashes.</x:v>
      </x:c>
      <x:c r="G44" s="6" t="str">
        <x:v>No intake; new historical round does not overwrite prior decision.</x:v>
      </x:c>
      <x:c r="H44" s="6" t="str">
        <x:v>Caso no reejecutado de manera formal en esta revisión; resultado previo preservado</x:v>
      </x:c>
      <x:c r="I44" s="6" t="str">
        <x:v>Historial de ejecución en columnas L a N</x:v>
      </x:c>
      <x:c r="J44" s="6" t="str">
        <x:v>BLOCKED</x:v>
      </x:c>
      <x:c r="K44" s="6" t="str"/>
      <x:c r="L44" s="6" t="str">
        <x:v>BLOCKED</x:v>
      </x:c>
      <x:c r="M44" s="6" t="str">
        <x:v>No fresh execution linked by scenario coverage auditor; matching automated test definitions and historical release scope reviewed.</x:v>
      </x:c>
      <x:c r="N44" s="6" t="str">
        <x:v>source_tests: backend/tests/test_strategic_gate_gate07c.py::test_gate07c_defer_allows_a_new_historical_round_without_overwrite; current_increment_execution: ; evidence_class: SOURCE_REVIEW_ONLY; historical regression does not equal fresh case execution</x:v>
      </x:c>
      <x:c r="O44" s="6" t="str">
        <x:v>2026-10-15</x:v>
      </x:c>
      <x:c r="P44" s="6" t="str">
        <x:v>Sin nueva ejecución formal de este caso; consultar historial</x:v>
      </x:c>
    </x:row>
    <x:row r="45" ht="66" customHeight="1">
      <x:c r="A45" s="15" t="str">
        <x:v>N04</x:v>
      </x:c>
      <x:c r="B45" s="13" t="str">
        <x:v>Portfolio infeasibility</x:v>
      </x:c>
      <x:c r="C45" s="13" t="str">
        <x:v>Current budget/resource alternatives; Isolated disposable fixture; exact current source and history hashes captured</x:v>
      </x:c>
      <x:c r="D45" s="13" t="str">
        <x:v>Portfolio Manager</x:v>
      </x:c>
      <x:c r="E45" s="13" t="str">
        <x:v>Forced/misaligned incompatible selection</x:v>
      </x:c>
      <x:c r="F45" s="13" t="str">
        <x:v>Prepare prerequisite: Current budget/resource alternatives.; Attempt boundary: Forced/misaligned incompatible selection.; Read response, stored state and original snapshots; compare before/after hashes.</x:v>
      </x:c>
      <x:c r="G45" s="13" t="str">
        <x:v>Alternative cannot be recommended; recommendation never overrides source authority.</x:v>
      </x:c>
      <x:c r="H45" s="13" t="str">
        <x:v>Caso no reejecutado de manera formal en esta revisión; resultado previo preservado</x:v>
      </x:c>
      <x:c r="I45" s="13" t="str">
        <x:v>Historial de ejecución en columnas L a N</x:v>
      </x:c>
      <x:c r="J45" s="13" t="str">
        <x:v>BLOCKED</x:v>
      </x:c>
      <x:c r="K45" s="13" t="str"/>
      <x:c r="L45" s="6" t="str">
        <x:v>BLOCKED</x:v>
      </x:c>
      <x:c r="M45" s="6" t="str">
        <x:v>No fresh execution linked by scenario coverage auditor; matching automated test definitions and historical release scope reviewed.</x:v>
      </x:c>
      <x:c r="N45" s="6" t="str">
        <x:v>source_tests: backend/tests/test_portfolio_convergence_gate07i.py::test_misaligned_and_forced_conflict_alternative_is_not_recommendable; current_increment_execution: ; evidence_class: SOURCE_REVIEW_ONLY; historical regression does not equal fresh case execution</x:v>
      </x:c>
      <x:c r="O45" s="6" t="str">
        <x:v>2026-10-15</x:v>
      </x:c>
      <x:c r="P45" s="6" t="str">
        <x:v>Sin nueva ejecución formal de este caso; consultar historial</x:v>
      </x:c>
    </x:row>
    <x:row r="46" ht="92" customHeight="1">
      <x:c r="A46" s="14" t="str">
        <x:v>N05</x:v>
      </x:c>
      <x:c r="B46" s="6" t="str">
        <x:v>Budget / Resource conflict</x:v>
      </x:c>
      <x:c r="C46" s="6" t="str">
        <x:v>Current ranked Projects and governed branch scenarios; Isolated disposable fixture; exact current source and history hashes captured</x:v>
      </x:c>
      <x:c r="D46" s="6" t="str">
        <x:v>Project Controls; Portfolio Manager</x:v>
      </x:c>
      <x:c r="E46" s="6" t="str">
        <x:v>Capacity overload, forced conflict and unmet dependency</x:v>
      </x:c>
      <x:c r="F46" s="6" t="str">
        <x:v>Prepare prerequisite: Current ranked Projects and governed branch scenarios.; Attempt boundary: Capacity overload, forced conflict and unmet dependency.; Read response, stored state and original snapshots; compare before/after hashes.</x:v>
      </x:c>
      <x:c r="G46" s="6" t="str">
        <x:v>Conflicts shown explicitly and blocking rules enforced; no hidden dates/amounts mutation.</x:v>
      </x:c>
      <x:c r="H46" s="6" t="str">
        <x:v>Caso no reejecutado de manera formal en esta revisión; resultado previo preservado</x:v>
      </x:c>
      <x:c r="I46" s="6" t="str">
        <x:v>Historial de ejecución en columnas L a N</x:v>
      </x:c>
      <x:c r="J46" s="6" t="str">
        <x:v>BLOCKED</x:v>
      </x:c>
      <x:c r="K46" s="6" t="str"/>
      <x:c r="L46" s="6" t="str">
        <x:v>BLOCKED</x:v>
      </x:c>
      <x:c r="M46" s="6" t="str">
        <x:v>No fresh execution linked by scenario coverage auditor; matching automated test definitions and historical release scope reviewed.</x:v>
      </x:c>
      <x:c r="N46" s="6" t="str">
        <x:v>source_tests: backend/tests/test_portfolio_budget_gate07g_a.py::test_forced_conflict_and_transitive_unmet_dependency_are_derived; backend/tests/test_portfolio_resource_gate07h.py::test_gate07h_happy_path_overload_timing_comparison_and_final_output; current_increment_execution: ; evidence_class: SOURCE_REVIEW_ONLY; historical regression does not equal fresh case execution</x:v>
      </x:c>
      <x:c r="O46" s="6" t="str">
        <x:v>2026-10-15</x:v>
      </x:c>
      <x:c r="P46" s="6" t="str">
        <x:v>Sin nueva ejecución formal de este caso; consultar historial</x:v>
      </x:c>
    </x:row>
    <x:row r="47" ht="66" customHeight="1">
      <x:c r="A47" s="15" t="str">
        <x:v>N06</x:v>
      </x:c>
      <x:c r="B47" s="13" t="str">
        <x:v>Stale Class A evidence</x:v>
      </x:c>
      <x:c r="C47" s="13" t="str">
        <x:v>Current completed FIN and frozen historical Gate/FID; Isolated disposable fixture; exact current source and history hashes captured</x:v>
      </x:c>
      <x:c r="D47" s="13" t="str">
        <x:v>Gate Preparer; Cost / Finance Reviewer</x:v>
      </x:c>
      <x:c r="E47" s="13" t="str">
        <x:v>Suspend source Funding Source in disposable fixture</x:v>
      </x:c>
      <x:c r="F47" s="13" t="str">
        <x:v>Prepare prerequisite: Current completed FIN and frozen historical Gate/FID.; Attempt boundary: Suspend source Funding Source in disposable fixture.; Read response, stored state and original snapshots; compare before/after hashes.</x:v>
      </x:c>
      <x:c r="G47" s="13" t="str">
        <x:v>Live FIN STALE and new Gate blocked; existing package and decision hashes unchanged.</x:v>
      </x:c>
      <x:c r="H47" s="13" t="str">
        <x:v>Caso no reejecutado de manera formal en esta revisión; resultado previo preservado</x:v>
      </x:c>
      <x:c r="I47" s="13" t="str">
        <x:v>Historial de ejecución en columnas L a N</x:v>
      </x:c>
      <x:c r="J47" s="13" t="str">
        <x:v>BLOCKED</x:v>
      </x:c>
      <x:c r="K47" s="13" t="str"/>
      <x:c r="L47" s="6" t="str">
        <x:v>BLOCKED</x:v>
      </x:c>
      <x:c r="M47" s="6" t="str">
        <x:v>No fresh execution linked by scenario coverage auditor; matching automated test definitions and historical release scope reviewed.</x:v>
      </x:c>
      <x:c r="N47" s="6" t="str">
        <x:v>source_tests: backend/tests/test_gate07m_fid_e2e.py::test_new_pyp_ffa_fid_path_full_stack_revalidation; current_increment_execution: ; evidence_class: SOURCE_REVIEW_ONLY; historical regression does not equal fresh case execution</x:v>
      </x:c>
      <x:c r="O47" s="6" t="str">
        <x:v>2026-10-15</x:v>
      </x:c>
      <x:c r="P47" s="6" t="str">
        <x:v>Sin nueva ejecución formal de este caso; consultar historial</x:v>
      </x:c>
    </x:row>
    <x:row r="48" ht="66" customHeight="1">
      <x:c r="A48" s="14" t="str">
        <x:v>N07</x:v>
      </x:c>
      <x:c r="B48" s="6" t="str">
        <x:v>Manual Class A fallback attempt</x:v>
      </x:c>
      <x:c r="C48" s="6" t="str">
        <x:v>Effective required COST_QRA_RESULT Class A; Isolated disposable fixture; exact current source and history hashes captured</x:v>
      </x:c>
      <x:c r="D48" s="6" t="str">
        <x:v>Gate Preparer</x:v>
      </x:c>
      <x:c r="E48" s="6" t="str">
        <x:v>Submit manual attachment/reference for provider requirement</x:v>
      </x:c>
      <x:c r="F48" s="6" t="str">
        <x:v>Prepare prerequisite: Effective required COST_QRA_RESULT Class A.; Attempt boundary: Submit manual attachment/reference for provider requirement.; Read response, stored state and original snapshots; compare before/after hashes.</x:v>
      </x:c>
      <x:c r="G48" s="6" t="str">
        <x:v>409 MANUAL_REFERENCE_NOT_ALLOWED; no substitution of native provider evidence.</x:v>
      </x:c>
      <x:c r="H48" s="6" t="str">
        <x:v>Caso no reejecutado de manera formal en esta revisión; resultado previo preservado</x:v>
      </x:c>
      <x:c r="I48" s="6" t="str">
        <x:v>Historial de ejecución en columnas L a N</x:v>
      </x:c>
      <x:c r="J48" s="6" t="str">
        <x:v>BLOCKED</x:v>
      </x:c>
      <x:c r="K48" s="6" t="str"/>
      <x:c r="L48" s="6" t="str">
        <x:v>BLOCKED</x:v>
      </x:c>
      <x:c r="M48" s="6" t="str">
        <x:v>No fresh execution linked by scenario coverage auditor; matching automated test definitions and historical release scope reviewed.</x:v>
      </x:c>
      <x:c r="N48" s="6" t="str">
        <x:v>source_tests: backend/tests/test_qra_evidence_stack.py::test_class_a_manual_qra_fallback_remains_forbidden; current_increment_execution: ; evidence_class: SOURCE_REVIEW_ONLY; historical regression does not equal fresh case execution</x:v>
      </x:c>
      <x:c r="O48" s="6" t="str">
        <x:v>2026-10-15</x:v>
      </x:c>
      <x:c r="P48" s="6" t="str">
        <x:v>Sin nueva ejecución formal de este caso; consultar historial</x:v>
      </x:c>
    </x:row>
    <x:row r="49" ht="118" customHeight="1">
      <x:c r="A49" s="15" t="str">
        <x:v>N08</x:v>
      </x:c>
      <x:c r="B49" s="13" t="str">
        <x:v>SoD violations</x:v>
      </x:c>
      <x:c r="C49" s="13" t="str">
        <x:v>Prepared author-owned assessment/package/policy; Isolated disposable fixture; exact current source and history hashes captured</x:v>
      </x:c>
      <x:c r="D49" s="13" t="str">
        <x:v>Gate Preparer; Investment Committee / Decision Maker</x:v>
      </x:c>
      <x:c r="E49" s="13" t="str">
        <x:v>Same author tries publish/review/freeze/decide or initializer activates own initialization</x:v>
      </x:c>
      <x:c r="F49" s="13" t="str">
        <x:v>Prepare prerequisite: Prepared author-owned assessment/package/policy.; Attempt boundary: Same author tries publish/review/freeze/decide or initializer activates own initialization.; Read response, stored state and original snapshots; compare before/after hashes.</x:v>
      </x:c>
      <x:c r="G49" s="13" t="str">
        <x:v>Reject according to domain SoD; organization_admin role does not imply authority to bypass mandatory four-eyes.</x:v>
      </x:c>
      <x:c r="H49" s="13" t="str">
        <x:v>Caso no reejecutado de manera formal en esta revisión; resultado previo preservado</x:v>
      </x:c>
      <x:c r="I49" s="13" t="str">
        <x:v>Historial de ejecución en columnas L a N</x:v>
      </x:c>
      <x:c r="J49" s="13" t="str">
        <x:v>BLOCKED</x:v>
      </x:c>
      <x:c r="K49" s="13" t="str"/>
      <x:c r="L49" s="6" t="str">
        <x:v>BLOCKED</x:v>
      </x:c>
      <x:c r="M49" s="6" t="str">
        <x:v>No fresh execution linked by scenario coverage auditor; matching automated test definitions and historical release scope reviewed.</x:v>
      </x:c>
      <x:c r="N49" s="6" t="str">
        <x:v>source_tests: backend/tests/test_investment_gate_preparation_gate07j.py::test_sod_is_enforced_and_frozen_revision_is_immutable; backend/tests/test_investment_decision_gate07k.py::test_ffa_segregation_of_duties_and_stale_policy_block_decision; backend/tests/test_project_workspace_initialization.py::test_52_same_actor_cannot_initialize_and_activate; current_increment_execution: ; evidence_class: SOURCE_REVIEW_ONLY; historical regression does not equal fresh case execution</x:v>
      </x:c>
      <x:c r="O49" s="6" t="str">
        <x:v>2026-10-15</x:v>
      </x:c>
      <x:c r="P49" s="6" t="str">
        <x:v>Sin nueva ejecución formal de este caso; consultar historial</x:v>
      </x:c>
    </x:row>
    <x:row r="50" ht="92" customHeight="1">
      <x:c r="A50" s="14" t="str">
        <x:v>N09</x:v>
      </x:c>
      <x:c r="B50" s="6" t="str">
        <x:v>Unaccepted QRA result</x:v>
      </x:c>
      <x:c r="C50" s="6" t="str">
        <x:v>Completed run without independent acceptance; Isolated disposable fixture; exact current source and history hashes captured</x:v>
      </x:c>
      <x:c r="D50" s="6" t="str">
        <x:v>QRA Analyst; Gate Preparer</x:v>
      </x:c>
      <x:c r="E50" s="6" t="str">
        <x:v>Resolve unaccepted result as required evidence</x:v>
      </x:c>
      <x:c r="F50" s="6" t="str">
        <x:v>Prepare prerequisite: Completed run without independent acceptance.; Attempt boundary: Resolve unaccepted result as required evidence.; Read response, stored state and original snapshots; compare before/after hashes.</x:v>
      </x:c>
      <x:c r="G50" s="6" t="str">
        <x:v>Cannot satisfy required Class A despite completed simulation.</x:v>
      </x:c>
      <x:c r="H50" s="6" t="str">
        <x:v>Caso no reejecutado de manera formal en esta revisión; resultado previo preservado</x:v>
      </x:c>
      <x:c r="I50" s="6" t="str">
        <x:v>Historial de ejecución en columnas L a N</x:v>
      </x:c>
      <x:c r="J50" s="6" t="str">
        <x:v>BLOCKED</x:v>
      </x:c>
      <x:c r="K50" s="6" t="str"/>
      <x:c r="L50" s="6" t="str">
        <x:v>BLOCKED</x:v>
      </x:c>
      <x:c r="M50" s="6" t="str">
        <x:v>No fresh execution linked by scenario coverage auditor; matching automated test definitions and historical release scope reviewed.</x:v>
      </x:c>
      <x:c r="N50" s="6" t="str">
        <x:v>source_tests: backend/tests/test_qra_evidence_policy.py::test_qualified_resolver_unaccepted_and_wrong_type_never_satisfy; backend/tests/test_qra_engine.py::test_completed_run_immutable_separate_review_acceptance_provider; current_increment_execution: ; evidence_class: SOURCE_REVIEW_ONLY; historical regression does not equal fresh case execution</x:v>
      </x:c>
      <x:c r="O50" s="6" t="str">
        <x:v>2026-10-15</x:v>
      </x:c>
      <x:c r="P50" s="6" t="str">
        <x:v>Sin nueva ejecución formal de este caso; consultar historial</x:v>
      </x:c>
    </x:row>
    <x:row r="51" ht="92" customHeight="1">
      <x:c r="A51" s="15" t="str">
        <x:v>N10</x:v>
      </x:c>
      <x:c r="B51" s="13" t="str">
        <x:v>Stale QRA result</x:v>
      </x:c>
      <x:c r="C51" s="13" t="str">
        <x:v>Accepted result and frozen old references; Isolated disposable fixture; exact current source and history hashes captured</x:v>
      </x:c>
      <x:c r="D51" s="13" t="str">
        <x:v>QRA Analyst; Gate Preparer</x:v>
      </x:c>
      <x:c r="E51" s="13" t="str">
        <x:v>Materially change source authority or use accepted stale result</x:v>
      </x:c>
      <x:c r="F51" s="13" t="str">
        <x:v>Prepare prerequisite: Accepted result and frozen old references.; Attempt boundary: Materially change source authority or use accepted stale result.; Read response, stored state and original snapshots; compare before/after hashes.</x:v>
      </x:c>
      <x:c r="G51" s="13" t="str">
        <x:v>Current provider cannot satisfy coverage/readiness; historical run/BC/package immutable.</x:v>
      </x:c>
      <x:c r="H51" s="13" t="str">
        <x:v>Caso no reejecutado de manera formal en esta revisión; resultado previo preservado</x:v>
      </x:c>
      <x:c r="I51" s="13" t="str">
        <x:v>Historial de ejecución en columnas L a N</x:v>
      </x:c>
      <x:c r="J51" s="13" t="str">
        <x:v>BLOCKED</x:v>
      </x:c>
      <x:c r="K51" s="13" t="str"/>
      <x:c r="L51" s="6" t="str">
        <x:v>BLOCKED</x:v>
      </x:c>
      <x:c r="M51" s="6" t="str">
        <x:v>No fresh execution linked by scenario coverage auditor; matching automated test definitions and historical release scope reviewed.</x:v>
      </x:c>
      <x:c r="N51" s="6" t="str">
        <x:v>source_tests: backend/tests/test_qra_evidence_stack.py::test_actual_material_cost_source_change_blocks_new_gate_without_rewriting_history; backend/tests/test_qra_evidence_policy.py::test_stale_qra_blocks_project_coverage_as_well_as_overall_readiness; current_increment_execution: ; evidence_class: SOURCE_REVIEW_ONLY; historical regression does not equal fresh case execution</x:v>
      </x:c>
      <x:c r="O51" s="6" t="str">
        <x:v>2026-10-15</x:v>
      </x:c>
      <x:c r="P51" s="6" t="str">
        <x:v>Sin nueva ejecución formal de este caso; consultar historial</x:v>
      </x:c>
    </x:row>
    <x:row r="52" ht="79" customHeight="1">
      <x:c r="A52" s="14" t="str">
        <x:v>N11</x:v>
      </x:c>
      <x:c r="B52" s="6" t="str">
        <x:v>Wrong QRA analysis type</x:v>
      </x:c>
      <x:c r="C52" s="6" t="str">
        <x:v>COST_QRA_RESULT requirement; Isolated disposable fixture; exact current source and history hashes captured</x:v>
      </x:c>
      <x:c r="D52" s="6" t="str">
        <x:v>QRA Analyst; Gate Preparer</x:v>
      </x:c>
      <x:c r="E52" s="6" t="str">
        <x:v>Supply SCHEDULE_QRA result</x:v>
      </x:c>
      <x:c r="F52" s="6" t="str">
        <x:v>Prepare prerequisite: COST_QRA_RESULT requirement.; Attempt boundary: Supply SCHEDULE_QRA result.; Read response, stored state and original snapshots; compare before/after hashes.</x:v>
      </x:c>
      <x:c r="G52" s="6" t="str">
        <x:v>QRA_ANALYSIS_TYPE_MISMATCH or provider ineligibility; no cross-type substitution.</x:v>
      </x:c>
      <x:c r="H52" s="6" t="str">
        <x:v>Caso no reejecutado de manera formal en esta revisión; resultado previo preservado</x:v>
      </x:c>
      <x:c r="I52" s="6" t="str">
        <x:v>Historial de ejecución en columnas L a N</x:v>
      </x:c>
      <x:c r="J52" s="6" t="str">
        <x:v>BLOCKED</x:v>
      </x:c>
      <x:c r="K52" s="6" t="str"/>
      <x:c r="L52" s="6" t="str">
        <x:v>BLOCKED</x:v>
      </x:c>
      <x:c r="M52" s="6" t="str">
        <x:v>No fresh execution linked by scenario coverage auditor; matching automated test definitions and historical release scope reviewed.</x:v>
      </x:c>
      <x:c r="N52" s="6" t="str">
        <x:v>source_tests: backend/tests/test_qra_evidence_policy.py::test_result_qualifiers_and_freshness; backend/tests/test_qra_evidence_policy.py::test_qualified_resolver_unaccepted_and_wrong_type_never_satisfy; current_increment_execution: ; evidence_class: SOURCE_REVIEW_ONLY; historical regression does not equal fresh case execution</x:v>
      </x:c>
      <x:c r="O52" s="6" t="str">
        <x:v>2026-10-15</x:v>
      </x:c>
      <x:c r="P52" s="6" t="str">
        <x:v>Sin nueva ejecución formal de este caso; consultar historial</x:v>
      </x:c>
    </x:row>
    <x:row r="53" ht="66" customHeight="1">
      <x:c r="A53" s="15" t="str">
        <x:v>N12</x:v>
      </x:c>
      <x:c r="B53" s="13" t="str">
        <x:v>QRA scope mismatch</x:v>
      </x:c>
      <x:c r="C53" s="13" t="str">
        <x:v>WHOLE_PROJECT requirement; Isolated disposable fixture; exact current source and history hashes captured</x:v>
      </x:c>
      <x:c r="D53" s="13" t="str">
        <x:v>QRA Analyst; Gate Preparer</x:v>
      </x:c>
      <x:c r="E53" s="13" t="str">
        <x:v>Supply SELECTED_WBS-only result</x:v>
      </x:c>
      <x:c r="F53" s="13" t="str">
        <x:v>Prepare prerequisite: WHOLE_PROJECT requirement.; Attempt boundary: Supply SELECTED_WBS-only result.; Read response, stored state and original snapshots; compare before/after hashes.</x:v>
      </x:c>
      <x:c r="G53" s="13" t="str">
        <x:v>QRA_SCOPE_MISMATCH; selected scope cannot count as whole Project coverage.</x:v>
      </x:c>
      <x:c r="H53" s="13" t="str">
        <x:v>Caso no reejecutado de manera formal en esta revisión; resultado previo preservado</x:v>
      </x:c>
      <x:c r="I53" s="13" t="str">
        <x:v>Historial de ejecución en columnas L a N</x:v>
      </x:c>
      <x:c r="J53" s="13" t="str">
        <x:v>BLOCKED</x:v>
      </x:c>
      <x:c r="K53" s="13" t="str"/>
      <x:c r="L53" s="6" t="str">
        <x:v>BLOCKED</x:v>
      </x:c>
      <x:c r="M53" s="6" t="str">
        <x:v>No fresh execution linked by scenario coverage auditor; matching automated test definitions and historical release scope reviewed.</x:v>
      </x:c>
      <x:c r="N53" s="6" t="str">
        <x:v>source_tests: backend/tests/test_qra_evidence_policy.py::test_result_qualifiers_and_freshness; current_increment_execution: ; evidence_class: SOURCE_REVIEW_ONLY; historical regression does not equal fresh case execution</x:v>
      </x:c>
      <x:c r="O53" s="6" t="str">
        <x:v>2026-10-15</x:v>
      </x:c>
      <x:c r="P53" s="6" t="str">
        <x:v>Sin nueva ejecución formal de este caso; consultar historial</x:v>
      </x:c>
    </x:row>
    <x:row r="54" ht="92" customHeight="1">
      <x:c r="A54" s="14" t="str">
        <x:v>N13</x:v>
      </x:c>
      <x:c r="B54" s="6" t="str">
        <x:v>Unsupported Schedule QRA context</x:v>
      </x:c>
      <x:c r="C54" s="6" t="str">
        <x:v>Required elapsed Schedule evidence; Isolated disposable fixture; exact current source and history hashes captured</x:v>
      </x:c>
      <x:c r="D54" s="6" t="str">
        <x:v>QRA Analyst; Gate Preparer</x:v>
      </x:c>
      <x:c r="E54" s="6" t="str">
        <x:v>Work-calendar/unsupported source context</x:v>
      </x:c>
      <x:c r="F54" s="6" t="str">
        <x:v>Prepare prerequisite: Required elapsed Schedule evidence.; Attempt boundary: Work-calendar/unsupported source context.; Read response, stored state and original snapshots; compare before/after hashes.</x:v>
      </x:c>
      <x:c r="G54" s="6" t="str">
        <x:v>Explicit engine incapability distinct from missing provider or staleness; no silent work-day conversion.</x:v>
      </x:c>
      <x:c r="H54" s="6" t="str">
        <x:v>Caso no reejecutado de manera formal en esta revisión; resultado previo preservado</x:v>
      </x:c>
      <x:c r="I54" s="6" t="str">
        <x:v>Historial de ejecución en columnas L a N</x:v>
      </x:c>
      <x:c r="J54" s="6" t="str">
        <x:v>BLOCKED</x:v>
      </x:c>
      <x:c r="K54" s="6" t="str"/>
      <x:c r="L54" s="6" t="str">
        <x:v>BLOCKED</x:v>
      </x:c>
      <x:c r="M54" s="6" t="str">
        <x:v>No fresh execution linked by scenario coverage auditor; matching automated test definitions and historical release scope reviewed.</x:v>
      </x:c>
      <x:c r="N54" s="6" t="str">
        <x:v>source_tests: backend/tests/test_qra_evidence_policy.py::test_schedule_work_calendar_cannot_satisfy_elapsed_requirement; backend/tests/test_qra_evidence_policy.py::test_engine_incapability_is_distinct_from_missing_provider; current_increment_execution: ; evidence_class: SOURCE_REVIEW_ONLY; historical regression does not equal fresh case execution</x:v>
      </x:c>
      <x:c r="O54" s="6" t="str">
        <x:v>2026-10-15</x:v>
      </x:c>
      <x:c r="P54" s="6" t="str">
        <x:v>Sin nueva ejecución formal de este caso; consultar historial</x:v>
      </x:c>
    </x:row>
    <x:row r="55" ht="92" customHeight="1">
      <x:c r="A55" s="15" t="str">
        <x:v>N14</x:v>
      </x:c>
      <x:c r="B55" s="13" t="str">
        <x:v>Historical snapshot immutability</x:v>
      </x:c>
      <x:c r="C55" s="13" t="str">
        <x:v>Completed BC/Benefits/Commercial, frozen scenario/Gate and decided FID; Isolated disposable fixture; exact current source and history hashes captured</x:v>
      </x:c>
      <x:c r="D55" s="13" t="str">
        <x:v>Read-only Executive; Evidence Reviewer</x:v>
      </x:c>
      <x:c r="E55" s="13" t="str">
        <x:v>Create governed successor or change current source and reread history</x:v>
      </x:c>
      <x:c r="F55" s="13" t="str">
        <x:v>Prepare prerequisite: Completed BC/Benefits/Commercial, frozen scenario/Gate and decided FID.; Attempt boundary: Create governed successor or change current source and reread history.; Read response, stored state and original snapshots; compare before/after hashes.</x:v>
      </x:c>
      <x:c r="G55" s="13" t="str">
        <x:v>Frozen source references/hashes unchanged; allowed superseded lifecycle does not rewrite completed content.</x:v>
      </x:c>
      <x:c r="H55" s="13" t="str">
        <x:v>Caso no reejecutado de manera formal en esta revisión; resultado previo preservado</x:v>
      </x:c>
      <x:c r="I55" s="13" t="str">
        <x:v>Historial de ejecución en columnas L a N</x:v>
      </x:c>
      <x:c r="J55" s="13" t="str">
        <x:v>BLOCKED</x:v>
      </x:c>
      <x:c r="K55" s="13" t="str"/>
      <x:c r="L55" s="6" t="str">
        <x:v>BLOCKED</x:v>
      </x:c>
      <x:c r="M55" s="6" t="str">
        <x:v>No fresh execution linked by scenario coverage auditor; matching automated test definitions and historical release scope reviewed.</x:v>
      </x:c>
      <x:c r="N55" s="6" t="str">
        <x:v>source_tests: backend/tests/test_qra_evidence_stack.py::test_actual_accepted_successor_preserves_frozen_gate_and_completed_bc; backend/tests/test_business_case_gate07m_bc_5c.py::test_historical_five_case_is_derived_only_from_frozen_revision_data; current_increment_execution: ; evidence_class: SOURCE_REVIEW_ONLY; historical regression does not equal fresh case execution</x:v>
      </x:c>
      <x:c r="O55" s="6" t="str">
        <x:v>2026-10-15</x:v>
      </x:c>
      <x:c r="P55" s="6" t="str">
        <x:v>Sin nueva ejecución formal de este caso; consultar historial</x:v>
      </x:c>
    </x:row>
    <x:row r="56" ht="92" customHeight="1">
      <x:c r="A56" s="14" t="str">
        <x:v>N15</x:v>
      </x:c>
      <x:c r="B56" s="6" t="str">
        <x:v>Tenant / Workspace / direct-route security</x:v>
      </x:c>
      <x:c r="C56" s="6" t="str">
        <x:v>Scoped users and second tenant/sibling Workspace; Isolated disposable fixture; exact current source and history hashes captured</x:v>
      </x:c>
      <x:c r="D56" s="6" t="str">
        <x:v>Read-only Executive; outsider with no matching scope</x:v>
      </x:c>
      <x:c r="E56" s="6" t="str">
        <x:v>Read/mutate another tenant/project and direct ADMIN routes as USER</x:v>
      </x:c>
      <x:c r="F56" s="6" t="str">
        <x:v>Prepare prerequisite: Scoped users and second tenant/sibling Workspace.; Attempt boundary: Read/mutate another tenant/project and direct ADMIN routes as USER.; Read response, stored state and original snapshots; compare before/after hashes.</x:v>
      </x:c>
      <x:c r="G56" s="6" t="str">
        <x:v>403/404 without disclosure or mutation; no USER reusable configuration control.</x:v>
      </x:c>
      <x:c r="H56" s="6" t="str">
        <x:v>Caso no reejecutado de manera formal en esta revisión; resultado previo preservado</x:v>
      </x:c>
      <x:c r="I56" s="6" t="str">
        <x:v>Historial de ejecución en columnas L a N</x:v>
      </x:c>
      <x:c r="J56" s="6" t="str">
        <x:v>BLOCKED</x:v>
      </x:c>
      <x:c r="K56" s="6" t="str"/>
      <x:c r="L56" s="6" t="str">
        <x:v>BLOCKED</x:v>
      </x:c>
      <x:c r="M56" s="6" t="str">
        <x:v>No fresh execution linked by scenario coverage auditor; matching automated test definitions and historical release scope reviewed.</x:v>
      </x:c>
      <x:c r="N56" s="6" t="str">
        <x:v>source_tests: backend/tests/test_basic_data_wave2b.py::test_basic_data_workspace_scope_ancestor_allowed_sibling_denied_and_cross_tenant_hidden; backend/tests/test_owner_capability_wave3b.py::test_direct_routes_config_only_preparer_scope_and_tenant_denials; current_increment_execution: ; evidence_class: SOURCE_REVIEW_ONLY; historical regression does not equal fresh case execution</x:v>
      </x:c>
      <x:c r="O56" s="6" t="str">
        <x:v>2026-10-15</x:v>
      </x:c>
      <x:c r="P56" s="6" t="str">
        <x:v>Sin nueva ejecución formal de este caso; consultar historial</x:v>
      </x:c>
    </x:row>
    <x:row r="57" ht="79" customHeight="1">
      <x:c r="A57" s="15" t="str">
        <x:v>N16</x:v>
      </x:c>
      <x:c r="B57" s="13" t="str">
        <x:v>Source authorization absent in compact routes</x:v>
      </x:c>
      <x:c r="C57" s="13" t="str">
        <x:v>Legitimate B/C creation source but no mobilization/direct approval; Isolated disposable fixture; exact current source and history hashes captured</x:v>
      </x:c>
      <x:c r="D57" s="13" t="str">
        <x:v>Investment / Project Manager; Activator</x:v>
      </x:c>
      <x:c r="E57" s="13" t="str">
        <x:v>Materialize then preview/start/activate without source execution authorization</x:v>
      </x:c>
      <x:c r="F57" s="13" t="str">
        <x:v>Prepare prerequisite: Legitimate B/C creation source but no mobilization/direct approval.; Attempt boundary: Materialize then preview/start/activate without source execution authorization.; Read response, stored state and original snapshots; compare before/after hashes.</x:v>
      </x:c>
      <x:c r="G57" s="13" t="str">
        <x:v>Project stays pending; no capital FID substitution and no automatic activation.</x:v>
      </x:c>
      <x:c r="H57" s="13" t="str">
        <x:v>Caso no reejecutado de manera formal en esta revisión; resultado previo preservado</x:v>
      </x:c>
      <x:c r="I57" s="13" t="str">
        <x:v>Historial de ejecución en columnas L a N</x:v>
      </x:c>
      <x:c r="J57" s="13" t="str">
        <x:v>BLOCKED</x:v>
      </x:c>
      <x:c r="K57" s="13" t="str"/>
      <x:c r="L57" s="6" t="str">
        <x:v>BLOCKED</x:v>
      </x:c>
      <x:c r="M57" s="6" t="str">
        <x:v>No fresh execution linked by scenario coverage auditor; matching automated test definitions and historical release scope reviewed.</x:v>
      </x:c>
      <x:c r="N57" s="6" t="str">
        <x:v>source_tests: backend/tests/test_project_creation_process.py::test_46_direct_project_remains_pending_when_authorization_is_not_approved; current_increment_execution: ; evidence_class: SOURCE_REVIEW_ONLY; historical regression does not equal fresh case execution</x:v>
      </x:c>
      <x:c r="O57" s="6" t="str">
        <x:v>2026-10-15</x:v>
      </x:c>
      <x:c r="P57" s="6" t="str">
        <x:v>Sin nueva ejecución formal de este caso; consultar historial</x:v>
      </x:c>
    </x:row>
    <x:row r="58" ht="79" customHeight="1">
      <x:c r="A58" s="14" t="str">
        <x:v>N17</x:v>
      </x:c>
      <x:c r="B58" s="6" t="str">
        <x:v>Integrated QRA rejected</x:v>
      </x:c>
      <x:c r="C58" s="6" t="str">
        <x:v>Released Cost/Schedule capability only; Isolated disposable fixture; exact current source and history hashes captured</x:v>
      </x:c>
      <x:c r="D58" s="6" t="str">
        <x:v>QRA Analyst; QRA Configuration Administrator</x:v>
      </x:c>
      <x:c r="E58" s="6" t="str">
        <x:v>Submit INTEGRATED_COST_SCHEDULE_QRA model or required policy</x:v>
      </x:c>
      <x:c r="F58" s="6" t="str">
        <x:v>Prepare prerequisite: Released Cost/Schedule capability only.; Attempt boundary: Submit INTEGRATED_COST_SCHEDULE_QRA model or required policy.; Read response, stored state and original snapshots; compare before/after hashes.</x:v>
      </x:c>
      <x:c r="G58" s="6" t="str">
        <x:v>Controlled 422/released-capability error; no integrated requirement published or executed.</x:v>
      </x:c>
      <x:c r="H58" s="6" t="str">
        <x:v>Caso no reejecutado de manera formal en esta revisión; resultado previo preservado</x:v>
      </x:c>
      <x:c r="I58" s="6" t="str">
        <x:v>Historial de ejecución en columnas L a N</x:v>
      </x:c>
      <x:c r="J58" s="6" t="str">
        <x:v>BLOCKED</x:v>
      </x:c>
      <x:c r="K58" s="6" t="str"/>
      <x:c r="L58" s="6" t="str">
        <x:v>BLOCKED</x:v>
      </x:c>
      <x:c r="M58" s="6" t="str">
        <x:v>No fresh execution linked by scenario coverage auditor; matching automated test definitions and historical release scope reviewed.</x:v>
      </x:c>
      <x:c r="N58" s="6" t="str">
        <x:v>source_tests: backend/tests/test_qra_evidence_policy.py::test_invalid_qra_policy_rejected; backend/tests/test_qra_engine.py::test_pre_run_blocks_stale_unapproved_unsupported; current_increment_execution: ; evidence_class: SOURCE_REVIEW_ONLY; historical regression does not equal fresh case execution</x:v>
      </x:c>
      <x:c r="O58" s="6" t="str">
        <x:v>2026-10-15</x:v>
      </x:c>
      <x:c r="P58" s="6" t="str">
        <x:v>Sin nueva ejecución formal de este caso; consultar historial</x:v>
      </x:c>
    </x:row>
  </x:sheetData>
  <x:conditionalFormatting sqref="J8:J58">
    <x:cfRule type="containsText" dxfId="0" priority="1" operator="containsText" text="FAIL"/>
    <x:cfRule type="containsText" dxfId="1" priority="2" operator="containsText" text="BLOCKED"/>
  </x:conditionalFormatting>
  <x:dataValidations count="1">
    <x:dataValidation type="list" sqref="J8:J58">
      <x:formula1>"PASS,FAIL,BLOCKED"</x:formula1>
    </x:dataValidation>
  </x:dataValidations>
  <x:pageMargins left="0.7" right="0.7" top="0.75" bottom="0.75" header="0.3" footer="0.3"/>
  <x:tableParts count="1">
    <x:tablePart xmlns:r="http://schemas.openxmlformats.org/officeDocument/2006/relationships" r:id="Raafed88d132d4403"/>
  </x:tableParts>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2" hidden="0" customWidth="1"/>
    <x:col min="2" max="2" width="14" hidden="0" customWidth="1"/>
    <x:col min="3" max="3" width="65" hidden="0" customWidth="1"/>
    <x:col min="4" max="4" width="29" hidden="0" customWidth="1"/>
    <x:col min="5" max="5" width="61" hidden="0" customWidth="1"/>
    <x:col min="6" max="6" width="43" hidden="0" customWidth="1"/>
    <x:col min="7" max="7" width="56" hidden="0" customWidth="1"/>
    <x:col min="8" max="8" width="37" hidden="0" customWidth="1"/>
    <x:col min="9" max="9" width="59" hidden="0" customWidth="1"/>
    <x:col min="10" max="10" width="65" hidden="0" customWidth="1"/>
  </x:cols>
  <x:sheetData>
    <x:row r="2" ht="26" customHeight="1">
      <x:c r="A2" s="1" t="str">
        <x:v>Inventario de pantallas y endpoints por modo y autoridad</x:v>
      </x:c>
    </x:row>
    <x:row r="3">
      <x:c r="A3" s="2"/>
      <x:c r="B3" s="2"/>
      <x:c r="C3" s="2"/>
      <x:c r="D3" s="2"/>
      <x:c r="E3" s="2"/>
      <x:c r="F3" s="2"/>
      <x:c r="G3" s="2"/>
      <x:c r="H3" s="2"/>
      <x:c r="I3" s="2"/>
      <x:c r="J3" s="2"/>
    </x:row>
    <x:row r="4">
      <x:c r="A4" s="3" t="str">
        <x:v>Corte 14 octubre 2026</x:v>
      </x:c>
      <x:c r="B4" s="3"/>
      <x:c r="C4" s="3"/>
      <x:c r="D4" s="3" t="str">
        <x:v>Fuente del registro</x:v>
      </x:c>
      <x:c r="E4" s="3" t="str">
        <x:v>Inventarios estáticos API y frontend. Tener endpoint o test no implica ejecución aprobada.</x:v>
      </x:c>
      <x:c r="F4" s="3"/>
      <x:c r="G4" s="3"/>
      <x:c r="H4" s="3"/>
      <x:c r="I4" s="3"/>
      <x:c r="J4" s="3"/>
    </x:row>
    <x:row r="5">
      <x:c r="A5" s="3" t="str">
        <x:v>Registros</x:v>
      </x:c>
      <x:c r="B5" s="3" t="n">
        <x:f>COUNTA(A8:A991)</x:f>
        <x:v>984</x:v>
      </x:c>
      <x:c r="C5" s="3"/>
      <x:c r="D5" s="3"/>
      <x:c r="E5" s="3"/>
      <x:c r="F5" s="3"/>
      <x:c r="G5" s="3"/>
      <x:c r="H5" s="3"/>
      <x:c r="I5" s="3"/>
      <x:c r="J5" s="3"/>
    </x:row>
    <x:row r="7" ht="34" customHeight="1">
      <x:c r="A7" s="10" t="str">
        <x:v>ID</x:v>
      </x:c>
      <x:c r="B7" s="11" t="str">
        <x:v>Tipo</x:v>
      </x:c>
      <x:c r="C7" s="11" t="str">
        <x:v>Ruta o endpoint</x:v>
      </x:c>
      <x:c r="D7" s="11" t="str">
        <x:v>Modo</x:v>
      </x:c>
      <x:c r="E7" s="11" t="str">
        <x:v>Módulo o pantalla</x:v>
      </x:c>
      <x:c r="F7" s="11" t="str">
        <x:v>Propósito</x:v>
      </x:c>
      <x:c r="G7" s="11" t="str">
        <x:v>Permiso</x:v>
      </x:c>
      <x:c r="H7" s="11" t="str">
        <x:v>Estado de uso</x:v>
      </x:c>
      <x:c r="I7" s="11" t="str">
        <x:v>Consumidor</x:v>
      </x:c>
      <x:c r="J7" s="12" t="str">
        <x:v>Cobertura y cautela</x:v>
      </x:c>
    </x:row>
    <x:row r="8" ht="42" customHeight="1">
      <x:c r="A8" s="14" t="str">
        <x:v>FE-1</x:v>
      </x:c>
      <x:c r="B8" s="6" t="str">
        <x:v>PANTALLA</x:v>
      </x:c>
      <x:c r="C8" s="6" t="str">
        <x:v>/app/admin/strategy/enterprise-strategy-overview</x:v>
      </x:c>
      <x:c r="D8" s="6" t="str">
        <x:v>ADMIN</x:v>
      </x:c>
      <x:c r="E8" s="6" t="str">
        <x:v>frontend/src/features/enterprise-strategy/EnterpriseStrategyLanding.tsx</x:v>
      </x:c>
      <x:c r="F8" s="6" t="str">
        <x:v>Enterprise Foundation &gt; Foundation Configuration / Preview</x:v>
      </x:c>
      <x:c r="G8" s="6" t="str">
        <x:v>authenticated</x:v>
      </x:c>
      <x:c r="H8" s="6" t="str">
        <x:v>RENDERER_REGISTERED</x:v>
      </x:c>
      <x:c r="I8" s="6" t="str">
        <x:v>enterprise-strategy-overview</x:v>
      </x:c>
      <x:c r="J8" s="6" t="str">
        <x:v>READ_ONLY_SHARED. STATIC_METADATA_NOT_BUSINESS_UAT</x:v>
      </x:c>
    </x:row>
    <x:row r="9" ht="42" customHeight="1">
      <x:c r="A9" s="15" t="str">
        <x:v>FE-2</x:v>
      </x:c>
      <x:c r="B9" s="13" t="str">
        <x:v>PANTALLA</x:v>
      </x:c>
      <x:c r="C9" s="13" t="str">
        <x:v>/app/admin/strategy/enterprise-structure-configuration</x:v>
      </x:c>
      <x:c r="D9" s="13" t="str">
        <x:v>ADMIN</x:v>
      </x:c>
      <x:c r="E9" s="13" t="str">
        <x:v>frontend/src/features/enterprise-structure/pages/AdminEnterpriseStructurePage.tsx</x:v>
      </x:c>
      <x:c r="F9" s="13" t="str">
        <x:v>Enterprise Foundation &gt; Enterprise Structure &amp; Workspace Manager</x:v>
      </x:c>
      <x:c r="G9" s="13" t="str">
        <x:v>can_configure</x:v>
      </x:c>
      <x:c r="H9" s="13" t="str">
        <x:v>RENDERER_REGISTERED</x:v>
      </x:c>
      <x:c r="I9" s="13" t="str">
        <x:v>enterprise-structure-configuration</x:v>
      </x:c>
      <x:c r="J9" s="13" t="str">
        <x:v>ADMIN_CONFIGURATION. STATIC_METADATA_NOT_BUSINESS_UAT</x:v>
      </x:c>
    </x:row>
    <x:row r="10" ht="42" customHeight="1">
      <x:c r="A10" s="14" t="str">
        <x:v>FE-3</x:v>
      </x:c>
      <x:c r="B10" s="6" t="str">
        <x:v>PANTALLA</x:v>
      </x:c>
      <x:c r="C10" s="6" t="str">
        <x:v>/app/admin/strategy/workspace-types</x:v>
      </x:c>
      <x:c r="D10" s="6" t="str">
        <x:v>ADMIN</x:v>
      </x:c>
      <x:c r="E10" s="6" t="str">
        <x:v>frontend/src/components/AdminConfigurationView.tsx</x:v>
      </x:c>
      <x:c r="F10" s="6" t="str">
        <x:v>Enterprise Foundation &gt; Workspace Types</x:v>
      </x:c>
      <x:c r="G10" s="6" t="str">
        <x:v>can_configure</x:v>
      </x:c>
      <x:c r="H10" s="6" t="str">
        <x:v>RENDERER_REGISTERED</x:v>
      </x:c>
      <x:c r="I10" s="6" t="str">
        <x:v>workspace-types</x:v>
      </x:c>
      <x:c r="J10" s="6" t="str">
        <x:v>ADMIN_CONFIGURATION. STATIC_METADATA_NOT_BUSINESS_UAT</x:v>
      </x:c>
    </x:row>
    <x:row r="11" ht="42" customHeight="1">
      <x:c r="A11" s="15" t="str">
        <x:v>FE-4</x:v>
      </x:c>
      <x:c r="B11" s="13" t="str">
        <x:v>PANTALLA</x:v>
      </x:c>
      <x:c r="C11" s="13" t="str">
        <x:v>/app/admin/strategy/enterprise-workspace-structure</x:v>
      </x:c>
      <x:c r="D11" s="13" t="str">
        <x:v>ADMIN</x:v>
      </x:c>
      <x:c r="E11" s="13" t="str">
        <x:v>frontend/src/features/enterprise-structure/pages/AdminEnterpriseStructurePage.tsx</x:v>
      </x:c>
      <x:c r="F11" s="13" t="str">
        <x:v>Enterprise Foundation &gt; Composition Rules</x:v>
      </x:c>
      <x:c r="G11" s="13" t="str">
        <x:v>can_configure</x:v>
      </x:c>
      <x:c r="H11" s="13" t="str">
        <x:v>RENDERER_REGISTERED</x:v>
      </x:c>
      <x:c r="I11" s="13" t="str">
        <x:v>enterprise-workspace-structure</x:v>
      </x:c>
      <x:c r="J11" s="13" t="str">
        <x:v>ADMIN_CONFIGURATION. STATIC_METADATA_NOT_BUSINESS_UAT</x:v>
      </x:c>
    </x:row>
    <x:row r="12" ht="42" customHeight="1">
      <x:c r="A12" s="14" t="str">
        <x:v>FE-5</x:v>
      </x:c>
      <x:c r="B12" s="6" t="str">
        <x:v>PANTALLA</x:v>
      </x:c>
      <x:c r="C12" s="6" t="str">
        <x:v>/app/admin/strategy/foundation-strategic-objectives</x:v>
      </x:c>
      <x:c r="D12" s="6" t="str">
        <x:v>ADMIN</x:v>
      </x:c>
      <x:c r="E12" s="6" t="str">
        <x:v>frontend/src/features/enterprise-structure/pages/AdminEnterpriseStructurePage.tsx</x:v>
      </x:c>
      <x:c r="F12" s="6" t="str">
        <x:v>Enterprise Foundation &gt; Strategic Objectives</x:v>
      </x:c>
      <x:c r="G12" s="6" t="str">
        <x:v>can_configure</x:v>
      </x:c>
      <x:c r="H12" s="6" t="str">
        <x:v>RENDERER_REGISTERED</x:v>
      </x:c>
      <x:c r="I12" s="6" t="str">
        <x:v>foundation-strategic-objectives</x:v>
      </x:c>
      <x:c r="J12" s="6" t="str">
        <x:v>ADMIN_CONFIGURATION. STATIC_METADATA_NOT_BUSINESS_UAT</x:v>
      </x:c>
    </x:row>
    <x:row r="13" ht="42" customHeight="1">
      <x:c r="A13" s="15" t="str">
        <x:v>FE-6</x:v>
      </x:c>
      <x:c r="B13" s="13" t="str">
        <x:v>PANTALLA</x:v>
      </x:c>
      <x:c r="C13" s="13" t="str">
        <x:v>/app/admin/strategy/workspace-defaults</x:v>
      </x:c>
      <x:c r="D13" s="13" t="str">
        <x:v>ADMIN</x:v>
      </x:c>
      <x:c r="E13" s="13" t="str">
        <x:v>frontend/src/components/AdminConfigurationView.tsx</x:v>
      </x:c>
      <x:c r="F13" s="13" t="str">
        <x:v>Enterprise Foundation &gt; Workspace Defaults &amp; Inheritance</x:v>
      </x:c>
      <x:c r="G13" s="13" t="str">
        <x:v>can_configure</x:v>
      </x:c>
      <x:c r="H13" s="13" t="str">
        <x:v>RENDERER_REGISTERED</x:v>
      </x:c>
      <x:c r="I13" s="13" t="str">
        <x:v>workspace-defaults</x:v>
      </x:c>
      <x:c r="J13" s="13" t="str">
        <x:v>ADMIN_CONFIGURATION. STATIC_METADATA_NOT_BUSINESS_UAT</x:v>
      </x:c>
    </x:row>
    <x:row r="14" ht="42" customHeight="1">
      <x:c r="A14" s="14" t="str">
        <x:v>FE-7</x:v>
      </x:c>
      <x:c r="B14" s="6" t="str">
        <x:v>PANTALLA</x:v>
      </x:c>
      <x:c r="C14" s="6" t="str">
        <x:v>/app/admin/strategy/module-catalog-activation</x:v>
      </x:c>
      <x:c r="D14" s="6" t="str">
        <x:v>ADMIN</x:v>
      </x:c>
      <x:c r="E14" s="6" t="str">
        <x:v>frontend/src/components/AdminConfigurationView.tsx</x:v>
      </x:c>
      <x:c r="F14" s="6" t="str">
        <x:v>Enterprise Foundation &gt; Module Catalog &amp; Activation</x:v>
      </x:c>
      <x:c r="G14" s="6" t="str">
        <x:v>can_configure</x:v>
      </x:c>
      <x:c r="H14" s="6" t="str">
        <x:v>RENDERER_REGISTERED</x:v>
      </x:c>
      <x:c r="I14" s="6" t="str">
        <x:v>module-catalog-activation</x:v>
      </x:c>
      <x:c r="J14" s="6" t="str">
        <x:v>ADMIN_CONFIGURATION. STATIC_METADATA_NOT_BUSINESS_UAT</x:v>
      </x:c>
    </x:row>
    <x:row r="15" ht="42" customHeight="1">
      <x:c r="A15" s="15" t="str">
        <x:v>FE-8</x:v>
      </x:c>
      <x:c r="B15" s="13" t="str">
        <x:v>PANTALLA</x:v>
      </x:c>
      <x:c r="C15" s="13" t="str">
        <x:v>/app/admin/strategy/workspace-navigation-profiles</x:v>
      </x:c>
      <x:c r="D15" s="13" t="str">
        <x:v>ADMIN</x:v>
      </x:c>
      <x:c r="E15" s="13" t="str">
        <x:v>frontend/src/components/AdminConfigurationView.tsx</x:v>
      </x:c>
      <x:c r="F15" s="13" t="str">
        <x:v>Enterprise Foundation &gt; Workspace Navigation Profiles</x:v>
      </x:c>
      <x:c r="G15" s="13" t="str">
        <x:v>can_configure</x:v>
      </x:c>
      <x:c r="H15" s="13" t="str">
        <x:v>RENDERER_REGISTERED</x:v>
      </x:c>
      <x:c r="I15" s="13" t="str">
        <x:v>workspace-navigation-profiles</x:v>
      </x:c>
      <x:c r="J15" s="13" t="str">
        <x:v>ADMIN_CONFIGURATION. STATIC_METADATA_NOT_BUSINESS_UAT</x:v>
      </x:c>
    </x:row>
    <x:row r="16" ht="42" customHeight="1">
      <x:c r="A16" s="14" t="str">
        <x:v>FE-9</x:v>
      </x:c>
      <x:c r="B16" s="6" t="str">
        <x:v>PANTALLA</x:v>
      </x:c>
      <x:c r="C16" s="6" t="str">
        <x:v>/app/admin/strategy/risk-governance-configuration</x:v>
      </x:c>
      <x:c r="D16" s="6" t="str">
        <x:v>ADMIN</x:v>
      </x:c>
      <x:c r="E16" s="6" t="str">
        <x:v>frontend/src/features/risk-governance/RiskGovernanceAdminView.tsx</x:v>
      </x:c>
      <x:c r="F16" s="6" t="str">
        <x:v>Enterprise Foundation &gt; Risk Governance</x:v>
      </x:c>
      <x:c r="G16" s="6" t="str">
        <x:v>can_configure</x:v>
      </x:c>
      <x:c r="H16" s="6" t="str">
        <x:v>RENDERER_REGISTERED</x:v>
      </x:c>
      <x:c r="I16" s="6" t="str">
        <x:v>risk-governance-configuration</x:v>
      </x:c>
      <x:c r="J16" s="6" t="str">
        <x:v>ADMIN_CONFIGURATION. STATIC_METADATA_NOT_BUSINESS_UAT</x:v>
      </x:c>
    </x:row>
    <x:row r="17" ht="53" customHeight="1">
      <x:c r="A17" s="15" t="str">
        <x:v>FE-10</x:v>
      </x:c>
      <x:c r="B17" s="13" t="str">
        <x:v>PANTALLA</x:v>
      </x:c>
      <x:c r="C17" s="13" t="str">
        <x:v>/app/admin/strategy/capital-planning-configuration</x:v>
      </x:c>
      <x:c r="D17" s="13" t="str">
        <x:v>ADMIN</x:v>
      </x:c>
      <x:c r="E17" s="13" t="str">
        <x:v>frontend/src/features/capital-planning/CapitalPlanningAdminView.tsx</x:v>
      </x:c>
      <x:c r="F17" s="13" t="str">
        <x:v>Strategic Capital Planning &amp; Demand Configuration &gt; Strategic Capital Planning &amp; Demand Configuration</x:v>
      </x:c>
      <x:c r="G17" s="13" t="str">
        <x:v>can_configure</x:v>
      </x:c>
      <x:c r="H17" s="13" t="str">
        <x:v>RENDERER_REGISTERED</x:v>
      </x:c>
      <x:c r="I17" s="13" t="str">
        <x:v>capital-planning-configuration</x:v>
      </x:c>
      <x:c r="J17" s="13" t="str">
        <x:v>ADMIN_CONFIGURATION. STATIC_METADATA_NOT_BUSINESS_UAT</x:v>
      </x:c>
    </x:row>
    <x:row r="18" ht="42" customHeight="1">
      <x:c r="A18" s="14" t="str">
        <x:v>FE-11</x:v>
      </x:c>
      <x:c r="B18" s="6" t="str">
        <x:v>PANTALLA</x:v>
      </x:c>
      <x:c r="C18" s="6" t="str">
        <x:v>/app/admin/strategy/strategic-capital-bucket-configuration</x:v>
      </x:c>
      <x:c r="D18" s="6" t="str">
        <x:v>ADMIN</x:v>
      </x:c>
      <x:c r="E18" s="6" t="str">
        <x:v>frontend/src/features/capital-planning/CapitalPlanningAdminView.tsx</x:v>
      </x:c>
      <x:c r="F18" s="6" t="str">
        <x:v>Strategic Capital Planning &amp; Demand Configuration &gt; Strategic Capital Buckets</x:v>
      </x:c>
      <x:c r="G18" s="6" t="str">
        <x:v>can_configure</x:v>
      </x:c>
      <x:c r="H18" s="6" t="str">
        <x:v>RENDERER_REGISTERED</x:v>
      </x:c>
      <x:c r="I18" s="6" t="str">
        <x:v>strategic-capital-bucket-configuration</x:v>
      </x:c>
      <x:c r="J18" s="6" t="str">
        <x:v>ADMIN_CONFIGURATION. STATIC_METADATA_NOT_BUSINESS_UAT</x:v>
      </x:c>
    </x:row>
    <x:row r="19" ht="42" customHeight="1">
      <x:c r="A19" s="15" t="str">
        <x:v>FE-12</x:v>
      </x:c>
      <x:c r="B19" s="13" t="str">
        <x:v>PANTALLA</x:v>
      </x:c>
      <x:c r="C19" s="13" t="str">
        <x:v>/app/admin/strategy/idea-demand-configuration</x:v>
      </x:c>
      <x:c r="D19" s="13" t="str">
        <x:v>ADMIN</x:v>
      </x:c>
      <x:c r="E19" s="13" t="str">
        <x:v>frontend/src/features/idea-demand/IdeaDemandAdminView.tsx</x:v>
      </x:c>
      <x:c r="F19" s="13" t="str">
        <x:v>Investment Origination &amp; Shaping Configuration &gt; Idea &amp; Demand Configuration</x:v>
      </x:c>
      <x:c r="G19" s="13" t="str">
        <x:v>can_configure</x:v>
      </x:c>
      <x:c r="H19" s="13" t="str">
        <x:v>RENDERER_REGISTERED</x:v>
      </x:c>
      <x:c r="I19" s="13" t="str">
        <x:v>idea-demand-configuration</x:v>
      </x:c>
      <x:c r="J19" s="13" t="str">
        <x:v>ADMIN_CONFIGURATION. STATIC_METADATA_NOT_BUSINESS_UAT</x:v>
      </x:c>
    </x:row>
    <x:row r="20" ht="53" customHeight="1">
      <x:c r="A20" s="14" t="str">
        <x:v>FE-13</x:v>
      </x:c>
      <x:c r="B20" s="6" t="str">
        <x:v>PANTALLA</x:v>
      </x:c>
      <x:c r="C20" s="6" t="str">
        <x:v>/app/admin/strategy/business-analysis-configuration</x:v>
      </x:c>
      <x:c r="D20" s="6" t="str">
        <x:v>ADMIN</x:v>
      </x:c>
      <x:c r="E20" s="6" t="str">
        <x:v>frontend/src/features/business-analysis/BusinessAnalysisAdminView.tsx</x:v>
      </x:c>
      <x:c r="F20" s="6" t="str">
        <x:v>Investment Origination &amp; Shaping Configuration &gt; Business Analysis Configuration</x:v>
      </x:c>
      <x:c r="G20" s="6" t="str">
        <x:v>can_configure</x:v>
      </x:c>
      <x:c r="H20" s="6" t="str">
        <x:v>RENDERER_REGISTERED</x:v>
      </x:c>
      <x:c r="I20" s="6" t="str">
        <x:v>business-analysis-configuration</x:v>
      </x:c>
      <x:c r="J20" s="6" t="str">
        <x:v>ADMIN_CONFIGURATION. STATIC_METADATA_NOT_BUSINESS_UAT</x:v>
      </x:c>
    </x:row>
    <x:row r="21" ht="53" customHeight="1">
      <x:c r="A21" s="15" t="str">
        <x:v>FE-14</x:v>
      </x:c>
      <x:c r="B21" s="13" t="str">
        <x:v>PANTALLA</x:v>
      </x:c>
      <x:c r="C21" s="13" t="str">
        <x:v>/app/admin/strategy/project-proposal-configuration</x:v>
      </x:c>
      <x:c r="D21" s="13" t="str">
        <x:v>ADMIN</x:v>
      </x:c>
      <x:c r="E21" s="13" t="str">
        <x:v>frontend/src/features/project-proposal/ProjectProposalAdminView.tsx</x:v>
      </x:c>
      <x:c r="F21" s="13" t="str">
        <x:v>Investment Origination &amp; Shaping Configuration &gt; Project Proposal Configuration</x:v>
      </x:c>
      <x:c r="G21" s="13" t="str">
        <x:v>can_configure</x:v>
      </x:c>
      <x:c r="H21" s="13" t="str">
        <x:v>RENDERER_REGISTERED</x:v>
      </x:c>
      <x:c r="I21" s="13" t="str">
        <x:v>project-proposal-configuration</x:v>
      </x:c>
      <x:c r="J21" s="13" t="str">
        <x:v>ADMIN_CONFIGURATION. STATIC_METADATA_NOT_BUSINESS_UAT</x:v>
      </x:c>
    </x:row>
    <x:row r="22" ht="42" customHeight="1">
      <x:c r="A22" s="14" t="str">
        <x:v>FE-15</x:v>
      </x:c>
      <x:c r="B22" s="6" t="str">
        <x:v>PANTALLA</x:v>
      </x:c>
      <x:c r="C22" s="6" t="str">
        <x:v>/app/admin/strategy/strategic-gate-configuration</x:v>
      </x:c>
      <x:c r="D22" s="6" t="str">
        <x:v>ADMIN</x:v>
      </x:c>
      <x:c r="E22" s="6" t="str">
        <x:v>frontend/src/features/strategic-gate/StrategicGateAdminView.tsx</x:v>
      </x:c>
      <x:c r="F22" s="6" t="str">
        <x:v>Strategic Gate Decision Configuration &gt; Strategic Gate Decision Configuration</x:v>
      </x:c>
      <x:c r="G22" s="6" t="str">
        <x:v>can_configure</x:v>
      </x:c>
      <x:c r="H22" s="6" t="str">
        <x:v>RENDERER_REGISTERED</x:v>
      </x:c>
      <x:c r="I22" s="6" t="str">
        <x:v>strategic-gate-configuration</x:v>
      </x:c>
      <x:c r="J22" s="6" t="str">
        <x:v>ADMIN_CONFIGURATION. STATIC_METADATA_NOT_BUSINESS_UAT</x:v>
      </x:c>
    </x:row>
    <x:row r="23" ht="42" customHeight="1">
      <x:c r="A23" s="15" t="str">
        <x:v>FE-16</x:v>
      </x:c>
      <x:c r="B23" s="13" t="str">
        <x:v>PANTALLA</x:v>
      </x:c>
      <x:c r="C23" s="13" t="str">
        <x:v>/app/admin/strategy/portfolio-planning-configuration</x:v>
      </x:c>
      <x:c r="D23" s="13" t="str">
        <x:v>ADMIN</x:v>
      </x:c>
      <x:c r="E23" s="13" t="str">
        <x:v>frontend/src/features/portfolio-planning/PortfolioPlanningAdminView.tsx</x:v>
      </x:c>
      <x:c r="F23" s="13" t="str">
        <x:v>Portfolio Planning &amp; Review Configuration &gt; Portfolio Intake</x:v>
      </x:c>
      <x:c r="G23" s="13" t="str">
        <x:v>can_configure</x:v>
      </x:c>
      <x:c r="H23" s="13" t="str">
        <x:v>RENDERER_REGISTERED</x:v>
      </x:c>
      <x:c r="I23" s="13" t="str">
        <x:v>portfolio-planning-configuration</x:v>
      </x:c>
      <x:c r="J23" s="13" t="str">
        <x:v>ADMIN_CONFIGURATION. STATIC_METADATA_NOT_BUSINESS_UAT</x:v>
      </x:c>
    </x:row>
    <x:row r="24" ht="42" customHeight="1">
      <x:c r="A24" s="14" t="str">
        <x:v>FE-17</x:v>
      </x:c>
      <x:c r="B24" s="6" t="str">
        <x:v>PANTALLA</x:v>
      </x:c>
      <x:c r="C24" s="6" t="str">
        <x:v>/app/admin/strategy/portfolio-evaluation-configuration</x:v>
      </x:c>
      <x:c r="D24" s="6" t="str">
        <x:v>ADMIN</x:v>
      </x:c>
      <x:c r="E24" s="6" t="str">
        <x:v>frontend/src/features/portfolio-evaluation/PortfolioEvaluationAdminView.tsx</x:v>
      </x:c>
      <x:c r="F24" s="6" t="str">
        <x:v>Portfolio Planning &amp; Review Configuration &gt; Evaluation &amp; Prioritization</x:v>
      </x:c>
      <x:c r="G24" s="6" t="str">
        <x:v>can_configure</x:v>
      </x:c>
      <x:c r="H24" s="6" t="str">
        <x:v>RENDERER_REGISTERED</x:v>
      </x:c>
      <x:c r="I24" s="6" t="str">
        <x:v>portfolio-evaluation-configuration</x:v>
      </x:c>
      <x:c r="J24" s="6" t="str">
        <x:v>ADMIN_CONFIGURATION. STATIC_METADATA_NOT_BUSINESS_UAT</x:v>
      </x:c>
    </x:row>
    <x:row r="25" ht="42" customHeight="1">
      <x:c r="A25" s="15" t="str">
        <x:v>FE-18</x:v>
      </x:c>
      <x:c r="B25" s="13" t="str">
        <x:v>PANTALLA</x:v>
      </x:c>
      <x:c r="C25" s="13" t="str">
        <x:v>/app/admin/strategy/portfolio-analysis-configuration</x:v>
      </x:c>
      <x:c r="D25" s="13" t="str">
        <x:v>ADMIN</x:v>
      </x:c>
      <x:c r="E25" s="13" t="str">
        <x:v>frontend/src/features/portfolio-analysis/PortfolioAnalysisAdminView.tsx</x:v>
      </x:c>
      <x:c r="F25" s="13" t="str">
        <x:v>Portfolio Planning &amp; Review Configuration &gt; Portfolio Analysis</x:v>
      </x:c>
      <x:c r="G25" s="13" t="str">
        <x:v>can_configure</x:v>
      </x:c>
      <x:c r="H25" s="13" t="str">
        <x:v>RENDERER_REGISTERED</x:v>
      </x:c>
      <x:c r="I25" s="13" t="str">
        <x:v>portfolio-analysis-configuration</x:v>
      </x:c>
      <x:c r="J25" s="13" t="str">
        <x:v>ADMIN_CONFIGURATION. STATIC_METADATA_NOT_BUSINESS_UAT</x:v>
      </x:c>
    </x:row>
    <x:row r="26" ht="42" customHeight="1">
      <x:c r="A26" s="14" t="str">
        <x:v>FE-19</x:v>
      </x:c>
      <x:c r="B26" s="6" t="str">
        <x:v>PANTALLA</x:v>
      </x:c>
      <x:c r="C26" s="6" t="str">
        <x:v>/app/admin/strategy/portfolio-review-configuration</x:v>
      </x:c>
      <x:c r="D26" s="6" t="str">
        <x:v>ADMIN</x:v>
      </x:c>
      <x:c r="E26" s="6" t="str">
        <x:v>frontend/src/features/portfolio-review/PortfolioReviewAdminView.tsx</x:v>
      </x:c>
      <x:c r="F26" s="6" t="str">
        <x:v>Portfolio Planning &amp; Review Configuration &gt; Periodic Portfolio Review</x:v>
      </x:c>
      <x:c r="G26" s="6" t="str">
        <x:v>can_configure</x:v>
      </x:c>
      <x:c r="H26" s="6" t="str">
        <x:v>RENDERER_REGISTERED</x:v>
      </x:c>
      <x:c r="I26" s="6" t="str">
        <x:v>portfolio-review-configuration</x:v>
      </x:c>
      <x:c r="J26" s="6" t="str">
        <x:v>ADMIN_CONFIGURATION. STATIC_METADATA_NOT_BUSINESS_UAT</x:v>
      </x:c>
    </x:row>
    <x:row r="27" ht="42" customHeight="1">
      <x:c r="A27" s="15" t="str">
        <x:v>FE-20</x:v>
      </x:c>
      <x:c r="B27" s="13" t="str">
        <x:v>PANTALLA</x:v>
      </x:c>
      <x:c r="C27" s="13" t="str">
        <x:v>/app/admin/strategy/portfolio-budget-planning-configuration</x:v>
      </x:c>
      <x:c r="D27" s="13" t="str">
        <x:v>ADMIN</x:v>
      </x:c>
      <x:c r="E27" s="13" t="str">
        <x:v>frontend/src/features/portfolio-budget/PortfolioBudgetAdminView.tsx</x:v>
      </x:c>
      <x:c r="F27" s="13" t="str">
        <x:v>Portfolio Scenario Planning Configuration &gt; Budget Planning</x:v>
      </x:c>
      <x:c r="G27" s="13" t="str">
        <x:v>can_configure</x:v>
      </x:c>
      <x:c r="H27" s="13" t="str">
        <x:v>RENDERER_REGISTERED</x:v>
      </x:c>
      <x:c r="I27" s="13" t="str">
        <x:v>portfolio-budget-planning-configuration</x:v>
      </x:c>
      <x:c r="J27" s="13" t="str">
        <x:v>ADMIN_CONFIGURATION. STATIC_METADATA_NOT_BUSINESS_UAT</x:v>
      </x:c>
    </x:row>
    <x:row r="28" ht="42" customHeight="1">
      <x:c r="A28" s="14" t="str">
        <x:v>FE-21</x:v>
      </x:c>
      <x:c r="B28" s="6" t="str">
        <x:v>PANTALLA</x:v>
      </x:c>
      <x:c r="C28" s="6" t="str">
        <x:v>/app/admin/strategy/portfolio-resource-planning-configuration</x:v>
      </x:c>
      <x:c r="D28" s="6" t="str">
        <x:v>ADMIN</x:v>
      </x:c>
      <x:c r="E28" s="6" t="str">
        <x:v>frontend/src/features/portfolio-resource/PortfolioResourceAdminView.tsx</x:v>
      </x:c>
      <x:c r="F28" s="6" t="str">
        <x:v>Portfolio Scenario Planning Configuration &gt; Resource Planning</x:v>
      </x:c>
      <x:c r="G28" s="6" t="str">
        <x:v>can_configure</x:v>
      </x:c>
      <x:c r="H28" s="6" t="str">
        <x:v>RENDERER_REGISTERED</x:v>
      </x:c>
      <x:c r="I28" s="6" t="str">
        <x:v>portfolio-resource-planning-configuration</x:v>
      </x:c>
      <x:c r="J28" s="6" t="str">
        <x:v>ADMIN_CONFIGURATION. STATIC_METADATA_NOT_BUSINESS_UAT</x:v>
      </x:c>
    </x:row>
    <x:row r="29" ht="42" customHeight="1">
      <x:c r="A29" s="15" t="str">
        <x:v>FE-22</x:v>
      </x:c>
      <x:c r="B29" s="13" t="str">
        <x:v>PANTALLA</x:v>
      </x:c>
      <x:c r="C29" s="13" t="str">
        <x:v>/app/admin/strategy/portfolio-scenario-convergence-configuration</x:v>
      </x:c>
      <x:c r="D29" s="13" t="str">
        <x:v>ADMIN</x:v>
      </x:c>
      <x:c r="E29" s="13" t="str">
        <x:v>frontend/src/features/portfolio-convergence/PortfolioConvergenceAdminView.tsx</x:v>
      </x:c>
      <x:c r="F29" s="13" t="str">
        <x:v>Portfolio Scenario Planning Configuration &gt; Scenario Convergence</x:v>
      </x:c>
      <x:c r="G29" s="13" t="str">
        <x:v>can_configure</x:v>
      </x:c>
      <x:c r="H29" s="13" t="str">
        <x:v>RENDERER_REGISTERED</x:v>
      </x:c>
      <x:c r="I29" s="13" t="str">
        <x:v>portfolio-scenario-convergence-configuration</x:v>
      </x:c>
      <x:c r="J29" s="13" t="str">
        <x:v>ADMIN_CONFIGURATION. STATIC_METADATA_NOT_BUSINESS_UAT</x:v>
      </x:c>
    </x:row>
    <x:row r="30" ht="42" customHeight="1">
      <x:c r="A30" s="14" t="str">
        <x:v>FE-23</x:v>
      </x:c>
      <x:c r="B30" s="6" t="str">
        <x:v>PANTALLA</x:v>
      </x:c>
      <x:c r="C30" s="6" t="str">
        <x:v>/app/admin/strategy/project-definition-configuration</x:v>
      </x:c>
      <x:c r="D30" s="6" t="str">
        <x:v>ADMIN</x:v>
      </x:c>
      <x:c r="E30" s="6" t="str">
        <x:v>frontend/src/features/project-definition/ProjectDefinitionAdminView.tsx</x:v>
      </x:c>
      <x:c r="F30" s="6" t="str">
        <x:v>Project Definition &amp; Investment Case &gt; Project Definition / FEL</x:v>
      </x:c>
      <x:c r="G30" s="6" t="str">
        <x:v>can_configure</x:v>
      </x:c>
      <x:c r="H30" s="6" t="str">
        <x:v>RENDERER_REGISTERED</x:v>
      </x:c>
      <x:c r="I30" s="6" t="str">
        <x:v>project-definition-configuration</x:v>
      </x:c>
      <x:c r="J30" s="6" t="str">
        <x:v>ADMIN_CONFIGURATION. STATIC_METADATA_NOT_BUSINESS_UAT</x:v>
      </x:c>
    </x:row>
    <x:row r="31" ht="42" customHeight="1">
      <x:c r="A31" s="15" t="str">
        <x:v>FE-24</x:v>
      </x:c>
      <x:c r="B31" s="13" t="str">
        <x:v>PANTALLA</x:v>
      </x:c>
      <x:c r="C31" s="13" t="str">
        <x:v>/app/admin/strategy/business-case-configuration</x:v>
      </x:c>
      <x:c r="D31" s="13" t="str">
        <x:v>ADMIN</x:v>
      </x:c>
      <x:c r="E31" s="13" t="str">
        <x:v>frontend/src/features/business-case/BusinessCaseAdminView.tsx</x:v>
      </x:c>
      <x:c r="F31" s="13" t="str">
        <x:v>Project Definition &amp; Investment Case &gt; Business Case Manager</x:v>
      </x:c>
      <x:c r="G31" s="13" t="str">
        <x:v>can_configure</x:v>
      </x:c>
      <x:c r="H31" s="13" t="str">
        <x:v>RENDERER_REGISTERED</x:v>
      </x:c>
      <x:c r="I31" s="13" t="str">
        <x:v>business-case-configuration</x:v>
      </x:c>
      <x:c r="J31" s="13" t="str">
        <x:v>ADMIN_CONFIGURATION. STATIC_METADATA_NOT_BUSINESS_UAT</x:v>
      </x:c>
    </x:row>
    <x:row r="32" ht="42" customHeight="1">
      <x:c r="A32" s="14" t="str">
        <x:v>FE-25</x:v>
      </x:c>
      <x:c r="B32" s="6" t="str">
        <x:v>PANTALLA</x:v>
      </x:c>
      <x:c r="C32" s="6" t="str">
        <x:v>/app/admin/strategy/benefits-configuration</x:v>
      </x:c>
      <x:c r="D32" s="6" t="str">
        <x:v>ADMIN</x:v>
      </x:c>
      <x:c r="E32" s="6" t="str">
        <x:v>frontend/src/features/strategic-benefits/StrategicBenefitsAdminView.tsx</x:v>
      </x:c>
      <x:c r="F32" s="6" t="str">
        <x:v>Project Definition &amp; Investment Case &gt; Benefits Configuration</x:v>
      </x:c>
      <x:c r="G32" s="6" t="str">
        <x:v>can_configure</x:v>
      </x:c>
      <x:c r="H32" s="6" t="str">
        <x:v>RENDERER_REGISTERED</x:v>
      </x:c>
      <x:c r="I32" s="6" t="str">
        <x:v>benefits-configuration</x:v>
      </x:c>
      <x:c r="J32" s="6" t="str">
        <x:v>ADMIN_CONFIGURATION. STATIC_METADATA_NOT_BUSINESS_UAT</x:v>
      </x:c>
    </x:row>
    <x:row r="33" ht="42" customHeight="1">
      <x:c r="A33" s="15" t="str">
        <x:v>FE-26</x:v>
      </x:c>
      <x:c r="B33" s="13" t="str">
        <x:v>PANTALLA</x:v>
      </x:c>
      <x:c r="C33" s="13" t="str">
        <x:v>/app/admin/strategy/commercial-strategy-configuration</x:v>
      </x:c>
      <x:c r="D33" s="13" t="str">
        <x:v>ADMIN</x:v>
      </x:c>
      <x:c r="E33" s="13" t="str">
        <x:v>frontend/src/features/commercial-strategy/CommercialStrategyAdminView.tsx</x:v>
      </x:c>
      <x:c r="F33" s="13" t="str">
        <x:v>Project Definition &amp; Investment Case &gt; Commercial Strategy Configuration</x:v>
      </x:c>
      <x:c r="G33" s="13" t="str">
        <x:v>can_configure</x:v>
      </x:c>
      <x:c r="H33" s="13" t="str">
        <x:v>RENDERER_REGISTERED</x:v>
      </x:c>
      <x:c r="I33" s="13" t="str">
        <x:v>commercial-strategy-configuration</x:v>
      </x:c>
      <x:c r="J33" s="13" t="str">
        <x:v>ADMIN_CONFIGURATION. STATIC_METADATA_NOT_BUSINESS_UAT</x:v>
      </x:c>
    </x:row>
    <x:row r="34" ht="42" customHeight="1">
      <x:c r="A34" s="14" t="str">
        <x:v>FE-27</x:v>
      </x:c>
      <x:c r="B34" s="6" t="str">
        <x:v>PANTALLA</x:v>
      </x:c>
      <x:c r="C34" s="6" t="str">
        <x:v>/app/admin/strategy/funds-manager-configuration</x:v>
      </x:c>
      <x:c r="D34" s="6" t="str">
        <x:v>ADMIN</x:v>
      </x:c>
      <x:c r="E34" s="6" t="str">
        <x:v>frontend/src/features/funds-manager/FundsManagerAdminView.tsx</x:v>
      </x:c>
      <x:c r="F34" s="6" t="str">
        <x:v>Project Definition &amp; Investment Case &gt; Funds &amp; Funding Readiness</x:v>
      </x:c>
      <x:c r="G34" s="6" t="str">
        <x:v>can_configure</x:v>
      </x:c>
      <x:c r="H34" s="6" t="str">
        <x:v>RENDERER_REGISTERED</x:v>
      </x:c>
      <x:c r="I34" s="6" t="str">
        <x:v>funds-manager-configuration</x:v>
      </x:c>
      <x:c r="J34" s="6" t="str">
        <x:v>ADMIN_CONFIGURATION. STATIC_METADATA_NOT_BUSINESS_UAT</x:v>
      </x:c>
    </x:row>
    <x:row r="35" ht="42" customHeight="1">
      <x:c r="A35" s="15" t="str">
        <x:v>FE-28</x:v>
      </x:c>
      <x:c r="B35" s="13" t="str">
        <x:v>PANTALLA</x:v>
      </x:c>
      <x:c r="C35" s="13" t="str">
        <x:v>/app/admin/strategy/financial-model-configuration</x:v>
      </x:c>
      <x:c r="D35" s="13" t="str">
        <x:v>ADMIN</x:v>
      </x:c>
      <x:c r="E35" s="13" t="str">
        <x:v>frontend/src/features/economic-financial-model/EconomicFinancialModelAdminView.tsx</x:v>
      </x:c>
      <x:c r="F35" s="13" t="str">
        <x:v>Project Definition &amp; Investment Case &gt; Economic &amp; Financial Model</x:v>
      </x:c>
      <x:c r="G35" s="13" t="str">
        <x:v>can_configure</x:v>
      </x:c>
      <x:c r="H35" s="13" t="str">
        <x:v>RENDERER_REGISTERED</x:v>
      </x:c>
      <x:c r="I35" s="13" t="str">
        <x:v>financial-model-configuration</x:v>
      </x:c>
      <x:c r="J35" s="13" t="str">
        <x:v>ADMIN_CONFIGURATION. STATIC_METADATA_NOT_BUSINESS_UAT</x:v>
      </x:c>
    </x:row>
    <x:row r="36" ht="42" customHeight="1">
      <x:c r="A36" s="14" t="str">
        <x:v>FE-29</x:v>
      </x:c>
      <x:c r="B36" s="6" t="str">
        <x:v>PANTALLA</x:v>
      </x:c>
      <x:c r="C36" s="6" t="str">
        <x:v>/app/admin/strategy/risk-readiness-configuration</x:v>
      </x:c>
      <x:c r="D36" s="6" t="str">
        <x:v>ADMIN</x:v>
      </x:c>
      <x:c r="E36" s="6" t="str">
        <x:v>frontend/src/features/risk-readiness/RiskReadinessAdminView.tsx</x:v>
      </x:c>
      <x:c r="F36" s="6" t="str">
        <x:v>Project Definition &amp; Investment Case &gt; Risk Readiness</x:v>
      </x:c>
      <x:c r="G36" s="6" t="str">
        <x:v>can_configure</x:v>
      </x:c>
      <x:c r="H36" s="6" t="str">
        <x:v>RENDERER_REGISTERED</x:v>
      </x:c>
      <x:c r="I36" s="6" t="str">
        <x:v>risk-readiness-configuration</x:v>
      </x:c>
      <x:c r="J36" s="6" t="str">
        <x:v>ADMIN_CONFIGURATION. STATIC_METADATA_NOT_BUSINESS_UAT</x:v>
      </x:c>
    </x:row>
    <x:row r="37" ht="42" customHeight="1">
      <x:c r="A37" s="15" t="str">
        <x:v>FE-30</x:v>
      </x:c>
      <x:c r="B37" s="13" t="str">
        <x:v>PANTALLA</x:v>
      </x:c>
      <x:c r="C37" s="13" t="str">
        <x:v>/app/admin/strategy/permit-readiness-configuration</x:v>
      </x:c>
      <x:c r="D37" s="13" t="str">
        <x:v>ADMIN</x:v>
      </x:c>
      <x:c r="E37" s="13" t="str">
        <x:v>frontend/src/features/permit-readiness/PermitReadinessAdminView.tsx</x:v>
      </x:c>
      <x:c r="F37" s="13" t="str">
        <x:v>Project Definition &amp; Investment Case &gt; Permit Readiness</x:v>
      </x:c>
      <x:c r="G37" s="13" t="str">
        <x:v>can_configure</x:v>
      </x:c>
      <x:c r="H37" s="13" t="str">
        <x:v>RENDERER_REGISTERED</x:v>
      </x:c>
      <x:c r="I37" s="13" t="str">
        <x:v>permit-readiness-configuration</x:v>
      </x:c>
      <x:c r="J37" s="13" t="str">
        <x:v>ADMIN_CONFIGURATION. STATIC_METADATA_NOT_BUSINESS_UAT</x:v>
      </x:c>
    </x:row>
    <x:row r="38" ht="42" customHeight="1">
      <x:c r="A38" s="14" t="str">
        <x:v>FE-31</x:v>
      </x:c>
      <x:c r="B38" s="6" t="str">
        <x:v>PANTALLA</x:v>
      </x:c>
      <x:c r="C38" s="6" t="str">
        <x:v>/app/admin/strategy/basic-data-configuration</x:v>
      </x:c>
      <x:c r="D38" s="6" t="str">
        <x:v>ADMIN</x:v>
      </x:c>
      <x:c r="E38" s="6" t="str">
        <x:v>frontend/src/features/basic-data/BasicDataAdminView.tsx</x:v>
      </x:c>
      <x:c r="F38" s="6" t="str">
        <x:v>Project Definition &amp; Investment Case &gt; Basic Data Readiness Configuration</x:v>
      </x:c>
      <x:c r="G38" s="6" t="str">
        <x:v>can_configure</x:v>
      </x:c>
      <x:c r="H38" s="6" t="str">
        <x:v>RENDERER_REGISTERED</x:v>
      </x:c>
      <x:c r="I38" s="6" t="str">
        <x:v>basic-data-configuration</x:v>
      </x:c>
      <x:c r="J38" s="6" t="str">
        <x:v>ADMIN_CONFIGURATION. STATIC_METADATA_NOT_BUSINESS_UAT</x:v>
      </x:c>
    </x:row>
    <x:row r="39" ht="53" customHeight="1">
      <x:c r="A39" s="15" t="str">
        <x:v>FE-32</x:v>
      </x:c>
      <x:c r="B39" s="13" t="str">
        <x:v>PANTALLA</x:v>
      </x:c>
      <x:c r="C39" s="13" t="str">
        <x:v>/app/admin/strategy/owner-capability-configuration</x:v>
      </x:c>
      <x:c r="D39" s="13" t="str">
        <x:v>ADMIN</x:v>
      </x:c>
      <x:c r="E39" s="13" t="str">
        <x:v>frontend/src/features/owner-capability/OwnerCapabilityAdminView.tsx</x:v>
      </x:c>
      <x:c r="F39" s="13" t="str">
        <x:v>Project Definition &amp; Investment Case &gt; Owner Capability Readiness Configuration</x:v>
      </x:c>
      <x:c r="G39" s="13" t="str">
        <x:v>can_configure</x:v>
      </x:c>
      <x:c r="H39" s="13" t="str">
        <x:v>RENDERER_REGISTERED</x:v>
      </x:c>
      <x:c r="I39" s="13" t="str">
        <x:v>owner-capability-configuration</x:v>
      </x:c>
      <x:c r="J39" s="13" t="str">
        <x:v>ADMIN_CONFIGURATION. STATIC_METADATA_NOT_BUSINESS_UAT</x:v>
      </x:c>
    </x:row>
    <x:row r="40" ht="42" customHeight="1">
      <x:c r="A40" s="14" t="str">
        <x:v>FE-33</x:v>
      </x:c>
      <x:c r="B40" s="6" t="str">
        <x:v>PANTALLA</x:v>
      </x:c>
      <x:c r="C40" s="6" t="str">
        <x:v>/app/admin/strategy/qra-methodology-source-readiness</x:v>
      </x:c>
      <x:c r="D40" s="6" t="str">
        <x:v>ADMIN</x:v>
      </x:c>
      <x:c r="E40" s="6" t="str">
        <x:v>frontend/src/features/qra-foundation/QraFoundationAdminView.tsx</x:v>
      </x:c>
      <x:c r="F40" s="6" t="str">
        <x:v>Project Definition &amp; Investment Case &gt; QRA Methodology &amp; Source Readiness</x:v>
      </x:c>
      <x:c r="G40" s="6" t="str">
        <x:v>can_configure</x:v>
      </x:c>
      <x:c r="H40" s="6" t="str">
        <x:v>RENDERER_REGISTERED</x:v>
      </x:c>
      <x:c r="I40" s="6" t="str">
        <x:v>qra-methodology-source-readiness</x:v>
      </x:c>
      <x:c r="J40" s="6" t="str">
        <x:v>ADMIN_CONFIGURATION. STATIC_METADATA_NOT_BUSINESS_UAT</x:v>
      </x:c>
    </x:row>
    <x:row r="41" ht="42" customHeight="1">
      <x:c r="A41" s="15" t="str">
        <x:v>FE-34</x:v>
      </x:c>
      <x:c r="B41" s="13" t="str">
        <x:v>PANTALLA</x:v>
      </x:c>
      <x:c r="C41" s="13" t="str">
        <x:v>/app/admin/strategy/investment-decision-evidence-policy</x:v>
      </x:c>
      <x:c r="D41" s="13" t="str">
        <x:v>ADMIN</x:v>
      </x:c>
      <x:c r="E41" s="13" t="str">
        <x:v>frontend/src/features/investment-evidence-policy/InvestmentEvidencePolicyAdminView.tsx</x:v>
      </x:c>
      <x:c r="F41" s="13" t="str">
        <x:v>Investment Governance &gt; Evidence &amp; Decision Policy</x:v>
      </x:c>
      <x:c r="G41" s="13" t="str">
        <x:v>can_configure</x:v>
      </x:c>
      <x:c r="H41" s="13" t="str">
        <x:v>RENDERER_REGISTERED</x:v>
      </x:c>
      <x:c r="I41" s="13" t="str">
        <x:v>investment-decision-evidence-policy</x:v>
      </x:c>
      <x:c r="J41" s="13" t="str">
        <x:v>ADMIN_CONFIGURATION. STATIC_METADATA_NOT_BUSINESS_UAT</x:v>
      </x:c>
    </x:row>
    <x:row r="42" ht="42" customHeight="1">
      <x:c r="A42" s="14" t="str">
        <x:v>FE-35</x:v>
      </x:c>
      <x:c r="B42" s="6" t="str">
        <x:v>PANTALLA</x:v>
      </x:c>
      <x:c r="C42" s="6" t="str">
        <x:v>/app/admin/strategy/investment-gate-preparation-configuration</x:v>
      </x:c>
      <x:c r="D42" s="6" t="str">
        <x:v>ADMIN</x:v>
      </x:c>
      <x:c r="E42" s="6" t="str">
        <x:v>frontend/src/features/investment-gate-preparation/InvestmentGatePreparationAdminView.tsx</x:v>
      </x:c>
      <x:c r="F42" s="6" t="str">
        <x:v>Investment Governance &gt; Investment Gate Preparation</x:v>
      </x:c>
      <x:c r="G42" s="6" t="str">
        <x:v>can_configure</x:v>
      </x:c>
      <x:c r="H42" s="6" t="str">
        <x:v>RENDERER_REGISTERED</x:v>
      </x:c>
      <x:c r="I42" s="6" t="str">
        <x:v>investment-gate-preparation-configuration</x:v>
      </x:c>
      <x:c r="J42" s="6" t="str">
        <x:v>ADMIN_CONFIGURATION. STATIC_METADATA_NOT_BUSINESS_UAT</x:v>
      </x:c>
    </x:row>
    <x:row r="43" ht="42" customHeight="1">
      <x:c r="A43" s="15" t="str">
        <x:v>FE-36</x:v>
      </x:c>
      <x:c r="B43" s="13" t="str">
        <x:v>PANTALLA</x:v>
      </x:c>
      <x:c r="C43" s="13" t="str">
        <x:v>/app/admin/strategy/investment-decision-configuration</x:v>
      </x:c>
      <x:c r="D43" s="13" t="str">
        <x:v>ADMIN</x:v>
      </x:c>
      <x:c r="E43" s="13" t="str">
        <x:v>frontend/src/features/investment-decision/InvestmentDecisionAdminView.tsx</x:v>
      </x:c>
      <x:c r="F43" s="13" t="str">
        <x:v>Investment Governance &gt; Investment Decision / FID</x:v>
      </x:c>
      <x:c r="G43" s="13" t="str">
        <x:v>can_configure</x:v>
      </x:c>
      <x:c r="H43" s="13" t="str">
        <x:v>RENDERER_REGISTERED</x:v>
      </x:c>
      <x:c r="I43" s="13" t="str">
        <x:v>investment-decision-configuration</x:v>
      </x:c>
      <x:c r="J43" s="13" t="str">
        <x:v>ADMIN_CONFIGURATION. STATIC_METADATA_NOT_BUSINESS_UAT</x:v>
      </x:c>
    </x:row>
    <x:row r="44" ht="42" customHeight="1">
      <x:c r="A44" s="14" t="str">
        <x:v>FE-37</x:v>
      </x:c>
      <x:c r="B44" s="6" t="str">
        <x:v>PANTALLA</x:v>
      </x:c>
      <x:c r="C44" s="6" t="str">
        <x:v>/app/admin/strategy/post-fid-governance-configuration</x:v>
      </x:c>
      <x:c r="D44" s="6" t="str">
        <x:v>ADMIN</x:v>
      </x:c>
      <x:c r="E44" s="6" t="str">
        <x:v>frontend/src/features/post-fid-governance/PostFIDGovernanceAdminView.tsx</x:v>
      </x:c>
      <x:c r="F44" s="6" t="str">
        <x:v>Investment Governance &gt; Post-FID Project Governance</x:v>
      </x:c>
      <x:c r="G44" s="6" t="str">
        <x:v>can_configure</x:v>
      </x:c>
      <x:c r="H44" s="6" t="str">
        <x:v>RENDERER_REGISTERED</x:v>
      </x:c>
      <x:c r="I44" s="6" t="str">
        <x:v>post-fid-governance-configuration</x:v>
      </x:c>
      <x:c r="J44" s="6" t="str">
        <x:v>ADMIN_CONFIGURATION. STATIC_METADATA_NOT_BUSINESS_UAT</x:v>
      </x:c>
    </x:row>
    <x:row r="45" ht="42" customHeight="1">
      <x:c r="A45" s="15" t="str">
        <x:v>FE-38</x:v>
      </x:c>
      <x:c r="B45" s="13" t="str">
        <x:v>PANTALLA</x:v>
      </x:c>
      <x:c r="C45" s="13" t="str">
        <x:v>/app/strategy/enterprise-strategy-overview</x:v>
      </x:c>
      <x:c r="D45" s="13" t="str">
        <x:v>USER</x:v>
      </x:c>
      <x:c r="E45" s="13" t="str">
        <x:v>frontend/src/features/enterprise-strategy/EnterpriseStrategyLanding.tsx</x:v>
      </x:c>
      <x:c r="F45" s="13" t="str">
        <x:v>Enterprise Foundation &gt; Foundation Status</x:v>
      </x:c>
      <x:c r="G45" s="13" t="str">
        <x:v>authenticated</x:v>
      </x:c>
      <x:c r="H45" s="13" t="str">
        <x:v>RENDERER_REGISTERED</x:v>
      </x:c>
      <x:c r="I45" s="13" t="str">
        <x:v>enterprise-strategy-overview</x:v>
      </x:c>
      <x:c r="J45" s="13" t="str">
        <x:v>READ_ONLY_SHARED. STATIC_METADATA_NOT_BUSINESS_UAT</x:v>
      </x:c>
    </x:row>
    <x:row r="46" ht="42" customHeight="1">
      <x:c r="A46" s="14" t="str">
        <x:v>FE-39</x:v>
      </x:c>
      <x:c r="B46" s="6" t="str">
        <x:v>PANTALLA</x:v>
      </x:c>
      <x:c r="C46" s="6" t="str">
        <x:v>/app/strategy/enterprise-explorer</x:v>
      </x:c>
      <x:c r="D46" s="6" t="str">
        <x:v>USER</x:v>
      </x:c>
      <x:c r="E46" s="6" t="str">
        <x:v>frontend/src/features/enterprise-structure/pages/EnterpriseExplorerPage.tsx</x:v>
      </x:c>
      <x:c r="F46" s="6" t="str">
        <x:v>Enterprise Foundation &gt; Enterprise Explorer</x:v>
      </x:c>
      <x:c r="G46" s="6" t="str">
        <x:v>authenticated</x:v>
      </x:c>
      <x:c r="H46" s="6" t="str">
        <x:v>RENDERER_REGISTERED</x:v>
      </x:c>
      <x:c r="I46" s="6" t="str">
        <x:v>enterprise-explorer</x:v>
      </x:c>
      <x:c r="J46" s="6" t="str">
        <x:v>READ_ONLY_SHARED. STATIC_METADATA_NOT_BUSINESS_UAT</x:v>
      </x:c>
    </x:row>
    <x:row r="47" ht="42" customHeight="1">
      <x:c r="A47" s="15" t="str">
        <x:v>FE-40</x:v>
      </x:c>
      <x:c r="B47" s="13" t="str">
        <x:v>PANTALLA</x:v>
      </x:c>
      <x:c r="C47" s="13" t="str">
        <x:v>/app/strategy/workspace-context</x:v>
      </x:c>
      <x:c r="D47" s="13" t="str">
        <x:v>USER</x:v>
      </x:c>
      <x:c r="E47" s="13" t="str">
        <x:v>frontend/src/features/workspace-context/MyWorkspacesPanel.tsx</x:v>
      </x:c>
      <x:c r="F47" s="13" t="str">
        <x:v>Enterprise Foundation &gt; Workspace Context</x:v>
      </x:c>
      <x:c r="G47" s="13" t="str">
        <x:v>authenticated</x:v>
      </x:c>
      <x:c r="H47" s="13" t="str">
        <x:v>RENDERER_REGISTERED</x:v>
      </x:c>
      <x:c r="I47" s="13" t="str">
        <x:v>workspace-context</x:v>
      </x:c>
      <x:c r="J47" s="13" t="str">
        <x:v>READ_ONLY_SHARED. STATIC_METADATA_NOT_BUSINESS_UAT</x:v>
      </x:c>
    </x:row>
    <x:row r="48" ht="42" customHeight="1">
      <x:c r="A48" s="14" t="str">
        <x:v>FE-41</x:v>
      </x:c>
      <x:c r="B48" s="6" t="str">
        <x:v>PANTALLA</x:v>
      </x:c>
      <x:c r="C48" s="6" t="str">
        <x:v>/app/strategy/capital-planning-cycles</x:v>
      </x:c>
      <x:c r="D48" s="6" t="str">
        <x:v>USER</x:v>
      </x:c>
      <x:c r="E48" s="6" t="str">
        <x:v>frontend/src/features/capital-planning/CapitalPlanningWorkspace.tsx</x:v>
      </x:c>
      <x:c r="F48" s="6" t="str">
        <x:v>Strategic Capital Planning &amp; Demand &gt; Planning Cycles</x:v>
      </x:c>
      <x:c r="G48" s="6" t="str">
        <x:v>authenticated</x:v>
      </x:c>
      <x:c r="H48" s="6" t="str">
        <x:v>RENDERER_REGISTERED</x:v>
      </x:c>
      <x:c r="I48" s="6" t="str">
        <x:v>capital-planning-cycles</x:v>
      </x:c>
      <x:c r="J48" s="6" t="str">
        <x:v>USER_TRANSACTION. STATIC_METADATA_NOT_BUSINESS_UAT</x:v>
      </x:c>
    </x:row>
    <x:row r="49" ht="42" customHeight="1">
      <x:c r="A49" s="15" t="str">
        <x:v>FE-42</x:v>
      </x:c>
      <x:c r="B49" s="13" t="str">
        <x:v>PANTALLA</x:v>
      </x:c>
      <x:c r="C49" s="13" t="str">
        <x:v>/app/strategy/capital-demand-pipeline</x:v>
      </x:c>
      <x:c r="D49" s="13" t="str">
        <x:v>USER</x:v>
      </x:c>
      <x:c r="E49" s="13" t="str">
        <x:v>frontend/src/features/capital-planning/CapitalPlanningWorkspace.tsx</x:v>
      </x:c>
      <x:c r="F49" s="13" t="str">
        <x:v>Strategic Capital Planning &amp; Demand &gt; Capital Demand Pipeline</x:v>
      </x:c>
      <x:c r="G49" s="13" t="str">
        <x:v>authenticated</x:v>
      </x:c>
      <x:c r="H49" s="13" t="str">
        <x:v>RENDERER_REGISTERED</x:v>
      </x:c>
      <x:c r="I49" s="13" t="str">
        <x:v>capital-demand-pipeline</x:v>
      </x:c>
      <x:c r="J49" s="13" t="str">
        <x:v>USER_TRANSACTION. STATIC_METADATA_NOT_BUSINESS_UAT</x:v>
      </x:c>
    </x:row>
    <x:row r="50" ht="42" customHeight="1">
      <x:c r="A50" s="14" t="str">
        <x:v>FE-43</x:v>
      </x:c>
      <x:c r="B50" s="6" t="str">
        <x:v>PANTALLA</x:v>
      </x:c>
      <x:c r="C50" s="6" t="str">
        <x:v>/app/strategy/capital-demand-my</x:v>
      </x:c>
      <x:c r="D50" s="6" t="str">
        <x:v>USER</x:v>
      </x:c>
      <x:c r="E50" s="6" t="str">
        <x:v>frontend/src/features/capital-planning/CapitalPlanningWorkspace.tsx</x:v>
      </x:c>
      <x:c r="F50" s="6" t="str">
        <x:v>Strategic Capital Planning &amp; Demand &gt; My Demands</x:v>
      </x:c>
      <x:c r="G50" s="6" t="str">
        <x:v>authenticated</x:v>
      </x:c>
      <x:c r="H50" s="6" t="str">
        <x:v>RENDERER_REGISTERED</x:v>
      </x:c>
      <x:c r="I50" s="6" t="str">
        <x:v>capital-demand-my</x:v>
      </x:c>
      <x:c r="J50" s="6" t="str">
        <x:v>USER_TRANSACTION. STATIC_METADATA_NOT_BUSINESS_UAT</x:v>
      </x:c>
    </x:row>
    <x:row r="51" ht="42" customHeight="1">
      <x:c r="A51" s="15" t="str">
        <x:v>FE-44</x:v>
      </x:c>
      <x:c r="B51" s="13" t="str">
        <x:v>PANTALLA</x:v>
      </x:c>
      <x:c r="C51" s="13" t="str">
        <x:v>/app/strategy/capital-demand-review</x:v>
      </x:c>
      <x:c r="D51" s="13" t="str">
        <x:v>USER</x:v>
      </x:c>
      <x:c r="E51" s="13" t="str">
        <x:v>frontend/src/features/capital-planning/CapitalPlanningWorkspace.tsx</x:v>
      </x:c>
      <x:c r="F51" s="13" t="str">
        <x:v>Strategic Capital Planning &amp; Demand &gt; Demands in Review</x:v>
      </x:c>
      <x:c r="G51" s="13" t="str">
        <x:v>authenticated</x:v>
      </x:c>
      <x:c r="H51" s="13" t="str">
        <x:v>RENDERER_REGISTERED</x:v>
      </x:c>
      <x:c r="I51" s="13" t="str">
        <x:v>capital-demand-review</x:v>
      </x:c>
      <x:c r="J51" s="13" t="str">
        <x:v>USER_TRANSACTION. STATIC_METADATA_NOT_BUSINESS_UAT</x:v>
      </x:c>
    </x:row>
    <x:row r="52" ht="42" customHeight="1">
      <x:c r="A52" s="14" t="str">
        <x:v>FE-45</x:v>
      </x:c>
      <x:c r="B52" s="6" t="str">
        <x:v>PANTALLA</x:v>
      </x:c>
      <x:c r="C52" s="6" t="str">
        <x:v>/app/strategy/capital-demand-endorsed</x:v>
      </x:c>
      <x:c r="D52" s="6" t="str">
        <x:v>USER</x:v>
      </x:c>
      <x:c r="E52" s="6" t="str">
        <x:v>frontend/src/features/capital-planning/CapitalPlanningWorkspace.tsx</x:v>
      </x:c>
      <x:c r="F52" s="6" t="str">
        <x:v>Strategic Capital Planning &amp; Demand &gt; Endorsed Demands</x:v>
      </x:c>
      <x:c r="G52" s="6" t="str">
        <x:v>authenticated</x:v>
      </x:c>
      <x:c r="H52" s="6" t="str">
        <x:v>RENDERER_REGISTERED</x:v>
      </x:c>
      <x:c r="I52" s="6" t="str">
        <x:v>capital-demand-endorsed</x:v>
      </x:c>
      <x:c r="J52" s="6" t="str">
        <x:v>USER_TRANSACTION. STATIC_METADATA_NOT_BUSINESS_UAT</x:v>
      </x:c>
    </x:row>
    <x:row r="53" ht="42" customHeight="1">
      <x:c r="A53" s="15" t="str">
        <x:v>FE-46</x:v>
      </x:c>
      <x:c r="B53" s="13" t="str">
        <x:v>PANTALLA</x:v>
      </x:c>
      <x:c r="C53" s="13" t="str">
        <x:v>/app/strategy/capital-demand-history</x:v>
      </x:c>
      <x:c r="D53" s="13" t="str">
        <x:v>USER</x:v>
      </x:c>
      <x:c r="E53" s="13" t="str">
        <x:v>frontend/src/features/capital-planning/CapitalPlanningWorkspace.tsx</x:v>
      </x:c>
      <x:c r="F53" s="13" t="str">
        <x:v>Strategic Capital Planning &amp; Demand &gt; Demand History</x:v>
      </x:c>
      <x:c r="G53" s="13" t="str">
        <x:v>authenticated</x:v>
      </x:c>
      <x:c r="H53" s="13" t="str">
        <x:v>RENDERER_REGISTERED</x:v>
      </x:c>
      <x:c r="I53" s="13" t="str">
        <x:v>capital-demand-history</x:v>
      </x:c>
      <x:c r="J53" s="13" t="str">
        <x:v>READ_ONLY_SHARED. STATIC_METADATA_NOT_BUSINESS_UAT</x:v>
      </x:c>
    </x:row>
    <x:row r="54" ht="42" customHeight="1">
      <x:c r="A54" s="14" t="str">
        <x:v>FE-47</x:v>
      </x:c>
      <x:c r="B54" s="6" t="str">
        <x:v>PANTALLA</x:v>
      </x:c>
      <x:c r="C54" s="6" t="str">
        <x:v>/app/strategy/strategic-capital-allocation</x:v>
      </x:c>
      <x:c r="D54" s="6" t="str">
        <x:v>USER</x:v>
      </x:c>
      <x:c r="E54" s="6" t="str">
        <x:v>frontend/src/features/capital-allocation/StrategicCapitalAllocationWorkspace.tsx</x:v>
      </x:c>
      <x:c r="F54" s="6" t="str">
        <x:v>Strategic Capital Planning &amp; Demand &gt; Strategic Capital Allocation</x:v>
      </x:c>
      <x:c r="G54" s="6" t="str">
        <x:v>authenticated</x:v>
      </x:c>
      <x:c r="H54" s="6" t="str">
        <x:v>RENDERER_REGISTERED</x:v>
      </x:c>
      <x:c r="I54" s="6" t="str">
        <x:v>strategic-capital-allocation</x:v>
      </x:c>
      <x:c r="J54" s="6" t="str">
        <x:v>USER_TRANSACTION. STATIC_METADATA_NOT_BUSINESS_UAT</x:v>
      </x:c>
    </x:row>
    <x:row r="55" ht="42" customHeight="1">
      <x:c r="A55" s="15" t="str">
        <x:v>FE-48</x:v>
      </x:c>
      <x:c r="B55" s="13" t="str">
        <x:v>PANTALLA</x:v>
      </x:c>
      <x:c r="C55" s="13" t="str">
        <x:v>/app/strategy/strategic-capital-allocation-history</x:v>
      </x:c>
      <x:c r="D55" s="13" t="str">
        <x:v>USER</x:v>
      </x:c>
      <x:c r="E55" s="13" t="str">
        <x:v>frontend/src/features/capital-allocation/StrategicCapitalAllocationWorkspace.tsx</x:v>
      </x:c>
      <x:c r="F55" s="13" t="str">
        <x:v>Strategic Capital Planning &amp; Demand &gt; Allocation History</x:v>
      </x:c>
      <x:c r="G55" s="13" t="str">
        <x:v>authenticated</x:v>
      </x:c>
      <x:c r="H55" s="13" t="str">
        <x:v>RENDERER_REGISTERED</x:v>
      </x:c>
      <x:c r="I55" s="13" t="str">
        <x:v>strategic-capital-allocation-history</x:v>
      </x:c>
      <x:c r="J55" s="13" t="str">
        <x:v>READ_ONLY_SHARED. STATIC_METADATA_NOT_BUSINESS_UAT</x:v>
      </x:c>
    </x:row>
    <x:row r="56" ht="42" customHeight="1">
      <x:c r="A56" s="14" t="str">
        <x:v>FE-49</x:v>
      </x:c>
      <x:c r="B56" s="6" t="str">
        <x:v>PANTALLA</x:v>
      </x:c>
      <x:c r="C56" s="6" t="str">
        <x:v>/app/strategy/idea-lifecycle</x:v>
      </x:c>
      <x:c r="D56" s="6" t="str">
        <x:v>USER</x:v>
      </x:c>
      <x:c r="E56" s="6" t="str">
        <x:v>frontend/src/features/idea-demand/IdeaLifecycleWorkspace.tsx</x:v>
      </x:c>
      <x:c r="F56" s="6" t="str">
        <x:v>Investment Origination &amp; Shaping &gt; Idea Lifecycle</x:v>
      </x:c>
      <x:c r="G56" s="6" t="str">
        <x:v>authenticated</x:v>
      </x:c>
      <x:c r="H56" s="6" t="str">
        <x:v>RENDERER_REGISTERED</x:v>
      </x:c>
      <x:c r="I56" s="6" t="str">
        <x:v>idea-lifecycle</x:v>
      </x:c>
      <x:c r="J56" s="6" t="str">
        <x:v>USER_TRANSACTION. STATIC_METADATA_NOT_BUSINESS_UAT</x:v>
      </x:c>
    </x:row>
    <x:row r="57" ht="42" customHeight="1">
      <x:c r="A57" s="15" t="str">
        <x:v>FE-50</x:v>
      </x:c>
      <x:c r="B57" s="13" t="str">
        <x:v>PANTALLA</x:v>
      </x:c>
      <x:c r="C57" s="13" t="str">
        <x:v>/app/strategy/business-analysis-options</x:v>
      </x:c>
      <x:c r="D57" s="13" t="str">
        <x:v>USER</x:v>
      </x:c>
      <x:c r="E57" s="13" t="str">
        <x:v>frontend/src/features/business-analysis/BusinessAnalysisWorkspace.tsx</x:v>
      </x:c>
      <x:c r="F57" s="13" t="str">
        <x:v>Investment Origination &amp; Shaping &gt; Business Analysis &amp; Options</x:v>
      </x:c>
      <x:c r="G57" s="13" t="str">
        <x:v>authenticated</x:v>
      </x:c>
      <x:c r="H57" s="13" t="str">
        <x:v>RENDERER_REGISTERED</x:v>
      </x:c>
      <x:c r="I57" s="13" t="str">
        <x:v>business-analysis-options</x:v>
      </x:c>
      <x:c r="J57" s="13" t="str">
        <x:v>USER_TRANSACTION. STATIC_METADATA_NOT_BUSINESS_UAT</x:v>
      </x:c>
    </x:row>
    <x:row r="58" ht="42" customHeight="1">
      <x:c r="A58" s="14" t="str">
        <x:v>FE-51</x:v>
      </x:c>
      <x:c r="B58" s="6" t="str">
        <x:v>PANTALLA</x:v>
      </x:c>
      <x:c r="C58" s="6" t="str">
        <x:v>/app/strategy/project-proposal</x:v>
      </x:c>
      <x:c r="D58" s="6" t="str">
        <x:v>USER</x:v>
      </x:c>
      <x:c r="E58" s="6" t="str">
        <x:v>frontend/src/features/project-proposal/ProjectProposalWorkspace.tsx</x:v>
      </x:c>
      <x:c r="F58" s="6" t="str">
        <x:v>Investment Origination &amp; Shaping &gt; Project Proposals</x:v>
      </x:c>
      <x:c r="G58" s="6" t="str">
        <x:v>authenticated</x:v>
      </x:c>
      <x:c r="H58" s="6" t="str">
        <x:v>RENDERER_REGISTERED</x:v>
      </x:c>
      <x:c r="I58" s="6" t="str">
        <x:v>project-proposal</x:v>
      </x:c>
      <x:c r="J58" s="6" t="str">
        <x:v>USER_TRANSACTION. STATIC_METADATA_NOT_BUSINESS_UAT</x:v>
      </x:c>
    </x:row>
    <x:row r="59" ht="42" customHeight="1">
      <x:c r="A59" s="15" t="str">
        <x:v>FE-52</x:v>
      </x:c>
      <x:c r="B59" s="13" t="str">
        <x:v>PANTALLA</x:v>
      </x:c>
      <x:c r="C59" s="13" t="str">
        <x:v>/app/strategy/strategic-gate-decision</x:v>
      </x:c>
      <x:c r="D59" s="13" t="str">
        <x:v>USER</x:v>
      </x:c>
      <x:c r="E59" s="13" t="str">
        <x:v>frontend/src/features/strategic-gate/StrategicGateWorkspace.tsx</x:v>
      </x:c>
      <x:c r="F59" s="13" t="str">
        <x:v>Strategic Gate &gt; Strategic Gate Decision</x:v>
      </x:c>
      <x:c r="G59" s="13" t="str">
        <x:v>authenticated</x:v>
      </x:c>
      <x:c r="H59" s="13" t="str">
        <x:v>RENDERER_REGISTERED</x:v>
      </x:c>
      <x:c r="I59" s="13" t="str">
        <x:v>strategic-gate-decision</x:v>
      </x:c>
      <x:c r="J59" s="13" t="str">
        <x:v>USER_TRANSACTION. STATIC_METADATA_NOT_BUSINESS_UAT</x:v>
      </x:c>
    </x:row>
    <x:row r="60" ht="53" customHeight="1">
      <x:c r="A60" s="14" t="str">
        <x:v>FE-53</x:v>
      </x:c>
      <x:c r="B60" s="6" t="str">
        <x:v>PANTALLA</x:v>
      </x:c>
      <x:c r="C60" s="6" t="str">
        <x:v>/app/strategy/portfolio-structure</x:v>
      </x:c>
      <x:c r="D60" s="6" t="str">
        <x:v>USER</x:v>
      </x:c>
      <x:c r="E60" s="6" t="str">
        <x:v>frontend/src/App.tsx:EmptySubmoduleScreen</x:v>
      </x:c>
      <x:c r="F60" s="6" t="str">
        <x:v>Portfolio Planning &amp; Review &gt; Portfolio Intake &amp; Planning &gt; Portfolio Structure</x:v>
      </x:c>
      <x:c r="G60" s="6" t="str">
        <x:v>authenticated</x:v>
      </x:c>
      <x:c r="H60" s="6" t="str">
        <x:v>EXPLICIT_PLACEHOLDER</x:v>
      </x:c>
      <x:c r="I60" s="6" t="str">
        <x:v>portfolio-structure</x:v>
      </x:c>
      <x:c r="J60" s="6" t="str">
        <x:v>USER_TRANSACTION. STATIC_METADATA_NOT_BUSINESS_UAT</x:v>
      </x:c>
    </x:row>
    <x:row r="61" ht="53" customHeight="1">
      <x:c r="A61" s="15" t="str">
        <x:v>FE-54</x:v>
      </x:c>
      <x:c r="B61" s="13" t="str">
        <x:v>PANTALLA</x:v>
      </x:c>
      <x:c r="C61" s="13" t="str">
        <x:v>/app/strategy/strategic-project-planning-entry</x:v>
      </x:c>
      <x:c r="D61" s="13" t="str">
        <x:v>USER</x:v>
      </x:c>
      <x:c r="E61" s="13" t="str">
        <x:v>frontend/src/features/portfolio-planning/StrategicPlanningEntryWorkspace.tsx</x:v>
      </x:c>
      <x:c r="F61" s="13" t="str">
        <x:v>Portfolio Planning &amp; Review &gt; Portfolio Intake &amp; Planning &gt; Strategic Planning Entry</x:v>
      </x:c>
      <x:c r="G61" s="13" t="str">
        <x:v>authenticated</x:v>
      </x:c>
      <x:c r="H61" s="13" t="str">
        <x:v>RENDERER_REGISTERED</x:v>
      </x:c>
      <x:c r="I61" s="13" t="str">
        <x:v>strategic-project-planning-entry</x:v>
      </x:c>
      <x:c r="J61" s="13" t="str">
        <x:v>USER_TRANSACTION. STATIC_METADATA_NOT_BUSINESS_UAT</x:v>
      </x:c>
    </x:row>
    <x:row r="62" ht="53" customHeight="1">
      <x:c r="A62" s="14" t="str">
        <x:v>FE-55</x:v>
      </x:c>
      <x:c r="B62" s="6" t="str">
        <x:v>PANTALLA</x:v>
      </x:c>
      <x:c r="C62" s="6" t="str">
        <x:v>/app/strategy/portfolio-projects</x:v>
      </x:c>
      <x:c r="D62" s="6" t="str">
        <x:v>USER</x:v>
      </x:c>
      <x:c r="E62" s="6" t="str">
        <x:v>frontend/src/features/portfolio-planning/PortfolioProjectsWorkspace.tsx</x:v>
      </x:c>
      <x:c r="F62" s="6" t="str">
        <x:v>Portfolio Planning &amp; Review &gt; Portfolio Intake &amp; Planning &gt; Portfolio Projects</x:v>
      </x:c>
      <x:c r="G62" s="6" t="str">
        <x:v>authenticated</x:v>
      </x:c>
      <x:c r="H62" s="6" t="str">
        <x:v>RENDERER_REGISTERED</x:v>
      </x:c>
      <x:c r="I62" s="6" t="str">
        <x:v>portfolio-projects</x:v>
      </x:c>
      <x:c r="J62" s="6" t="str">
        <x:v>USER_TRANSACTION. STATIC_METADATA_NOT_BUSINESS_UAT</x:v>
      </x:c>
    </x:row>
    <x:row r="63" ht="53" customHeight="1">
      <x:c r="A63" s="15" t="str">
        <x:v>FE-56</x:v>
      </x:c>
      <x:c r="B63" s="13" t="str">
        <x:v>PANTALLA</x:v>
      </x:c>
      <x:c r="C63" s="13" t="str">
        <x:v>/app/strategy/portfolio-evaluation</x:v>
      </x:c>
      <x:c r="D63" s="13" t="str">
        <x:v>USER</x:v>
      </x:c>
      <x:c r="E63" s="13" t="str">
        <x:v>frontend/src/features/portfolio-evaluation/PortfolioEvaluationWorkspace.tsx</x:v>
      </x:c>
      <x:c r="F63" s="13" t="str">
        <x:v>Portfolio Planning &amp; Review &gt; Evaluation &amp; Prioritization &gt; Portfolio Evaluation</x:v>
      </x:c>
      <x:c r="G63" s="13" t="str">
        <x:v>authenticated</x:v>
      </x:c>
      <x:c r="H63" s="13" t="str">
        <x:v>RENDERER_REGISTERED</x:v>
      </x:c>
      <x:c r="I63" s="13" t="str">
        <x:v>portfolio-evaluation</x:v>
      </x:c>
      <x:c r="J63" s="13" t="str">
        <x:v>USER_TRANSACTION. STATIC_METADATA_NOT_BUSINESS_UAT</x:v>
      </x:c>
    </x:row>
    <x:row r="64" ht="53" customHeight="1">
      <x:c r="A64" s="14" t="str">
        <x:v>FE-57</x:v>
      </x:c>
      <x:c r="B64" s="6" t="str">
        <x:v>PANTALLA</x:v>
      </x:c>
      <x:c r="C64" s="6" t="str">
        <x:v>/app/strategy/strategic-prioritization-matrix</x:v>
      </x:c>
      <x:c r="D64" s="6" t="str">
        <x:v>USER</x:v>
      </x:c>
      <x:c r="E64" s="6" t="str">
        <x:v>frontend/src/features/portfolio-evaluation/PortfolioEvaluationWorkspace.tsx</x:v>
      </x:c>
      <x:c r="F64" s="6" t="str">
        <x:v>Portfolio Planning &amp; Review &gt; Evaluation &amp; Prioritization &gt; Prioritization Matrix</x:v>
      </x:c>
      <x:c r="G64" s="6" t="str">
        <x:v>authenticated</x:v>
      </x:c>
      <x:c r="H64" s="6" t="str">
        <x:v>RENDERER_REGISTERED</x:v>
      </x:c>
      <x:c r="I64" s="6" t="str">
        <x:v>strategic-prioritization-matrix</x:v>
      </x:c>
      <x:c r="J64" s="6" t="str">
        <x:v>READ_ONLY_SHARED. STATIC_METADATA_NOT_BUSINESS_UAT</x:v>
      </x:c>
    </x:row>
    <x:row r="65" ht="42" customHeight="1">
      <x:c r="A65" s="15" t="str">
        <x:v>FE-58</x:v>
      </x:c>
      <x:c r="B65" s="13" t="str">
        <x:v>PANTALLA</x:v>
      </x:c>
      <x:c r="C65" s="13" t="str">
        <x:v>/app/strategy/portfolio-analysis</x:v>
      </x:c>
      <x:c r="D65" s="13" t="str">
        <x:v>USER</x:v>
      </x:c>
      <x:c r="E65" s="13" t="str">
        <x:v>frontend/src/features/portfolio-analysis/PortfolioAnalysisWorkspace.tsx</x:v>
      </x:c>
      <x:c r="F65" s="13" t="str">
        <x:v>Portfolio Planning &amp; Review &gt; Portfolio Analysis &gt; Analysis Overview</x:v>
      </x:c>
      <x:c r="G65" s="13" t="str">
        <x:v>authenticated</x:v>
      </x:c>
      <x:c r="H65" s="13" t="str">
        <x:v>RENDERER_REGISTERED</x:v>
      </x:c>
      <x:c r="I65" s="13" t="str">
        <x:v>portfolio-analysis</x:v>
      </x:c>
      <x:c r="J65" s="13" t="str">
        <x:v>READ_ONLY_SHARED. STATIC_METADATA_NOT_BUSINESS_UAT</x:v>
      </x:c>
    </x:row>
    <x:row r="66" ht="42" customHeight="1">
      <x:c r="A66" s="14" t="str">
        <x:v>FE-59</x:v>
      </x:c>
      <x:c r="B66" s="6" t="str">
        <x:v>PANTALLA</x:v>
      </x:c>
      <x:c r="C66" s="6" t="str">
        <x:v>/app/strategy/portfolio-investor-map</x:v>
      </x:c>
      <x:c r="D66" s="6" t="str">
        <x:v>USER</x:v>
      </x:c>
      <x:c r="E66" s="6" t="str">
        <x:v>frontend/src/features/portfolio-analysis/PortfolioAnalysisWorkspace.tsx</x:v>
      </x:c>
      <x:c r="F66" s="6" t="str">
        <x:v>Portfolio Planning &amp; Review &gt; Portfolio Analysis &gt; Investor Map</x:v>
      </x:c>
      <x:c r="G66" s="6" t="str">
        <x:v>authenticated</x:v>
      </x:c>
      <x:c r="H66" s="6" t="str">
        <x:v>RENDERER_REGISTERED</x:v>
      </x:c>
      <x:c r="I66" s="6" t="str">
        <x:v>portfolio-investor-map</x:v>
      </x:c>
      <x:c r="J66" s="6" t="str">
        <x:v>READ_ONLY_SHARED. STATIC_METADATA_NOT_BUSINESS_UAT</x:v>
      </x:c>
    </x:row>
    <x:row r="67" ht="42" customHeight="1">
      <x:c r="A67" s="15" t="str">
        <x:v>FE-60</x:v>
      </x:c>
      <x:c r="B67" s="13" t="str">
        <x:v>PANTALLA</x:v>
      </x:c>
      <x:c r="C67" s="13" t="str">
        <x:v>/app/strategy/portfolio-scorecard</x:v>
      </x:c>
      <x:c r="D67" s="13" t="str">
        <x:v>USER</x:v>
      </x:c>
      <x:c r="E67" s="13" t="str">
        <x:v>frontend/src/features/portfolio-analysis/PortfolioAnalysisWorkspace.tsx</x:v>
      </x:c>
      <x:c r="F67" s="13" t="str">
        <x:v>Portfolio Planning &amp; Review &gt; Portfolio Analysis &gt; Portfolio Scorecard</x:v>
      </x:c>
      <x:c r="G67" s="13" t="str">
        <x:v>authenticated</x:v>
      </x:c>
      <x:c r="H67" s="13" t="str">
        <x:v>RENDERER_REGISTERED</x:v>
      </x:c>
      <x:c r="I67" s="13" t="str">
        <x:v>portfolio-scorecard</x:v>
      </x:c>
      <x:c r="J67" s="13" t="str">
        <x:v>READ_ONLY_SHARED. STATIC_METADATA_NOT_BUSINESS_UAT</x:v>
      </x:c>
    </x:row>
    <x:row r="68" ht="53" customHeight="1">
      <x:c r="A68" s="14" t="str">
        <x:v>FE-61</x:v>
      </x:c>
      <x:c r="B68" s="6" t="str">
        <x:v>PANTALLA</x:v>
      </x:c>
      <x:c r="C68" s="6" t="str">
        <x:v>/app/strategy/portfolio-budget-planning</x:v>
      </x:c>
      <x:c r="D68" s="6" t="str">
        <x:v>USER</x:v>
      </x:c>
      <x:c r="E68" s="6" t="str">
        <x:v>frontend/src/features/portfolio-budget/PortfolioBudgetWorkspace.tsx</x:v>
      </x:c>
      <x:c r="F68" s="6" t="str">
        <x:v>Portfolio Scenario Planning &gt; Budget Planning &amp; Scenarios &gt; Budget Planning Workspace</x:v>
      </x:c>
      <x:c r="G68" s="6" t="str">
        <x:v>authenticated</x:v>
      </x:c>
      <x:c r="H68" s="6" t="str">
        <x:v>RENDERER_REGISTERED</x:v>
      </x:c>
      <x:c r="I68" s="6" t="str">
        <x:v>portfolio-budget-planning</x:v>
      </x:c>
      <x:c r="J68" s="6" t="str">
        <x:v>USER_TRANSACTION. STATIC_METADATA_NOT_BUSINESS_UAT</x:v>
      </x:c>
    </x:row>
    <x:row r="69" ht="53" customHeight="1">
      <x:c r="A69" s="15" t="str">
        <x:v>FE-62</x:v>
      </x:c>
      <x:c r="B69" s="13" t="str">
        <x:v>PANTALLA</x:v>
      </x:c>
      <x:c r="C69" s="13" t="str">
        <x:v>/app/strategy/portfolio-cash-flow</x:v>
      </x:c>
      <x:c r="D69" s="13" t="str">
        <x:v>USER</x:v>
      </x:c>
      <x:c r="E69" s="13" t="str">
        <x:v>frontend/src/App.tsx:EmptySubmoduleScreen</x:v>
      </x:c>
      <x:c r="F69" s="13" t="str">
        <x:v>Portfolio Scenario Planning &gt; Budget Planning &amp; Scenarios &gt; Portfolio Cash Flow</x:v>
      </x:c>
      <x:c r="G69" s="13" t="str">
        <x:v>authenticated</x:v>
      </x:c>
      <x:c r="H69" s="13" t="str">
        <x:v>EXPLICIT_PLACEHOLDER</x:v>
      </x:c>
      <x:c r="I69" s="13" t="str">
        <x:v>portfolio-cash-flow</x:v>
      </x:c>
      <x:c r="J69" s="13" t="str">
        <x:v>READ_ONLY_SHARED. STATIC_METADATA_NOT_BUSINESS_UAT</x:v>
      </x:c>
    </x:row>
    <x:row r="70" ht="42" customHeight="1">
      <x:c r="A70" s="14" t="str">
        <x:v>FE-63</x:v>
      </x:c>
      <x:c r="B70" s="6" t="str">
        <x:v>PANTALLA</x:v>
      </x:c>
      <x:c r="C70" s="6" t="str">
        <x:v>/app/strategy/portfolio-resource-planning</x:v>
      </x:c>
      <x:c r="D70" s="6" t="str">
        <x:v>USER</x:v>
      </x:c>
      <x:c r="E70" s="6" t="str">
        <x:v>frontend/src/features/portfolio-resource/PortfolioResourceWorkspace.tsx</x:v>
      </x:c>
      <x:c r="F70" s="6" t="str">
        <x:v>Portfolio Scenario Planning &gt; Resource Planning &amp; Scenarios</x:v>
      </x:c>
      <x:c r="G70" s="6" t="str">
        <x:v>authenticated</x:v>
      </x:c>
      <x:c r="H70" s="6" t="str">
        <x:v>RENDERER_REGISTERED</x:v>
      </x:c>
      <x:c r="I70" s="6" t="str">
        <x:v>portfolio-resource-planning</x:v>
      </x:c>
      <x:c r="J70" s="6" t="str">
        <x:v>USER_TRANSACTION. STATIC_METADATA_NOT_BUSINESS_UAT</x:v>
      </x:c>
    </x:row>
    <x:row r="71" ht="42" customHeight="1">
      <x:c r="A71" s="15" t="str">
        <x:v>FE-64</x:v>
      </x:c>
      <x:c r="B71" s="13" t="str">
        <x:v>PANTALLA</x:v>
      </x:c>
      <x:c r="C71" s="13" t="str">
        <x:v>/app/strategy/portfolio-scenario-convergence</x:v>
      </x:c>
      <x:c r="D71" s="13" t="str">
        <x:v>USER</x:v>
      </x:c>
      <x:c r="E71" s="13" t="str">
        <x:v>frontend/src/features/portfolio-convergence/PortfolioConvergenceWorkspace.tsx</x:v>
      </x:c>
      <x:c r="F71" s="13" t="str">
        <x:v>Portfolio Scenario Planning &gt; Scenario Convergence &amp; Recommendation</x:v>
      </x:c>
      <x:c r="G71" s="13" t="str">
        <x:v>authenticated</x:v>
      </x:c>
      <x:c r="H71" s="13" t="str">
        <x:v>RENDERER_REGISTERED</x:v>
      </x:c>
      <x:c r="I71" s="13" t="str">
        <x:v>portfolio-scenario-convergence</x:v>
      </x:c>
      <x:c r="J71" s="13" t="str">
        <x:v>USER_TRANSACTION. STATIC_METADATA_NOT_BUSINESS_UAT</x:v>
      </x:c>
    </x:row>
    <x:row r="72" ht="53" customHeight="1">
      <x:c r="A72" s="14" t="str">
        <x:v>FE-65</x:v>
      </x:c>
      <x:c r="B72" s="6" t="str">
        <x:v>PANTALLA</x:v>
      </x:c>
      <x:c r="C72" s="6" t="str">
        <x:v>/app/strategy/portfolio-review-sessions</x:v>
      </x:c>
      <x:c r="D72" s="6" t="str">
        <x:v>USER</x:v>
      </x:c>
      <x:c r="E72" s="6" t="str">
        <x:v>frontend/src/features/portfolio-review/PortfolioReviewWorkspace.tsx</x:v>
      </x:c>
      <x:c r="F72" s="6" t="str">
        <x:v>Portfolio Scenario Planning &gt; Periodic Portfolio Review &gt; Review Calendar / Sessions</x:v>
      </x:c>
      <x:c r="G72" s="6" t="str">
        <x:v>authenticated</x:v>
      </x:c>
      <x:c r="H72" s="6" t="str">
        <x:v>RENDERER_REGISTERED</x:v>
      </x:c>
      <x:c r="I72" s="6" t="str">
        <x:v>portfolio-review-sessions</x:v>
      </x:c>
      <x:c r="J72" s="6" t="str">
        <x:v>USER_TRANSACTION. STATIC_METADATA_NOT_BUSINESS_UAT</x:v>
      </x:c>
    </x:row>
    <x:row r="73" ht="42" customHeight="1">
      <x:c r="A73" s="15" t="str">
        <x:v>FE-66</x:v>
      </x:c>
      <x:c r="B73" s="13" t="str">
        <x:v>PANTALLA</x:v>
      </x:c>
      <x:c r="C73" s="13" t="str">
        <x:v>/app/strategy/portfolio-review-overview</x:v>
      </x:c>
      <x:c r="D73" s="13" t="str">
        <x:v>USER</x:v>
      </x:c>
      <x:c r="E73" s="13" t="str">
        <x:v>frontend/src/features/portfolio-review/PortfolioReviewWorkspace.tsx</x:v>
      </x:c>
      <x:c r="F73" s="13" t="str">
        <x:v>Portfolio Scenario Planning &gt; Periodic Portfolio Review &gt; Overview</x:v>
      </x:c>
      <x:c r="G73" s="13" t="str">
        <x:v>authenticated</x:v>
      </x:c>
      <x:c r="H73" s="13" t="str">
        <x:v>RENDERER_REGISTERED</x:v>
      </x:c>
      <x:c r="I73" s="13" t="str">
        <x:v>portfolio-review-overview</x:v>
      </x:c>
      <x:c r="J73" s="13" t="str">
        <x:v>USER_TRANSACTION. STATIC_METADATA_NOT_BUSINESS_UAT</x:v>
      </x:c>
    </x:row>
    <x:row r="74" ht="42" customHeight="1">
      <x:c r="A74" s="14" t="str">
        <x:v>FE-67</x:v>
      </x:c>
      <x:c r="B74" s="6" t="str">
        <x:v>PANTALLA</x:v>
      </x:c>
      <x:c r="C74" s="6" t="str">
        <x:v>/app/strategy/portfolio-review-snapshot</x:v>
      </x:c>
      <x:c r="D74" s="6" t="str">
        <x:v>USER</x:v>
      </x:c>
      <x:c r="E74" s="6" t="str">
        <x:v>frontend/src/features/portfolio-review/PortfolioReviewWorkspace.tsx</x:v>
      </x:c>
      <x:c r="F74" s="6" t="str">
        <x:v>Portfolio Scenario Planning &gt; Periodic Portfolio Review &gt; Portfolio Snapshot</x:v>
      </x:c>
      <x:c r="G74" s="6" t="str">
        <x:v>authenticated</x:v>
      </x:c>
      <x:c r="H74" s="6" t="str">
        <x:v>RENDERER_REGISTERED</x:v>
      </x:c>
      <x:c r="I74" s="6" t="str">
        <x:v>portfolio-review-snapshot</x:v>
      </x:c>
      <x:c r="J74" s="6" t="str">
        <x:v>USER_TRANSACTION. STATIC_METADATA_NOT_BUSINESS_UAT</x:v>
      </x:c>
    </x:row>
    <x:row r="75" ht="53" customHeight="1">
      <x:c r="A75" s="15" t="str">
        <x:v>FE-68</x:v>
      </x:c>
      <x:c r="B75" s="13" t="str">
        <x:v>PANTALLA</x:v>
      </x:c>
      <x:c r="C75" s="13" t="str">
        <x:v>/app/strategy/portfolio-review-allocation</x:v>
      </x:c>
      <x:c r="D75" s="13" t="str">
        <x:v>USER</x:v>
      </x:c>
      <x:c r="E75" s="13" t="str">
        <x:v>frontend/src/features/portfolio-review/PortfolioReviewWorkspace.tsx</x:v>
      </x:c>
      <x:c r="F75" s="13" t="str">
        <x:v>Portfolio Scenario Planning &gt; Periodic Portfolio Review &gt; Strategic Allocation</x:v>
      </x:c>
      <x:c r="G75" s="13" t="str">
        <x:v>authenticated</x:v>
      </x:c>
      <x:c r="H75" s="13" t="str">
        <x:v>RENDERER_REGISTERED</x:v>
      </x:c>
      <x:c r="I75" s="13" t="str">
        <x:v>portfolio-review-allocation</x:v>
      </x:c>
      <x:c r="J75" s="13" t="str">
        <x:v>READ_ONLY_SHARED. STATIC_METADATA_NOT_BUSINESS_UAT</x:v>
      </x:c>
    </x:row>
    <x:row r="76" ht="42" customHeight="1">
      <x:c r="A76" s="14" t="str">
        <x:v>FE-69</x:v>
      </x:c>
      <x:c r="B76" s="6" t="str">
        <x:v>PANTALLA</x:v>
      </x:c>
      <x:c r="C76" s="6" t="str">
        <x:v>/app/strategy/portfolio-review-project-matrix</x:v>
      </x:c>
      <x:c r="D76" s="6" t="str">
        <x:v>USER</x:v>
      </x:c>
      <x:c r="E76" s="6" t="str">
        <x:v>frontend/src/features/portfolio-review/PortfolioReviewWorkspace.tsx</x:v>
      </x:c>
      <x:c r="F76" s="6" t="str">
        <x:v>Portfolio Scenario Planning &gt; Periodic Portfolio Review &gt; Project Matrix</x:v>
      </x:c>
      <x:c r="G76" s="6" t="str">
        <x:v>authenticated</x:v>
      </x:c>
      <x:c r="H76" s="6" t="str">
        <x:v>RENDERER_REGISTERED</x:v>
      </x:c>
      <x:c r="I76" s="6" t="str">
        <x:v>portfolio-review-project-matrix</x:v>
      </x:c>
      <x:c r="J76" s="6" t="str">
        <x:v>READ_ONLY_SHARED. STATIC_METADATA_NOT_BUSINESS_UAT</x:v>
      </x:c>
    </x:row>
    <x:row r="77" ht="42" customHeight="1">
      <x:c r="A77" s="15" t="str">
        <x:v>FE-70</x:v>
      </x:c>
      <x:c r="B77" s="13" t="str">
        <x:v>PANTALLA</x:v>
      </x:c>
      <x:c r="C77" s="13" t="str">
        <x:v>/app/strategy/portfolio-review-budget-resources</x:v>
      </x:c>
      <x:c r="D77" s="13" t="str">
        <x:v>USER</x:v>
      </x:c>
      <x:c r="E77" s="13" t="str">
        <x:v>frontend/src/features/portfolio-review/PortfolioReviewWorkspace.tsx</x:v>
      </x:c>
      <x:c r="F77" s="13" t="str">
        <x:v>Portfolio Scenario Planning &gt; Periodic Portfolio Review &gt; Budget &amp; Resources</x:v>
      </x:c>
      <x:c r="G77" s="13" t="str">
        <x:v>authenticated</x:v>
      </x:c>
      <x:c r="H77" s="13" t="str">
        <x:v>RENDERER_REGISTERED</x:v>
      </x:c>
      <x:c r="I77" s="13" t="str">
        <x:v>portfolio-review-budget-resources</x:v>
      </x:c>
      <x:c r="J77" s="13" t="str">
        <x:v>READ_ONLY_SHARED. STATIC_METADATA_NOT_BUSINESS_UAT</x:v>
      </x:c>
    </x:row>
    <x:row r="78" ht="42" customHeight="1">
      <x:c r="A78" s="14" t="str">
        <x:v>FE-71</x:v>
      </x:c>
      <x:c r="B78" s="6" t="str">
        <x:v>PANTALLA</x:v>
      </x:c>
      <x:c r="C78" s="6" t="str">
        <x:v>/app/strategy/portfolio-review-gate-fid</x:v>
      </x:c>
      <x:c r="D78" s="6" t="str">
        <x:v>USER</x:v>
      </x:c>
      <x:c r="E78" s="6" t="str">
        <x:v>frontend/src/features/portfolio-review/PortfolioReviewWorkspace.tsx</x:v>
      </x:c>
      <x:c r="F78" s="6" t="str">
        <x:v>Portfolio Scenario Planning &gt; Periodic Portfolio Review &gt; Gate / FID Status</x:v>
      </x:c>
      <x:c r="G78" s="6" t="str">
        <x:v>authenticated</x:v>
      </x:c>
      <x:c r="H78" s="6" t="str">
        <x:v>RENDERER_REGISTERED</x:v>
      </x:c>
      <x:c r="I78" s="6" t="str">
        <x:v>portfolio-review-gate-fid</x:v>
      </x:c>
      <x:c r="J78" s="6" t="str">
        <x:v>READ_ONLY_SHARED. STATIC_METADATA_NOT_BUSINESS_UAT</x:v>
      </x:c>
    </x:row>
    <x:row r="79" ht="42" customHeight="1">
      <x:c r="A79" s="15" t="str">
        <x:v>FE-72</x:v>
      </x:c>
      <x:c r="B79" s="13" t="str">
        <x:v>PANTALLA</x:v>
      </x:c>
      <x:c r="C79" s="13" t="str">
        <x:v>/app/strategy/portfolio-review-exceptions</x:v>
      </x:c>
      <x:c r="D79" s="13" t="str">
        <x:v>USER</x:v>
      </x:c>
      <x:c r="E79" s="13" t="str">
        <x:v>frontend/src/features/portfolio-review/PortfolioReviewWorkspace.tsx</x:v>
      </x:c>
      <x:c r="F79" s="13" t="str">
        <x:v>Portfolio Scenario Planning &gt; Periodic Portfolio Review &gt; Exceptions</x:v>
      </x:c>
      <x:c r="G79" s="13" t="str">
        <x:v>authenticated</x:v>
      </x:c>
      <x:c r="H79" s="13" t="str">
        <x:v>RENDERER_REGISTERED</x:v>
      </x:c>
      <x:c r="I79" s="13" t="str">
        <x:v>portfolio-review-exceptions</x:v>
      </x:c>
      <x:c r="J79" s="13" t="str">
        <x:v>READ_ONLY_SHARED. STATIC_METADATA_NOT_BUSINESS_UAT</x:v>
      </x:c>
    </x:row>
    <x:row r="80" ht="42" customHeight="1">
      <x:c r="A80" s="14" t="str">
        <x:v>FE-73</x:v>
      </x:c>
      <x:c r="B80" s="6" t="str">
        <x:v>PANTALLA</x:v>
      </x:c>
      <x:c r="C80" s="6" t="str">
        <x:v>/app/strategy/portfolio-review-conclusions</x:v>
      </x:c>
      <x:c r="D80" s="6" t="str">
        <x:v>USER</x:v>
      </x:c>
      <x:c r="E80" s="6" t="str">
        <x:v>frontend/src/features/portfolio-review/PortfolioReviewWorkspace.tsx</x:v>
      </x:c>
      <x:c r="F80" s="6" t="str">
        <x:v>Portfolio Scenario Planning &gt; Periodic Portfolio Review &gt; Conclusions</x:v>
      </x:c>
      <x:c r="G80" s="6" t="str">
        <x:v>authenticated</x:v>
      </x:c>
      <x:c r="H80" s="6" t="str">
        <x:v>RENDERER_REGISTERED</x:v>
      </x:c>
      <x:c r="I80" s="6" t="str">
        <x:v>portfolio-review-conclusions</x:v>
      </x:c>
      <x:c r="J80" s="6" t="str">
        <x:v>USER_TRANSACTION. STATIC_METADATA_NOT_BUSINESS_UAT</x:v>
      </x:c>
    </x:row>
    <x:row r="81" ht="42" customHeight="1">
      <x:c r="A81" s="15" t="str">
        <x:v>FE-74</x:v>
      </x:c>
      <x:c r="B81" s="13" t="str">
        <x:v>PANTALLA</x:v>
      </x:c>
      <x:c r="C81" s="13" t="str">
        <x:v>/app/strategy/portfolio-review-actions</x:v>
      </x:c>
      <x:c r="D81" s="13" t="str">
        <x:v>USER</x:v>
      </x:c>
      <x:c r="E81" s="13" t="str">
        <x:v>frontend/src/features/portfolio-review/PortfolioReviewWorkspace.tsx</x:v>
      </x:c>
      <x:c r="F81" s="13" t="str">
        <x:v>Portfolio Scenario Planning &gt; Periodic Portfolio Review &gt; Actions</x:v>
      </x:c>
      <x:c r="G81" s="13" t="str">
        <x:v>authenticated</x:v>
      </x:c>
      <x:c r="H81" s="13" t="str">
        <x:v>RENDERER_REGISTERED</x:v>
      </x:c>
      <x:c r="I81" s="13" t="str">
        <x:v>portfolio-review-actions</x:v>
      </x:c>
      <x:c r="J81" s="13" t="str">
        <x:v>USER_TRANSACTION. STATIC_METADATA_NOT_BUSINESS_UAT</x:v>
      </x:c>
    </x:row>
    <x:row r="82" ht="42" customHeight="1">
      <x:c r="A82" s="14" t="str">
        <x:v>FE-75</x:v>
      </x:c>
      <x:c r="B82" s="6" t="str">
        <x:v>PANTALLA</x:v>
      </x:c>
      <x:c r="C82" s="6" t="str">
        <x:v>/app/strategy/portfolio-review-history</x:v>
      </x:c>
      <x:c r="D82" s="6" t="str">
        <x:v>USER</x:v>
      </x:c>
      <x:c r="E82" s="6" t="str">
        <x:v>frontend/src/features/portfolio-review/PortfolioReviewWorkspace.tsx</x:v>
      </x:c>
      <x:c r="F82" s="6" t="str">
        <x:v>Portfolio Scenario Planning &gt; Periodic Portfolio Review &gt; History</x:v>
      </x:c>
      <x:c r="G82" s="6" t="str">
        <x:v>authenticated</x:v>
      </x:c>
      <x:c r="H82" s="6" t="str">
        <x:v>RENDERER_REGISTERED</x:v>
      </x:c>
      <x:c r="I82" s="6" t="str">
        <x:v>portfolio-review-history</x:v>
      </x:c>
      <x:c r="J82" s="6" t="str">
        <x:v>READ_ONLY_SHARED. STATIC_METADATA_NOT_BUSINESS_UAT</x:v>
      </x:c>
    </x:row>
    <x:row r="83" ht="42" customHeight="1">
      <x:c r="A83" s="15" t="str">
        <x:v>FE-76</x:v>
      </x:c>
      <x:c r="B83" s="13" t="str">
        <x:v>PANTALLA</x:v>
      </x:c>
      <x:c r="C83" s="13" t="str">
        <x:v>/app/strategy/portfolio-review-trends</x:v>
      </x:c>
      <x:c r="D83" s="13" t="str">
        <x:v>USER</x:v>
      </x:c>
      <x:c r="E83" s="13" t="str">
        <x:v>frontend/src/features/portfolio-review/PortfolioReviewWorkspace.tsx</x:v>
      </x:c>
      <x:c r="F83" s="13" t="str">
        <x:v>Portfolio Scenario Planning &gt; Periodic Portfolio Review &gt; Trends</x:v>
      </x:c>
      <x:c r="G83" s="13" t="str">
        <x:v>authenticated</x:v>
      </x:c>
      <x:c r="H83" s="13" t="str">
        <x:v>RENDERER_REGISTERED</x:v>
      </x:c>
      <x:c r="I83" s="13" t="str">
        <x:v>portfolio-review-trends</x:v>
      </x:c>
      <x:c r="J83" s="13" t="str">
        <x:v>READ_ONLY_SHARED. STATIC_METADATA_NOT_BUSINESS_UAT</x:v>
      </x:c>
    </x:row>
    <x:row r="84" ht="42" customHeight="1">
      <x:c r="A84" s="14" t="str">
        <x:v>FE-77</x:v>
      </x:c>
      <x:c r="B84" s="6" t="str">
        <x:v>PANTALLA</x:v>
      </x:c>
      <x:c r="C84" s="6" t="str">
        <x:v>/app/strategy/project-definition-fel</x:v>
      </x:c>
      <x:c r="D84" s="6" t="str">
        <x:v>USER</x:v>
      </x:c>
      <x:c r="E84" s="6" t="str">
        <x:v>frontend/src/features/project-definition/ProjectDefinitionWorkspace.tsx</x:v>
      </x:c>
      <x:c r="F84" s="6" t="str">
        <x:v>Business Case &amp; Investment Development &gt; Project Definition / FEL</x:v>
      </x:c>
      <x:c r="G84" s="6" t="str">
        <x:v>authenticated</x:v>
      </x:c>
      <x:c r="H84" s="6" t="str">
        <x:v>RENDERER_REGISTERED</x:v>
      </x:c>
      <x:c r="I84" s="6" t="str">
        <x:v>project-definition-fel</x:v>
      </x:c>
      <x:c r="J84" s="6" t="str">
        <x:v>USER_TRANSACTION. STATIC_METADATA_NOT_BUSINESS_UAT</x:v>
      </x:c>
    </x:row>
    <x:row r="85" ht="42" customHeight="1">
      <x:c r="A85" s="15" t="str">
        <x:v>FE-78</x:v>
      </x:c>
      <x:c r="B85" s="13" t="str">
        <x:v>PANTALLA</x:v>
      </x:c>
      <x:c r="C85" s="13" t="str">
        <x:v>/app/strategy/business-case-my</x:v>
      </x:c>
      <x:c r="D85" s="13" t="str">
        <x:v>USER</x:v>
      </x:c>
      <x:c r="E85" s="13" t="str">
        <x:v>frontend/src/features/business-case/BusinessCaseWorkspace.tsx</x:v>
      </x:c>
      <x:c r="F85" s="13" t="str">
        <x:v>Business Case &amp; Investment Development &gt; Business Case Manager</x:v>
      </x:c>
      <x:c r="G85" s="13" t="str">
        <x:v>authenticated</x:v>
      </x:c>
      <x:c r="H85" s="13" t="str">
        <x:v>RENDERER_REGISTERED</x:v>
      </x:c>
      <x:c r="I85" s="13" t="str">
        <x:v>business-case-my</x:v>
      </x:c>
      <x:c r="J85" s="13" t="str">
        <x:v>USER_TRANSACTION. STATIC_METADATA_NOT_BUSINESS_UAT</x:v>
      </x:c>
    </x:row>
    <x:row r="86" ht="42" customHeight="1">
      <x:c r="A86" s="14" t="str">
        <x:v>FE-79</x:v>
      </x:c>
      <x:c r="B86" s="6" t="str">
        <x:v>PANTALLA</x:v>
      </x:c>
      <x:c r="C86" s="6" t="str">
        <x:v>/app/strategy/business-case-overview</x:v>
      </x:c>
      <x:c r="D86" s="6" t="str">
        <x:v>USER</x:v>
      </x:c>
      <x:c r="E86" s="6" t="str">
        <x:v>frontend/src/features/business-case/BusinessCaseWorkspace.tsx</x:v>
      </x:c>
      <x:c r="F86" s="6" t="str">
        <x:v>Business Case &amp; Investment Development &gt; Business Case Manager &gt; Overview</x:v>
      </x:c>
      <x:c r="G86" s="6" t="str">
        <x:v>authenticated</x:v>
      </x:c>
      <x:c r="H86" s="6" t="str">
        <x:v>RENDERER_REGISTERED</x:v>
      </x:c>
      <x:c r="I86" s="6" t="str">
        <x:v>business-case-overview</x:v>
      </x:c>
      <x:c r="J86" s="6" t="str">
        <x:v>USER_TRANSACTION. STATIC_METADATA_NOT_BUSINESS_UAT</x:v>
      </x:c>
    </x:row>
    <x:row r="87" ht="53" customHeight="1">
      <x:c r="A87" s="15" t="str">
        <x:v>FE-80</x:v>
      </x:c>
      <x:c r="B87" s="13" t="str">
        <x:v>PANTALLA</x:v>
      </x:c>
      <x:c r="C87" s="13" t="str">
        <x:v>/app/strategy/business-case-strategic</x:v>
      </x:c>
      <x:c r="D87" s="13" t="str">
        <x:v>USER</x:v>
      </x:c>
      <x:c r="E87" s="13" t="str">
        <x:v>frontend/src/features/business-case/BusinessCaseWorkspace.tsx</x:v>
      </x:c>
      <x:c r="F87" s="13" t="str">
        <x:v>Business Case &amp; Investment Development &gt; Business Case Manager &gt; Strategic Case</x:v>
      </x:c>
      <x:c r="G87" s="13" t="str">
        <x:v>authenticated</x:v>
      </x:c>
      <x:c r="H87" s="13" t="str">
        <x:v>RENDERER_REGISTERED</x:v>
      </x:c>
      <x:c r="I87" s="13" t="str">
        <x:v>business-case-strategic</x:v>
      </x:c>
      <x:c r="J87" s="13" t="str">
        <x:v>USER_TRANSACTION. STATIC_METADATA_NOT_BUSINESS_UAT</x:v>
      </x:c>
    </x:row>
    <x:row r="88" ht="53" customHeight="1">
      <x:c r="A88" s="14" t="str">
        <x:v>FE-81</x:v>
      </x:c>
      <x:c r="B88" s="6" t="str">
        <x:v>PANTALLA</x:v>
      </x:c>
      <x:c r="C88" s="6" t="str">
        <x:v>/app/strategy/business-case-economic</x:v>
      </x:c>
      <x:c r="D88" s="6" t="str">
        <x:v>USER</x:v>
      </x:c>
      <x:c r="E88" s="6" t="str">
        <x:v>frontend/src/features/business-case/BusinessCaseWorkspace.tsx</x:v>
      </x:c>
      <x:c r="F88" s="6" t="str">
        <x:v>Business Case &amp; Investment Development &gt; Business Case Manager &gt; Economic Case</x:v>
      </x:c>
      <x:c r="G88" s="6" t="str">
        <x:v>authenticated</x:v>
      </x:c>
      <x:c r="H88" s="6" t="str">
        <x:v>RENDERER_REGISTERED</x:v>
      </x:c>
      <x:c r="I88" s="6" t="str">
        <x:v>business-case-economic</x:v>
      </x:c>
      <x:c r="J88" s="6" t="str">
        <x:v>USER_TRANSACTION. STATIC_METADATA_NOT_BUSINESS_UAT</x:v>
      </x:c>
    </x:row>
    <x:row r="89" ht="53" customHeight="1">
      <x:c r="A89" s="15" t="str">
        <x:v>FE-82</x:v>
      </x:c>
      <x:c r="B89" s="13" t="str">
        <x:v>PANTALLA</x:v>
      </x:c>
      <x:c r="C89" s="13" t="str">
        <x:v>/app/strategy/business-case-commercial</x:v>
      </x:c>
      <x:c r="D89" s="13" t="str">
        <x:v>USER</x:v>
      </x:c>
      <x:c r="E89" s="13" t="str">
        <x:v>frontend/src/features/business-case/BusinessCaseWorkspace.tsx</x:v>
      </x:c>
      <x:c r="F89" s="13" t="str">
        <x:v>Business Case &amp; Investment Development &gt; Business Case Manager &gt; Commercial Case</x:v>
      </x:c>
      <x:c r="G89" s="13" t="str">
        <x:v>authenticated</x:v>
      </x:c>
      <x:c r="H89" s="13" t="str">
        <x:v>RENDERER_REGISTERED</x:v>
      </x:c>
      <x:c r="I89" s="13" t="str">
        <x:v>business-case-commercial</x:v>
      </x:c>
      <x:c r="J89" s="13" t="str">
        <x:v>USER_TRANSACTION. STATIC_METADATA_NOT_BUSINESS_UAT</x:v>
      </x:c>
    </x:row>
    <x:row r="90" ht="53" customHeight="1">
      <x:c r="A90" s="14" t="str">
        <x:v>FE-83</x:v>
      </x:c>
      <x:c r="B90" s="6" t="str">
        <x:v>PANTALLA</x:v>
      </x:c>
      <x:c r="C90" s="6" t="str">
        <x:v>/app/strategy/business-case-financial</x:v>
      </x:c>
      <x:c r="D90" s="6" t="str">
        <x:v>USER</x:v>
      </x:c>
      <x:c r="E90" s="6" t="str">
        <x:v>frontend/src/features/business-case/BusinessCaseWorkspace.tsx</x:v>
      </x:c>
      <x:c r="F90" s="6" t="str">
        <x:v>Business Case &amp; Investment Development &gt; Business Case Manager &gt; Financial Case</x:v>
      </x:c>
      <x:c r="G90" s="6" t="str">
        <x:v>authenticated</x:v>
      </x:c>
      <x:c r="H90" s="6" t="str">
        <x:v>RENDERER_REGISTERED</x:v>
      </x:c>
      <x:c r="I90" s="6" t="str">
        <x:v>business-case-financial</x:v>
      </x:c>
      <x:c r="J90" s="6" t="str">
        <x:v>USER_TRANSACTION. STATIC_METADATA_NOT_BUSINESS_UAT</x:v>
      </x:c>
    </x:row>
    <x:row r="91" ht="53" customHeight="1">
      <x:c r="A91" s="15" t="str">
        <x:v>FE-84</x:v>
      </x:c>
      <x:c r="B91" s="13" t="str">
        <x:v>PANTALLA</x:v>
      </x:c>
      <x:c r="C91" s="13" t="str">
        <x:v>/app/strategy/business-case-management</x:v>
      </x:c>
      <x:c r="D91" s="13" t="str">
        <x:v>USER</x:v>
      </x:c>
      <x:c r="E91" s="13" t="str">
        <x:v>frontend/src/features/business-case/BusinessCaseWorkspace.tsx</x:v>
      </x:c>
      <x:c r="F91" s="13" t="str">
        <x:v>Business Case &amp; Investment Development &gt; Business Case Manager &gt; Management Case</x:v>
      </x:c>
      <x:c r="G91" s="13" t="str">
        <x:v>authenticated</x:v>
      </x:c>
      <x:c r="H91" s="13" t="str">
        <x:v>RENDERER_REGISTERED</x:v>
      </x:c>
      <x:c r="I91" s="13" t="str">
        <x:v>business-case-management</x:v>
      </x:c>
      <x:c r="J91" s="13" t="str">
        <x:v>USER_TRANSACTION. STATIC_METADATA_NOT_BUSINESS_UAT</x:v>
      </x:c>
    </x:row>
    <x:row r="92" ht="53" customHeight="1">
      <x:c r="A92" s="14" t="str">
        <x:v>FE-85</x:v>
      </x:c>
      <x:c r="B92" s="6" t="str">
        <x:v>PANTALLA</x:v>
      </x:c>
      <x:c r="C92" s="6" t="str">
        <x:v>/app/strategy/business-case-sources-evidence</x:v>
      </x:c>
      <x:c r="D92" s="6" t="str">
        <x:v>USER</x:v>
      </x:c>
      <x:c r="E92" s="6" t="str">
        <x:v>frontend/src/features/business-case/BusinessCaseWorkspace.tsx</x:v>
      </x:c>
      <x:c r="F92" s="6" t="str">
        <x:v>Business Case &amp; Investment Development &gt; Business Case Manager &gt; Sources &amp; Evidence</x:v>
      </x:c>
      <x:c r="G92" s="6" t="str">
        <x:v>authenticated</x:v>
      </x:c>
      <x:c r="H92" s="6" t="str">
        <x:v>RENDERER_REGISTERED</x:v>
      </x:c>
      <x:c r="I92" s="6" t="str">
        <x:v>business-case-sources-evidence</x:v>
      </x:c>
      <x:c r="J92" s="6" t="str">
        <x:v>USER_TRANSACTION. STATIC_METADATA_NOT_BUSINESS_UAT</x:v>
      </x:c>
    </x:row>
    <x:row r="93" ht="42" customHeight="1">
      <x:c r="A93" s="15" t="str">
        <x:v>FE-86</x:v>
      </x:c>
      <x:c r="B93" s="13" t="str">
        <x:v>PANTALLA</x:v>
      </x:c>
      <x:c r="C93" s="13" t="str">
        <x:v>/app/strategy/business-case-readiness</x:v>
      </x:c>
      <x:c r="D93" s="13" t="str">
        <x:v>USER</x:v>
      </x:c>
      <x:c r="E93" s="13" t="str">
        <x:v>frontend/src/features/business-case/BusinessCaseWorkspace.tsx</x:v>
      </x:c>
      <x:c r="F93" s="13" t="str">
        <x:v>Business Case &amp; Investment Development &gt; Business Case Manager &gt; Readiness</x:v>
      </x:c>
      <x:c r="G93" s="13" t="str">
        <x:v>authenticated</x:v>
      </x:c>
      <x:c r="H93" s="13" t="str">
        <x:v>RENDERER_REGISTERED</x:v>
      </x:c>
      <x:c r="I93" s="13" t="str">
        <x:v>business-case-readiness</x:v>
      </x:c>
      <x:c r="J93" s="13" t="str">
        <x:v>USER_TRANSACTION. STATIC_METADATA_NOT_BUSINESS_UAT</x:v>
      </x:c>
    </x:row>
    <x:row r="94" ht="53" customHeight="1">
      <x:c r="A94" s="14" t="str">
        <x:v>FE-87</x:v>
      </x:c>
      <x:c r="B94" s="6" t="str">
        <x:v>PANTALLA</x:v>
      </x:c>
      <x:c r="C94" s="6" t="str">
        <x:v>/app/strategy/business-case-decision-snapshots</x:v>
      </x:c>
      <x:c r="D94" s="6" t="str">
        <x:v>USER</x:v>
      </x:c>
      <x:c r="E94" s="6" t="str">
        <x:v>frontend/src/features/business-case/BusinessCaseWorkspace.tsx</x:v>
      </x:c>
      <x:c r="F94" s="6" t="str">
        <x:v>Business Case &amp; Investment Development &gt; Business Case Manager &gt; Decision Snapshots</x:v>
      </x:c>
      <x:c r="G94" s="6" t="str">
        <x:v>authenticated</x:v>
      </x:c>
      <x:c r="H94" s="6" t="str">
        <x:v>RENDERER_REGISTERED</x:v>
      </x:c>
      <x:c r="I94" s="6" t="str">
        <x:v>business-case-decision-snapshots</x:v>
      </x:c>
      <x:c r="J94" s="6" t="str">
        <x:v>USER_TRANSACTION. STATIC_METADATA_NOT_BUSINESS_UAT</x:v>
      </x:c>
    </x:row>
    <x:row r="95" ht="42" customHeight="1">
      <x:c r="A95" s="15" t="str">
        <x:v>FE-88</x:v>
      </x:c>
      <x:c r="B95" s="13" t="str">
        <x:v>PANTALLA</x:v>
      </x:c>
      <x:c r="C95" s="13" t="str">
        <x:v>/app/strategy/business-case-history</x:v>
      </x:c>
      <x:c r="D95" s="13" t="str">
        <x:v>USER</x:v>
      </x:c>
      <x:c r="E95" s="13" t="str">
        <x:v>frontend/src/features/business-case/BusinessCaseWorkspace.tsx</x:v>
      </x:c>
      <x:c r="F95" s="13" t="str">
        <x:v>Business Case &amp; Investment Development &gt; Business Case Manager &gt; History</x:v>
      </x:c>
      <x:c r="G95" s="13" t="str">
        <x:v>authenticated</x:v>
      </x:c>
      <x:c r="H95" s="13" t="str">
        <x:v>RENDERER_REGISTERED</x:v>
      </x:c>
      <x:c r="I95" s="13" t="str">
        <x:v>business-case-history</x:v>
      </x:c>
      <x:c r="J95" s="13" t="str">
        <x:v>USER_TRANSACTION. STATIC_METADATA_NOT_BUSINESS_UAT</x:v>
      </x:c>
    </x:row>
    <x:row r="96" ht="53" customHeight="1">
      <x:c r="A96" s="14" t="str">
        <x:v>FE-89</x:v>
      </x:c>
      <x:c r="B96" s="6" t="str">
        <x:v>PANTALLA</x:v>
      </x:c>
      <x:c r="C96" s="6" t="str">
        <x:v>/app/strategy/strategic-benefits-my</x:v>
      </x:c>
      <x:c r="D96" s="6" t="str">
        <x:v>USER</x:v>
      </x:c>
      <x:c r="E96" s="6" t="str">
        <x:v>frontend/src/features/strategic-benefits/StrategicBenefitsWorkspace.tsx</x:v>
      </x:c>
      <x:c r="F96" s="6" t="str">
        <x:v>Business Case &amp; Investment Development &gt; Strategic Benefits Plan &amp; Traceability &gt; My Plans</x:v>
      </x:c>
      <x:c r="G96" s="6" t="str">
        <x:v>authenticated</x:v>
      </x:c>
      <x:c r="H96" s="6" t="str">
        <x:v>RENDERER_REGISTERED</x:v>
      </x:c>
      <x:c r="I96" s="6" t="str">
        <x:v>strategic-benefits-my</x:v>
      </x:c>
      <x:c r="J96" s="6" t="str">
        <x:v>USER_TRANSACTION. STATIC_METADATA_NOT_BUSINESS_UAT</x:v>
      </x:c>
    </x:row>
    <x:row r="97" ht="53" customHeight="1">
      <x:c r="A97" s="15" t="str">
        <x:v>FE-90</x:v>
      </x:c>
      <x:c r="B97" s="13" t="str">
        <x:v>PANTALLA</x:v>
      </x:c>
      <x:c r="C97" s="13" t="str">
        <x:v>/app/strategy/strategic-benefits-overview</x:v>
      </x:c>
      <x:c r="D97" s="13" t="str">
        <x:v>USER</x:v>
      </x:c>
      <x:c r="E97" s="13" t="str">
        <x:v>frontend/src/features/strategic-benefits/StrategicBenefitsWorkspace.tsx</x:v>
      </x:c>
      <x:c r="F97" s="13" t="str">
        <x:v>Business Case &amp; Investment Development &gt; Strategic Benefits Plan &amp; Traceability &gt; Overview</x:v>
      </x:c>
      <x:c r="G97" s="13" t="str">
        <x:v>authenticated</x:v>
      </x:c>
      <x:c r="H97" s="13" t="str">
        <x:v>RENDERER_REGISTERED</x:v>
      </x:c>
      <x:c r="I97" s="13" t="str">
        <x:v>strategic-benefits-overview</x:v>
      </x:c>
      <x:c r="J97" s="13" t="str">
        <x:v>USER_TRANSACTION. STATIC_METADATA_NOT_BUSINESS_UAT</x:v>
      </x:c>
    </x:row>
    <x:row r="98" ht="53" customHeight="1">
      <x:c r="A98" s="14" t="str">
        <x:v>FE-91</x:v>
      </x:c>
      <x:c r="B98" s="6" t="str">
        <x:v>PANTALLA</x:v>
      </x:c>
      <x:c r="C98" s="6" t="str">
        <x:v>/app/strategy/strategic-benefits-strategic-alignment</x:v>
      </x:c>
      <x:c r="D98" s="6" t="str">
        <x:v>USER</x:v>
      </x:c>
      <x:c r="E98" s="6" t="str">
        <x:v>frontend/src/features/strategic-benefits/StrategicBenefitsWorkspace.tsx</x:v>
      </x:c>
      <x:c r="F98" s="6" t="str">
        <x:v>Business Case &amp; Investment Development &gt; Strategic Benefits Plan &amp; Traceability &gt; Strategic Alignment</x:v>
      </x:c>
      <x:c r="G98" s="6" t="str">
        <x:v>authenticated</x:v>
      </x:c>
      <x:c r="H98" s="6" t="str">
        <x:v>RENDERER_REGISTERED</x:v>
      </x:c>
      <x:c r="I98" s="6" t="str">
        <x:v>strategic-benefits-strategic-alignment</x:v>
      </x:c>
      <x:c r="J98" s="6" t="str">
        <x:v>USER_TRANSACTION. STATIC_METADATA_NOT_BUSINESS_UAT</x:v>
      </x:c>
    </x:row>
    <x:row r="99" ht="53" customHeight="1">
      <x:c r="A99" s="15" t="str">
        <x:v>FE-92</x:v>
      </x:c>
      <x:c r="B99" s="13" t="str">
        <x:v>PANTALLA</x:v>
      </x:c>
      <x:c r="C99" s="13" t="str">
        <x:v>/app/strategy/strategic-benefits-outputs</x:v>
      </x:c>
      <x:c r="D99" s="13" t="str">
        <x:v>USER</x:v>
      </x:c>
      <x:c r="E99" s="13" t="str">
        <x:v>frontend/src/features/strategic-benefits/StrategicBenefitsWorkspace.tsx</x:v>
      </x:c>
      <x:c r="F99" s="13" t="str">
        <x:v>Business Case &amp; Investment Development &gt; Strategic Benefits Plan &amp; Traceability &gt; Outputs</x:v>
      </x:c>
      <x:c r="G99" s="13" t="str">
        <x:v>authenticated</x:v>
      </x:c>
      <x:c r="H99" s="13" t="str">
        <x:v>RENDERER_REGISTERED</x:v>
      </x:c>
      <x:c r="I99" s="13" t="str">
        <x:v>strategic-benefits-outputs</x:v>
      </x:c>
      <x:c r="J99" s="13" t="str">
        <x:v>USER_TRANSACTION. STATIC_METADATA_NOT_BUSINESS_UAT</x:v>
      </x:c>
    </x:row>
    <x:row r="100" ht="53" customHeight="1">
      <x:c r="A100" s="14" t="str">
        <x:v>FE-93</x:v>
      </x:c>
      <x:c r="B100" s="6" t="str">
        <x:v>PANTALLA</x:v>
      </x:c>
      <x:c r="C100" s="6" t="str">
        <x:v>/app/strategy/strategic-benefits-outcomes</x:v>
      </x:c>
      <x:c r="D100" s="6" t="str">
        <x:v>USER</x:v>
      </x:c>
      <x:c r="E100" s="6" t="str">
        <x:v>frontend/src/features/strategic-benefits/StrategicBenefitsWorkspace.tsx</x:v>
      </x:c>
      <x:c r="F100" s="6" t="str">
        <x:v>Business Case &amp; Investment Development &gt; Strategic Benefits Plan &amp; Traceability &gt; Outcomes</x:v>
      </x:c>
      <x:c r="G100" s="6" t="str">
        <x:v>authenticated</x:v>
      </x:c>
      <x:c r="H100" s="6" t="str">
        <x:v>RENDERER_REGISTERED</x:v>
      </x:c>
      <x:c r="I100" s="6" t="str">
        <x:v>strategic-benefits-outcomes</x:v>
      </x:c>
      <x:c r="J100" s="6" t="str">
        <x:v>USER_TRANSACTION. STATIC_METADATA_NOT_BUSINESS_UAT</x:v>
      </x:c>
    </x:row>
    <x:row r="101" ht="53" customHeight="1">
      <x:c r="A101" s="15" t="str">
        <x:v>FE-94</x:v>
      </x:c>
      <x:c r="B101" s="13" t="str">
        <x:v>PANTALLA</x:v>
      </x:c>
      <x:c r="C101" s="13" t="str">
        <x:v>/app/strategy/strategic-benefits-register</x:v>
      </x:c>
      <x:c r="D101" s="13" t="str">
        <x:v>USER</x:v>
      </x:c>
      <x:c r="E101" s="13" t="str">
        <x:v>frontend/src/features/strategic-benefits/StrategicBenefitsWorkspace.tsx</x:v>
      </x:c>
      <x:c r="F101" s="13" t="str">
        <x:v>Business Case &amp; Investment Development &gt; Strategic Benefits Plan &amp; Traceability &gt; Benefits Register</x:v>
      </x:c>
      <x:c r="G101" s="13" t="str">
        <x:v>authenticated</x:v>
      </x:c>
      <x:c r="H101" s="13" t="str">
        <x:v>RENDERER_REGISTERED</x:v>
      </x:c>
      <x:c r="I101" s="13" t="str">
        <x:v>strategic-benefits-register</x:v>
      </x:c>
      <x:c r="J101" s="13" t="str">
        <x:v>USER_TRANSACTION. STATIC_METADATA_NOT_BUSINESS_UAT</x:v>
      </x:c>
    </x:row>
    <x:row r="102" ht="53" customHeight="1">
      <x:c r="A102" s="14" t="str">
        <x:v>FE-95</x:v>
      </x:c>
      <x:c r="B102" s="6" t="str">
        <x:v>PANTALLA</x:v>
      </x:c>
      <x:c r="C102" s="6" t="str">
        <x:v>/app/strategy/strategic-benefits-measures</x:v>
      </x:c>
      <x:c r="D102" s="6" t="str">
        <x:v>USER</x:v>
      </x:c>
      <x:c r="E102" s="6" t="str">
        <x:v>frontend/src/features/strategic-benefits/StrategicBenefitsWorkspace.tsx</x:v>
      </x:c>
      <x:c r="F102" s="6" t="str">
        <x:v>Business Case &amp; Investment Development &gt; Strategic Benefits Plan &amp; Traceability &gt; Measures / KPIs</x:v>
      </x:c>
      <x:c r="G102" s="6" t="str">
        <x:v>authenticated</x:v>
      </x:c>
      <x:c r="H102" s="6" t="str">
        <x:v>RENDERER_REGISTERED</x:v>
      </x:c>
      <x:c r="I102" s="6" t="str">
        <x:v>strategic-benefits-measures</x:v>
      </x:c>
      <x:c r="J102" s="6" t="str">
        <x:v>USER_TRANSACTION. STATIC_METADATA_NOT_BUSINESS_UAT</x:v>
      </x:c>
    </x:row>
    <x:row r="103" ht="53" customHeight="1">
      <x:c r="A103" s="15" t="str">
        <x:v>FE-96</x:v>
      </x:c>
      <x:c r="B103" s="13" t="str">
        <x:v>PANTALLA</x:v>
      </x:c>
      <x:c r="C103" s="13" t="str">
        <x:v>/app/strategy/strategic-benefits-owners</x:v>
      </x:c>
      <x:c r="D103" s="13" t="str">
        <x:v>USER</x:v>
      </x:c>
      <x:c r="E103" s="13" t="str">
        <x:v>frontend/src/features/strategic-benefits/StrategicBenefitsWorkspace.tsx</x:v>
      </x:c>
      <x:c r="F103" s="13" t="str">
        <x:v>Business Case &amp; Investment Development &gt; Strategic Benefits Plan &amp; Traceability &gt; Benefit Owners</x:v>
      </x:c>
      <x:c r="G103" s="13" t="str">
        <x:v>authenticated</x:v>
      </x:c>
      <x:c r="H103" s="13" t="str">
        <x:v>RENDERER_REGISTERED</x:v>
      </x:c>
      <x:c r="I103" s="13" t="str">
        <x:v>strategic-benefits-owners</x:v>
      </x:c>
      <x:c r="J103" s="13" t="str">
        <x:v>USER_TRANSACTION. STATIC_METADATA_NOT_BUSINESS_UAT</x:v>
      </x:c>
    </x:row>
    <x:row r="104" ht="53" customHeight="1">
      <x:c r="A104" s="14" t="str">
        <x:v>FE-97</x:v>
      </x:c>
      <x:c r="B104" s="6" t="str">
        <x:v>PANTALLA</x:v>
      </x:c>
      <x:c r="C104" s="6" t="str">
        <x:v>/app/strategy/strategic-benefits-baselines-targets</x:v>
      </x:c>
      <x:c r="D104" s="6" t="str">
        <x:v>USER</x:v>
      </x:c>
      <x:c r="E104" s="6" t="str">
        <x:v>frontend/src/features/strategic-benefits/StrategicBenefitsWorkspace.tsx</x:v>
      </x:c>
      <x:c r="F104" s="6" t="str">
        <x:v>Business Case &amp; Investment Development &gt; Strategic Benefits Plan &amp; Traceability &gt; Baselines &amp; Targets</x:v>
      </x:c>
      <x:c r="G104" s="6" t="str">
        <x:v>authenticated</x:v>
      </x:c>
      <x:c r="H104" s="6" t="str">
        <x:v>RENDERER_REGISTERED</x:v>
      </x:c>
      <x:c r="I104" s="6" t="str">
        <x:v>strategic-benefits-baselines-targets</x:v>
      </x:c>
      <x:c r="J104" s="6" t="str">
        <x:v>USER_TRANSACTION. STATIC_METADATA_NOT_BUSINESS_UAT</x:v>
      </x:c>
    </x:row>
    <x:row r="105" ht="53" customHeight="1">
      <x:c r="A105" s="15" t="str">
        <x:v>FE-98</x:v>
      </x:c>
      <x:c r="B105" s="13" t="str">
        <x:v>PANTALLA</x:v>
      </x:c>
      <x:c r="C105" s="13" t="str">
        <x:v>/app/strategy/strategic-benefits-expected-value</x:v>
      </x:c>
      <x:c r="D105" s="13" t="str">
        <x:v>USER</x:v>
      </x:c>
      <x:c r="E105" s="13" t="str">
        <x:v>frontend/src/features/strategic-benefits/StrategicBenefitsWorkspace.tsx</x:v>
      </x:c>
      <x:c r="F105" s="13" t="str">
        <x:v>Business Case &amp; Investment Development &gt; Strategic Benefits Plan &amp; Traceability &gt; Expected Value</x:v>
      </x:c>
      <x:c r="G105" s="13" t="str">
        <x:v>authenticated</x:v>
      </x:c>
      <x:c r="H105" s="13" t="str">
        <x:v>RENDERER_REGISTERED</x:v>
      </x:c>
      <x:c r="I105" s="13" t="str">
        <x:v>strategic-benefits-expected-value</x:v>
      </x:c>
      <x:c r="J105" s="13" t="str">
        <x:v>USER_TRANSACTION. STATIC_METADATA_NOT_BUSINESS_UAT</x:v>
      </x:c>
    </x:row>
    <x:row r="106" ht="53" customHeight="1">
      <x:c r="A106" s="14" t="str">
        <x:v>FE-99</x:v>
      </x:c>
      <x:c r="B106" s="6" t="str">
        <x:v>PANTALLA</x:v>
      </x:c>
      <x:c r="C106" s="6" t="str">
        <x:v>/app/strategy/strategic-benefits-dependencies</x:v>
      </x:c>
      <x:c r="D106" s="6" t="str">
        <x:v>USER</x:v>
      </x:c>
      <x:c r="E106" s="6" t="str">
        <x:v>frontend/src/features/strategic-benefits/StrategicBenefitsWorkspace.tsx</x:v>
      </x:c>
      <x:c r="F106" s="6" t="str">
        <x:v>Business Case &amp; Investment Development &gt; Strategic Benefits Plan &amp; Traceability &gt; Dependencies</x:v>
      </x:c>
      <x:c r="G106" s="6" t="str">
        <x:v>authenticated</x:v>
      </x:c>
      <x:c r="H106" s="6" t="str">
        <x:v>RENDERER_REGISTERED</x:v>
      </x:c>
      <x:c r="I106" s="6" t="str">
        <x:v>strategic-benefits-dependencies</x:v>
      </x:c>
      <x:c r="J106" s="6" t="str">
        <x:v>USER_TRANSACTION. STATIC_METADATA_NOT_BUSINESS_UAT</x:v>
      </x:c>
    </x:row>
    <x:row r="107" ht="53" customHeight="1">
      <x:c r="A107" s="15" t="str">
        <x:v>FE-100</x:v>
      </x:c>
      <x:c r="B107" s="13" t="str">
        <x:v>PANTALLA</x:v>
      </x:c>
      <x:c r="C107" s="13" t="str">
        <x:v>/app/strategy/strategic-benefits-assumptions-constraints</x:v>
      </x:c>
      <x:c r="D107" s="13" t="str">
        <x:v>USER</x:v>
      </x:c>
      <x:c r="E107" s="13" t="str">
        <x:v>frontend/src/features/strategic-benefits/StrategicBenefitsWorkspace.tsx</x:v>
      </x:c>
      <x:c r="F107" s="13" t="str">
        <x:v>Business Case &amp; Investment Development &gt; Strategic Benefits Plan &amp; Traceability &gt; Assumptions / Constraints</x:v>
      </x:c>
      <x:c r="G107" s="13" t="str">
        <x:v>authenticated</x:v>
      </x:c>
      <x:c r="H107" s="13" t="str">
        <x:v>RENDERER_REGISTERED</x:v>
      </x:c>
      <x:c r="I107" s="13" t="str">
        <x:v>strategic-benefits-assumptions-constraints</x:v>
      </x:c>
      <x:c r="J107" s="13" t="str">
        <x:v>USER_TRANSACTION. STATIC_METADATA_NOT_BUSINESS_UAT</x:v>
      </x:c>
    </x:row>
    <x:row r="108" ht="53" customHeight="1">
      <x:c r="A108" s="14" t="str">
        <x:v>FE-101</x:v>
      </x:c>
      <x:c r="B108" s="6" t="str">
        <x:v>PANTALLA</x:v>
      </x:c>
      <x:c r="C108" s="6" t="str">
        <x:v>/app/strategy/strategic-benefits-risk-references</x:v>
      </x:c>
      <x:c r="D108" s="6" t="str">
        <x:v>USER</x:v>
      </x:c>
      <x:c r="E108" s="6" t="str">
        <x:v>frontend/src/features/strategic-benefits/StrategicBenefitsWorkspace.tsx</x:v>
      </x:c>
      <x:c r="F108" s="6" t="str">
        <x:v>Business Case &amp; Investment Development &gt; Strategic Benefits Plan &amp; Traceability &gt; Risk References</x:v>
      </x:c>
      <x:c r="G108" s="6" t="str">
        <x:v>authenticated</x:v>
      </x:c>
      <x:c r="H108" s="6" t="str">
        <x:v>RENDERER_REGISTERED</x:v>
      </x:c>
      <x:c r="I108" s="6" t="str">
        <x:v>strategic-benefits-risk-references</x:v>
      </x:c>
      <x:c r="J108" s="6" t="str">
        <x:v>USER_TRANSACTION. STATIC_METADATA_NOT_BUSINESS_UAT</x:v>
      </x:c>
    </x:row>
    <x:row r="109" ht="53" customHeight="1">
      <x:c r="A109" s="15" t="str">
        <x:v>FE-102</x:v>
      </x:c>
      <x:c r="B109" s="13" t="str">
        <x:v>PANTALLA</x:v>
      </x:c>
      <x:c r="C109" s="13" t="str">
        <x:v>/app/strategy/strategic-benefits-traceability</x:v>
      </x:c>
      <x:c r="D109" s="13" t="str">
        <x:v>USER</x:v>
      </x:c>
      <x:c r="E109" s="13" t="str">
        <x:v>frontend/src/features/strategic-benefits/StrategicBenefitsWorkspace.tsx</x:v>
      </x:c>
      <x:c r="F109" s="13" t="str">
        <x:v>Business Case &amp; Investment Development &gt; Strategic Benefits Plan &amp; Traceability &gt; Traceability</x:v>
      </x:c>
      <x:c r="G109" s="13" t="str">
        <x:v>authenticated</x:v>
      </x:c>
      <x:c r="H109" s="13" t="str">
        <x:v>RENDERER_REGISTERED</x:v>
      </x:c>
      <x:c r="I109" s="13" t="str">
        <x:v>strategic-benefits-traceability</x:v>
      </x:c>
      <x:c r="J109" s="13" t="str">
        <x:v>USER_TRANSACTION. STATIC_METADATA_NOT_BUSINESS_UAT</x:v>
      </x:c>
    </x:row>
    <x:row r="110" ht="53" customHeight="1">
      <x:c r="A110" s="14" t="str">
        <x:v>FE-103</x:v>
      </x:c>
      <x:c r="B110" s="6" t="str">
        <x:v>PANTALLA</x:v>
      </x:c>
      <x:c r="C110" s="6" t="str">
        <x:v>/app/strategy/strategic-benefits-readiness</x:v>
      </x:c>
      <x:c r="D110" s="6" t="str">
        <x:v>USER</x:v>
      </x:c>
      <x:c r="E110" s="6" t="str">
        <x:v>frontend/src/features/strategic-benefits/StrategicBenefitsWorkspace.tsx</x:v>
      </x:c>
      <x:c r="F110" s="6" t="str">
        <x:v>Business Case &amp; Investment Development &gt; Strategic Benefits Plan &amp; Traceability &gt; Readiness</x:v>
      </x:c>
      <x:c r="G110" s="6" t="str">
        <x:v>authenticated</x:v>
      </x:c>
      <x:c r="H110" s="6" t="str">
        <x:v>RENDERER_REGISTERED</x:v>
      </x:c>
      <x:c r="I110" s="6" t="str">
        <x:v>strategic-benefits-readiness</x:v>
      </x:c>
      <x:c r="J110" s="6" t="str">
        <x:v>USER_TRANSACTION. STATIC_METADATA_NOT_BUSINESS_UAT</x:v>
      </x:c>
    </x:row>
    <x:row r="111" ht="53" customHeight="1">
      <x:c r="A111" s="15" t="str">
        <x:v>FE-104</x:v>
      </x:c>
      <x:c r="B111" s="13" t="str">
        <x:v>PANTALLA</x:v>
      </x:c>
      <x:c r="C111" s="13" t="str">
        <x:v>/app/strategy/strategic-benefits-history</x:v>
      </x:c>
      <x:c r="D111" s="13" t="str">
        <x:v>USER</x:v>
      </x:c>
      <x:c r="E111" s="13" t="str">
        <x:v>frontend/src/features/strategic-benefits/StrategicBenefitsWorkspace.tsx</x:v>
      </x:c>
      <x:c r="F111" s="13" t="str">
        <x:v>Business Case &amp; Investment Development &gt; Strategic Benefits Plan &amp; Traceability &gt; History</x:v>
      </x:c>
      <x:c r="G111" s="13" t="str">
        <x:v>authenticated</x:v>
      </x:c>
      <x:c r="H111" s="13" t="str">
        <x:v>RENDERER_REGISTERED</x:v>
      </x:c>
      <x:c r="I111" s="13" t="str">
        <x:v>strategic-benefits-history</x:v>
      </x:c>
      <x:c r="J111" s="13" t="str">
        <x:v>USER_TRANSACTION. STATIC_METADATA_NOT_BUSINESS_UAT</x:v>
      </x:c>
    </x:row>
    <x:row r="112" ht="53" customHeight="1">
      <x:c r="A112" s="14" t="str">
        <x:v>FE-105</x:v>
      </x:c>
      <x:c r="B112" s="6" t="str">
        <x:v>PANTALLA</x:v>
      </x:c>
      <x:c r="C112" s="6" t="str">
        <x:v>/app/strategy/commercial-strategy-my</x:v>
      </x:c>
      <x:c r="D112" s="6" t="str">
        <x:v>USER</x:v>
      </x:c>
      <x:c r="E112" s="6" t="str">
        <x:v>frontend/src/features/commercial-strategy/CommercialStrategyWorkspace.tsx</x:v>
      </x:c>
      <x:c r="F112" s="6" t="str">
        <x:v>Business Case &amp; Investment Development &gt; Commercial &amp; Contracting Strategy &gt; My Strategies</x:v>
      </x:c>
      <x:c r="G112" s="6" t="str">
        <x:v>authenticated</x:v>
      </x:c>
      <x:c r="H112" s="6" t="str">
        <x:v>RENDERER_REGISTERED</x:v>
      </x:c>
      <x:c r="I112" s="6" t="str">
        <x:v>commercial-strategy-my</x:v>
      </x:c>
      <x:c r="J112" s="6" t="str">
        <x:v>USER_TRANSACTION. STATIC_METADATA_NOT_BUSINESS_UAT</x:v>
      </x:c>
    </x:row>
    <x:row r="113" ht="53" customHeight="1">
      <x:c r="A113" s="15" t="str">
        <x:v>FE-106</x:v>
      </x:c>
      <x:c r="B113" s="13" t="str">
        <x:v>PANTALLA</x:v>
      </x:c>
      <x:c r="C113" s="13" t="str">
        <x:v>/app/strategy/commercial-strategy-overview</x:v>
      </x:c>
      <x:c r="D113" s="13" t="str">
        <x:v>USER</x:v>
      </x:c>
      <x:c r="E113" s="13" t="str">
        <x:v>frontend/src/features/commercial-strategy/CommercialStrategyWorkspace.tsx</x:v>
      </x:c>
      <x:c r="F113" s="13" t="str">
        <x:v>Business Case &amp; Investment Development &gt; Commercial &amp; Contracting Strategy &gt; Overview</x:v>
      </x:c>
      <x:c r="G113" s="13" t="str">
        <x:v>authenticated</x:v>
      </x:c>
      <x:c r="H113" s="13" t="str">
        <x:v>RENDERER_REGISTERED</x:v>
      </x:c>
      <x:c r="I113" s="13" t="str">
        <x:v>commercial-strategy-overview</x:v>
      </x:c>
      <x:c r="J113" s="13" t="str">
        <x:v>USER_TRANSACTION. STATIC_METADATA_NOT_BUSINESS_UAT</x:v>
      </x:c>
    </x:row>
    <x:row r="114" ht="53" customHeight="1">
      <x:c r="A114" s="14" t="str">
        <x:v>FE-107</x:v>
      </x:c>
      <x:c r="B114" s="6" t="str">
        <x:v>PANTALLA</x:v>
      </x:c>
      <x:c r="C114" s="6" t="str">
        <x:v>/app/strategy/commercial-strategy-context</x:v>
      </x:c>
      <x:c r="D114" s="6" t="str">
        <x:v>USER</x:v>
      </x:c>
      <x:c r="E114" s="6" t="str">
        <x:v>frontend/src/features/commercial-strategy/CommercialStrategyWorkspace.tsx</x:v>
      </x:c>
      <x:c r="F114" s="6" t="str">
        <x:v>Business Case &amp; Investment Development &gt; Commercial &amp; Contracting Strategy &gt; Commercial Context</x:v>
      </x:c>
      <x:c r="G114" s="6" t="str">
        <x:v>authenticated</x:v>
      </x:c>
      <x:c r="H114" s="6" t="str">
        <x:v>RENDERER_REGISTERED</x:v>
      </x:c>
      <x:c r="I114" s="6" t="str">
        <x:v>commercial-strategy-context</x:v>
      </x:c>
      <x:c r="J114" s="6" t="str">
        <x:v>USER_TRANSACTION. STATIC_METADATA_NOT_BUSINESS_UAT</x:v>
      </x:c>
    </x:row>
    <x:row r="115" ht="53" customHeight="1">
      <x:c r="A115" s="15" t="str">
        <x:v>FE-108</x:v>
      </x:c>
      <x:c r="B115" s="13" t="str">
        <x:v>PANTALLA</x:v>
      </x:c>
      <x:c r="C115" s="13" t="str">
        <x:v>/app/strategy/commercial-strategy-procurement</x:v>
      </x:c>
      <x:c r="D115" s="13" t="str">
        <x:v>USER</x:v>
      </x:c>
      <x:c r="E115" s="13" t="str">
        <x:v>frontend/src/features/commercial-strategy/CommercialStrategyWorkspace.tsx</x:v>
      </x:c>
      <x:c r="F115" s="13" t="str">
        <x:v>Business Case &amp; Investment Development &gt; Commercial &amp; Contracting Strategy &gt; Procurement Approach</x:v>
      </x:c>
      <x:c r="G115" s="13" t="str">
        <x:v>authenticated</x:v>
      </x:c>
      <x:c r="H115" s="13" t="str">
        <x:v>RENDERER_REGISTERED</x:v>
      </x:c>
      <x:c r="I115" s="13" t="str">
        <x:v>commercial-strategy-procurement</x:v>
      </x:c>
      <x:c r="J115" s="13" t="str">
        <x:v>USER_TRANSACTION. STATIC_METADATA_NOT_BUSINESS_UAT</x:v>
      </x:c>
    </x:row>
    <x:row r="116" ht="53" customHeight="1">
      <x:c r="A116" s="14" t="str">
        <x:v>FE-109</x:v>
      </x:c>
      <x:c r="B116" s="6" t="str">
        <x:v>PANTALLA</x:v>
      </x:c>
      <x:c r="C116" s="6" t="str">
        <x:v>/app/strategy/commercial-strategy-packages</x:v>
      </x:c>
      <x:c r="D116" s="6" t="str">
        <x:v>USER</x:v>
      </x:c>
      <x:c r="E116" s="6" t="str">
        <x:v>frontend/src/features/commercial-strategy/CommercialStrategyWorkspace.tsx</x:v>
      </x:c>
      <x:c r="F116" s="6" t="str">
        <x:v>Business Case &amp; Investment Development &gt; Commercial &amp; Contracting Strategy &gt; Packages</x:v>
      </x:c>
      <x:c r="G116" s="6" t="str">
        <x:v>authenticated</x:v>
      </x:c>
      <x:c r="H116" s="6" t="str">
        <x:v>RENDERER_REGISTERED</x:v>
      </x:c>
      <x:c r="I116" s="6" t="str">
        <x:v>commercial-strategy-packages</x:v>
      </x:c>
      <x:c r="J116" s="6" t="str">
        <x:v>USER_TRANSACTION. STATIC_METADATA_NOT_BUSINESS_UAT</x:v>
      </x:c>
    </x:row>
    <x:row r="117" ht="53" customHeight="1">
      <x:c r="A117" s="15" t="str">
        <x:v>FE-110</x:v>
      </x:c>
      <x:c r="B117" s="13" t="str">
        <x:v>PANTALLA</x:v>
      </x:c>
      <x:c r="C117" s="13" t="str">
        <x:v>/app/strategy/commercial-strategy-contracting-model</x:v>
      </x:c>
      <x:c r="D117" s="13" t="str">
        <x:v>USER</x:v>
      </x:c>
      <x:c r="E117" s="13" t="str">
        <x:v>frontend/src/features/commercial-strategy/CommercialStrategyWorkspace.tsx</x:v>
      </x:c>
      <x:c r="F117" s="13" t="str">
        <x:v>Business Case &amp; Investment Development &gt; Commercial &amp; Contracting Strategy &gt; Contracting Model</x:v>
      </x:c>
      <x:c r="G117" s="13" t="str">
        <x:v>authenticated</x:v>
      </x:c>
      <x:c r="H117" s="13" t="str">
        <x:v>RENDERER_REGISTERED</x:v>
      </x:c>
      <x:c r="I117" s="13" t="str">
        <x:v>commercial-strategy-contracting-model</x:v>
      </x:c>
      <x:c r="J117" s="13" t="str">
        <x:v>USER_TRANSACTION. STATIC_METADATA_NOT_BUSINESS_UAT</x:v>
      </x:c>
    </x:row>
    <x:row r="118" ht="53" customHeight="1">
      <x:c r="A118" s="14" t="str">
        <x:v>FE-111</x:v>
      </x:c>
      <x:c r="B118" s="6" t="str">
        <x:v>PANTALLA</x:v>
      </x:c>
      <x:c r="C118" s="6" t="str">
        <x:v>/app/strategy/commercial-strategy-market</x:v>
      </x:c>
      <x:c r="D118" s="6" t="str">
        <x:v>USER</x:v>
      </x:c>
      <x:c r="E118" s="6" t="str">
        <x:v>frontend/src/features/commercial-strategy/CommercialStrategyWorkspace.tsx</x:v>
      </x:c>
      <x:c r="F118" s="6" t="str">
        <x:v>Business Case &amp; Investment Development &gt; Commercial &amp; Contracting Strategy &gt; Market Assessment</x:v>
      </x:c>
      <x:c r="G118" s="6" t="str">
        <x:v>authenticated</x:v>
      </x:c>
      <x:c r="H118" s="6" t="str">
        <x:v>RENDERER_REGISTERED</x:v>
      </x:c>
      <x:c r="I118" s="6" t="str">
        <x:v>commercial-strategy-market</x:v>
      </x:c>
      <x:c r="J118" s="6" t="str">
        <x:v>USER_TRANSACTION. STATIC_METADATA_NOT_BUSINESS_UAT</x:v>
      </x:c>
    </x:row>
    <x:row r="119" ht="53" customHeight="1">
      <x:c r="A119" s="15" t="str">
        <x:v>FE-112</x:v>
      </x:c>
      <x:c r="B119" s="13" t="str">
        <x:v>PANTALLA</x:v>
      </x:c>
      <x:c r="C119" s="13" t="str">
        <x:v>/app/strategy/commercial-strategy-supply-chain</x:v>
      </x:c>
      <x:c r="D119" s="13" t="str">
        <x:v>USER</x:v>
      </x:c>
      <x:c r="E119" s="13" t="str">
        <x:v>frontend/src/features/commercial-strategy/CommercialStrategyWorkspace.tsx</x:v>
      </x:c>
      <x:c r="F119" s="13" t="str">
        <x:v>Business Case &amp; Investment Development &gt; Commercial &amp; Contracting Strategy &gt; Supply Chain</x:v>
      </x:c>
      <x:c r="G119" s="13" t="str">
        <x:v>authenticated</x:v>
      </x:c>
      <x:c r="H119" s="13" t="str">
        <x:v>RENDERER_REGISTERED</x:v>
      </x:c>
      <x:c r="I119" s="13" t="str">
        <x:v>commercial-strategy-supply-chain</x:v>
      </x:c>
      <x:c r="J119" s="13" t="str">
        <x:v>USER_TRANSACTION. STATIC_METADATA_NOT_BUSINESS_UAT</x:v>
      </x:c>
    </x:row>
    <x:row r="120" ht="53" customHeight="1">
      <x:c r="A120" s="14" t="str">
        <x:v>FE-113</x:v>
      </x:c>
      <x:c r="B120" s="6" t="str">
        <x:v>PANTALLA</x:v>
      </x:c>
      <x:c r="C120" s="6" t="str">
        <x:v>/app/strategy/commercial-strategy-risk-allocation</x:v>
      </x:c>
      <x:c r="D120" s="6" t="str">
        <x:v>USER</x:v>
      </x:c>
      <x:c r="E120" s="6" t="str">
        <x:v>frontend/src/features/commercial-strategy/CommercialStrategyWorkspace.tsx</x:v>
      </x:c>
      <x:c r="F120" s="6" t="str">
        <x:v>Business Case &amp; Investment Development &gt; Commercial &amp; Contracting Strategy &gt; Risk Allocation</x:v>
      </x:c>
      <x:c r="G120" s="6" t="str">
        <x:v>authenticated</x:v>
      </x:c>
      <x:c r="H120" s="6" t="str">
        <x:v>RENDERER_REGISTERED</x:v>
      </x:c>
      <x:c r="I120" s="6" t="str">
        <x:v>commercial-strategy-risk-allocation</x:v>
      </x:c>
      <x:c r="J120" s="6" t="str">
        <x:v>USER_TRANSACTION. STATIC_METADATA_NOT_BUSINESS_UAT</x:v>
      </x:c>
    </x:row>
    <x:row r="121" ht="53" customHeight="1">
      <x:c r="A121" s="15" t="str">
        <x:v>FE-114</x:v>
      </x:c>
      <x:c r="B121" s="13" t="str">
        <x:v>PANTALLA</x:v>
      </x:c>
      <x:c r="C121" s="13" t="str">
        <x:v>/app/strategy/commercial-strategy-payment-incentives</x:v>
      </x:c>
      <x:c r="D121" s="13" t="str">
        <x:v>USER</x:v>
      </x:c>
      <x:c r="E121" s="13" t="str">
        <x:v>frontend/src/features/commercial-strategy/CommercialStrategyWorkspace.tsx</x:v>
      </x:c>
      <x:c r="F121" s="13" t="str">
        <x:v>Business Case &amp; Investment Development &gt; Commercial &amp; Contracting Strategy &gt; Payment &amp; Incentives</x:v>
      </x:c>
      <x:c r="G121" s="13" t="str">
        <x:v>authenticated</x:v>
      </x:c>
      <x:c r="H121" s="13" t="str">
        <x:v>RENDERER_REGISTERED</x:v>
      </x:c>
      <x:c r="I121" s="13" t="str">
        <x:v>commercial-strategy-payment-incentives</x:v>
      </x:c>
      <x:c r="J121" s="13" t="str">
        <x:v>USER_TRANSACTION. STATIC_METADATA_NOT_BUSINESS_UAT</x:v>
      </x:c>
    </x:row>
    <x:row r="122" ht="53" customHeight="1">
      <x:c r="A122" s="14" t="str">
        <x:v>FE-115</x:v>
      </x:c>
      <x:c r="B122" s="6" t="str">
        <x:v>PANTALLA</x:v>
      </x:c>
      <x:c r="C122" s="6" t="str">
        <x:v>/app/strategy/commercial-strategy-assumptions</x:v>
      </x:c>
      <x:c r="D122" s="6" t="str">
        <x:v>USER</x:v>
      </x:c>
      <x:c r="E122" s="6" t="str">
        <x:v>frontend/src/features/commercial-strategy/CommercialStrategyWorkspace.tsx</x:v>
      </x:c>
      <x:c r="F122" s="6" t="str">
        <x:v>Business Case &amp; Investment Development &gt; Commercial &amp; Contracting Strategy &gt; Assumptions / Constraints</x:v>
      </x:c>
      <x:c r="G122" s="6" t="str">
        <x:v>authenticated</x:v>
      </x:c>
      <x:c r="H122" s="6" t="str">
        <x:v>RENDERER_REGISTERED</x:v>
      </x:c>
      <x:c r="I122" s="6" t="str">
        <x:v>commercial-strategy-assumptions</x:v>
      </x:c>
      <x:c r="J122" s="6" t="str">
        <x:v>USER_TRANSACTION. STATIC_METADATA_NOT_BUSINESS_UAT</x:v>
      </x:c>
    </x:row>
    <x:row r="123" ht="53" customHeight="1">
      <x:c r="A123" s="15" t="str">
        <x:v>FE-116</x:v>
      </x:c>
      <x:c r="B123" s="13" t="str">
        <x:v>PANTALLA</x:v>
      </x:c>
      <x:c r="C123" s="13" t="str">
        <x:v>/app/strategy/commercial-strategy-recommendation</x:v>
      </x:c>
      <x:c r="D123" s="13" t="str">
        <x:v>USER</x:v>
      </x:c>
      <x:c r="E123" s="13" t="str">
        <x:v>frontend/src/features/commercial-strategy/CommercialStrategyWorkspace.tsx</x:v>
      </x:c>
      <x:c r="F123" s="13" t="str">
        <x:v>Business Case &amp; Investment Development &gt; Commercial &amp; Contracting Strategy &gt; Recommendation</x:v>
      </x:c>
      <x:c r="G123" s="13" t="str">
        <x:v>authenticated</x:v>
      </x:c>
      <x:c r="H123" s="13" t="str">
        <x:v>RENDERER_REGISTERED</x:v>
      </x:c>
      <x:c r="I123" s="13" t="str">
        <x:v>commercial-strategy-recommendation</x:v>
      </x:c>
      <x:c r="J123" s="13" t="str">
        <x:v>USER_TRANSACTION. STATIC_METADATA_NOT_BUSINESS_UAT</x:v>
      </x:c>
    </x:row>
    <x:row r="124" ht="53" customHeight="1">
      <x:c r="A124" s="14" t="str">
        <x:v>FE-117</x:v>
      </x:c>
      <x:c r="B124" s="6" t="str">
        <x:v>PANTALLA</x:v>
      </x:c>
      <x:c r="C124" s="6" t="str">
        <x:v>/app/strategy/commercial-strategy-readiness</x:v>
      </x:c>
      <x:c r="D124" s="6" t="str">
        <x:v>USER</x:v>
      </x:c>
      <x:c r="E124" s="6" t="str">
        <x:v>frontend/src/features/commercial-strategy/CommercialStrategyWorkspace.tsx</x:v>
      </x:c>
      <x:c r="F124" s="6" t="str">
        <x:v>Business Case &amp; Investment Development &gt; Commercial &amp; Contracting Strategy &gt; Readiness</x:v>
      </x:c>
      <x:c r="G124" s="6" t="str">
        <x:v>authenticated</x:v>
      </x:c>
      <x:c r="H124" s="6" t="str">
        <x:v>RENDERER_REGISTERED</x:v>
      </x:c>
      <x:c r="I124" s="6" t="str">
        <x:v>commercial-strategy-readiness</x:v>
      </x:c>
      <x:c r="J124" s="6" t="str">
        <x:v>USER_TRANSACTION. STATIC_METADATA_NOT_BUSINESS_UAT</x:v>
      </x:c>
    </x:row>
    <x:row r="125" ht="53" customHeight="1">
      <x:c r="A125" s="15" t="str">
        <x:v>FE-118</x:v>
      </x:c>
      <x:c r="B125" s="13" t="str">
        <x:v>PANTALLA</x:v>
      </x:c>
      <x:c r="C125" s="13" t="str">
        <x:v>/app/strategy/commercial-strategy-history</x:v>
      </x:c>
      <x:c r="D125" s="13" t="str">
        <x:v>USER</x:v>
      </x:c>
      <x:c r="E125" s="13" t="str">
        <x:v>frontend/src/features/commercial-strategy/CommercialStrategyWorkspace.tsx</x:v>
      </x:c>
      <x:c r="F125" s="13" t="str">
        <x:v>Business Case &amp; Investment Development &gt; Commercial &amp; Contracting Strategy &gt; History</x:v>
      </x:c>
      <x:c r="G125" s="13" t="str">
        <x:v>authenticated</x:v>
      </x:c>
      <x:c r="H125" s="13" t="str">
        <x:v>RENDERER_REGISTERED</x:v>
      </x:c>
      <x:c r="I125" s="13" t="str">
        <x:v>commercial-strategy-history</x:v>
      </x:c>
      <x:c r="J125" s="13" t="str">
        <x:v>USER_TRANSACTION. STATIC_METADATA_NOT_BUSINESS_UAT</x:v>
      </x:c>
    </x:row>
    <x:row r="126" ht="42" customHeight="1">
      <x:c r="A126" s="14" t="str">
        <x:v>FE-119</x:v>
      </x:c>
      <x:c r="B126" s="6" t="str">
        <x:v>PANTALLA</x:v>
      </x:c>
      <x:c r="C126" s="6" t="str">
        <x:v>/app/strategy/funds-overview</x:v>
      </x:c>
      <x:c r="D126" s="6" t="str">
        <x:v>USER</x:v>
      </x:c>
      <x:c r="E126" s="6" t="str">
        <x:v>frontend/src/features/funds-manager/FundsManagerWorkspace.tsx</x:v>
      </x:c>
      <x:c r="F126" s="6" t="str">
        <x:v>Business Case &amp; Investment Development &gt; Funds &amp; Funding Readiness &gt; Overview</x:v>
      </x:c>
      <x:c r="G126" s="6" t="str">
        <x:v>authenticated</x:v>
      </x:c>
      <x:c r="H126" s="6" t="str">
        <x:v>RENDERER_REGISTERED</x:v>
      </x:c>
      <x:c r="I126" s="6" t="str">
        <x:v>funds-overview</x:v>
      </x:c>
      <x:c r="J126" s="6" t="str">
        <x:v>USER_TRANSACTION. STATIC_METADATA_NOT_BUSINESS_UAT</x:v>
      </x:c>
    </x:row>
    <x:row r="127" ht="53" customHeight="1">
      <x:c r="A127" s="15" t="str">
        <x:v>FE-120</x:v>
      </x:c>
      <x:c r="B127" s="13" t="str">
        <x:v>PANTALLA</x:v>
      </x:c>
      <x:c r="C127" s="13" t="str">
        <x:v>/app/strategy/funds-sources</x:v>
      </x:c>
      <x:c r="D127" s="13" t="str">
        <x:v>USER</x:v>
      </x:c>
      <x:c r="E127" s="13" t="str">
        <x:v>frontend/src/features/funds-manager/FundsManagerWorkspace.tsx</x:v>
      </x:c>
      <x:c r="F127" s="13" t="str">
        <x:v>Business Case &amp; Investment Development &gt; Funds &amp; Funding Readiness &gt; Funding Sources</x:v>
      </x:c>
      <x:c r="G127" s="13" t="str">
        <x:v>authenticated</x:v>
      </x:c>
      <x:c r="H127" s="13" t="str">
        <x:v>RENDERER_REGISTERED</x:v>
      </x:c>
      <x:c r="I127" s="13" t="str">
        <x:v>funds-sources</x:v>
      </x:c>
      <x:c r="J127" s="13" t="str">
        <x:v>USER_TRANSACTION. STATIC_METADATA_NOT_BUSINESS_UAT</x:v>
      </x:c>
    </x:row>
    <x:row r="128" ht="42" customHeight="1">
      <x:c r="A128" s="14" t="str">
        <x:v>FE-121</x:v>
      </x:c>
      <x:c r="B128" s="6" t="str">
        <x:v>PANTALLA</x:v>
      </x:c>
      <x:c r="C128" s="6" t="str">
        <x:v>/app/strategy/funds-envelopes</x:v>
      </x:c>
      <x:c r="D128" s="6" t="str">
        <x:v>USER</x:v>
      </x:c>
      <x:c r="E128" s="6" t="str">
        <x:v>frontend/src/features/funds-manager/FundsManagerWorkspace.tsx</x:v>
      </x:c>
      <x:c r="F128" s="6" t="str">
        <x:v>Business Case &amp; Investment Development &gt; Funds &amp; Funding Readiness &gt; Funds</x:v>
      </x:c>
      <x:c r="G128" s="6" t="str">
        <x:v>authenticated</x:v>
      </x:c>
      <x:c r="H128" s="6" t="str">
        <x:v>RENDERER_REGISTERED</x:v>
      </x:c>
      <x:c r="I128" s="6" t="str">
        <x:v>funds-envelopes</x:v>
      </x:c>
      <x:c r="J128" s="6" t="str">
        <x:v>USER_TRANSACTION. STATIC_METADATA_NOT_BUSINESS_UAT</x:v>
      </x:c>
    </x:row>
    <x:row r="129" ht="53" customHeight="1">
      <x:c r="A129" s="15" t="str">
        <x:v>FE-122</x:v>
      </x:c>
      <x:c r="B129" s="13" t="str">
        <x:v>PANTALLA</x:v>
      </x:c>
      <x:c r="C129" s="13" t="str">
        <x:v>/app/strategy/funds-assignments</x:v>
      </x:c>
      <x:c r="D129" s="13" t="str">
        <x:v>USER</x:v>
      </x:c>
      <x:c r="E129" s="13" t="str">
        <x:v>frontend/src/features/funds-manager/FundsManagerWorkspace.tsx</x:v>
      </x:c>
      <x:c r="F129" s="13" t="str">
        <x:v>Business Case &amp; Investment Development &gt; Funds &amp; Funding Readiness &gt; Funding Assignments</x:v>
      </x:c>
      <x:c r="G129" s="13" t="str">
        <x:v>authenticated</x:v>
      </x:c>
      <x:c r="H129" s="13" t="str">
        <x:v>RENDERER_REGISTERED</x:v>
      </x:c>
      <x:c r="I129" s="13" t="str">
        <x:v>funds-assignments</x:v>
      </x:c>
      <x:c r="J129" s="13" t="str">
        <x:v>USER_TRANSACTION. STATIC_METADATA_NOT_BUSINESS_UAT</x:v>
      </x:c>
    </x:row>
    <x:row r="130" ht="53" customHeight="1">
      <x:c r="A130" s="14" t="str">
        <x:v>FE-123</x:v>
      </x:c>
      <x:c r="B130" s="6" t="str">
        <x:v>PANTALLA</x:v>
      </x:c>
      <x:c r="C130" s="6" t="str">
        <x:v>/app/strategy/funds-coverage</x:v>
      </x:c>
      <x:c r="D130" s="6" t="str">
        <x:v>USER</x:v>
      </x:c>
      <x:c r="E130" s="6" t="str">
        <x:v>frontend/src/features/funds-manager/FundsManagerWorkspace.tsx</x:v>
      </x:c>
      <x:c r="F130" s="6" t="str">
        <x:v>Business Case &amp; Investment Development &gt; Funds &amp; Funding Readiness &gt; Funding Coverage</x:v>
      </x:c>
      <x:c r="G130" s="6" t="str">
        <x:v>authenticated</x:v>
      </x:c>
      <x:c r="H130" s="6" t="str">
        <x:v>RENDERER_REGISTERED</x:v>
      </x:c>
      <x:c r="I130" s="6" t="str">
        <x:v>funds-coverage</x:v>
      </x:c>
      <x:c r="J130" s="6" t="str">
        <x:v>USER_TRANSACTION. STATIC_METADATA_NOT_BUSINESS_UAT</x:v>
      </x:c>
    </x:row>
    <x:row r="131" ht="53" customHeight="1">
      <x:c r="A131" s="15" t="str">
        <x:v>FE-124</x:v>
      </x:c>
      <x:c r="B131" s="13" t="str">
        <x:v>PANTALLA</x:v>
      </x:c>
      <x:c r="C131" s="13" t="str">
        <x:v>/app/strategy/funds-readiness</x:v>
      </x:c>
      <x:c r="D131" s="13" t="str">
        <x:v>USER</x:v>
      </x:c>
      <x:c r="E131" s="13" t="str">
        <x:v>frontend/src/features/funds-manager/FundsManagerWorkspace.tsx</x:v>
      </x:c>
      <x:c r="F131" s="13" t="str">
        <x:v>Business Case &amp; Investment Development &gt; Funds &amp; Funding Readiness &gt; Funding Readiness</x:v>
      </x:c>
      <x:c r="G131" s="13" t="str">
        <x:v>authenticated</x:v>
      </x:c>
      <x:c r="H131" s="13" t="str">
        <x:v>RENDERER_REGISTERED</x:v>
      </x:c>
      <x:c r="I131" s="13" t="str">
        <x:v>funds-readiness</x:v>
      </x:c>
      <x:c r="J131" s="13" t="str">
        <x:v>USER_TRANSACTION. STATIC_METADATA_NOT_BUSINESS_UAT</x:v>
      </x:c>
    </x:row>
    <x:row r="132" ht="53" customHeight="1">
      <x:c r="A132" s="14" t="str">
        <x:v>FE-125</x:v>
      </x:c>
      <x:c r="B132" s="6" t="str">
        <x:v>PANTALLA</x:v>
      </x:c>
      <x:c r="C132" s="6" t="str">
        <x:v>/app/strategy/funds-history</x:v>
      </x:c>
      <x:c r="D132" s="6" t="str">
        <x:v>USER</x:v>
      </x:c>
      <x:c r="E132" s="6" t="str">
        <x:v>frontend/src/features/funds-manager/FundsManagerWorkspace.tsx</x:v>
      </x:c>
      <x:c r="F132" s="6" t="str">
        <x:v>Business Case &amp; Investment Development &gt; Funds &amp; Funding Readiness &gt; History / Audit</x:v>
      </x:c>
      <x:c r="G132" s="6" t="str">
        <x:v>authenticated</x:v>
      </x:c>
      <x:c r="H132" s="6" t="str">
        <x:v>RENDERER_REGISTERED</x:v>
      </x:c>
      <x:c r="I132" s="6" t="str">
        <x:v>funds-history</x:v>
      </x:c>
      <x:c r="J132" s="6" t="str">
        <x:v>USER_TRANSACTION. STATIC_METADATA_NOT_BUSINESS_UAT</x:v>
      </x:c>
    </x:row>
    <x:row r="133" ht="53" customHeight="1">
      <x:c r="A133" s="15" t="str">
        <x:v>FE-126</x:v>
      </x:c>
      <x:c r="B133" s="13" t="str">
        <x:v>PANTALLA</x:v>
      </x:c>
      <x:c r="C133" s="13" t="str">
        <x:v>/app/strategy/financial-model-my-models</x:v>
      </x:c>
      <x:c r="D133" s="13" t="str">
        <x:v>USER</x:v>
      </x:c>
      <x:c r="E133" s="13" t="str">
        <x:v>frontend/src/features/economic-financial-model/EconomicFinancialModelWorkspace.tsx</x:v>
      </x:c>
      <x:c r="F133" s="13" t="str">
        <x:v>Business Case &amp; Investment Development &gt; Economic &amp; Financial Model &gt; My Models</x:v>
      </x:c>
      <x:c r="G133" s="13" t="str">
        <x:v>authenticated</x:v>
      </x:c>
      <x:c r="H133" s="13" t="str">
        <x:v>RENDERER_REGISTERED</x:v>
      </x:c>
      <x:c r="I133" s="13" t="str">
        <x:v>financial-model-my-models</x:v>
      </x:c>
      <x:c r="J133" s="13" t="str">
        <x:v>USER_TRANSACTION. STATIC_METADATA_NOT_BUSINESS_UAT</x:v>
      </x:c>
    </x:row>
    <x:row r="134" ht="53" customHeight="1">
      <x:c r="A134" s="14" t="str">
        <x:v>FE-127</x:v>
      </x:c>
      <x:c r="B134" s="6" t="str">
        <x:v>PANTALLA</x:v>
      </x:c>
      <x:c r="C134" s="6" t="str">
        <x:v>/app/strategy/financial-model-overview</x:v>
      </x:c>
      <x:c r="D134" s="6" t="str">
        <x:v>USER</x:v>
      </x:c>
      <x:c r="E134" s="6" t="str">
        <x:v>frontend/src/features/economic-financial-model/EconomicFinancialModelWorkspace.tsx</x:v>
      </x:c>
      <x:c r="F134" s="6" t="str">
        <x:v>Business Case &amp; Investment Development &gt; Economic &amp; Financial Model &gt; Overview</x:v>
      </x:c>
      <x:c r="G134" s="6" t="str">
        <x:v>authenticated</x:v>
      </x:c>
      <x:c r="H134" s="6" t="str">
        <x:v>RENDERER_REGISTERED</x:v>
      </x:c>
      <x:c r="I134" s="6" t="str">
        <x:v>financial-model-overview</x:v>
      </x:c>
      <x:c r="J134" s="6" t="str">
        <x:v>USER_TRANSACTION. STATIC_METADATA_NOT_BUSINESS_UAT</x:v>
      </x:c>
    </x:row>
    <x:row r="135" ht="53" customHeight="1">
      <x:c r="A135" s="15" t="str">
        <x:v>FE-128</x:v>
      </x:c>
      <x:c r="B135" s="13" t="str">
        <x:v>PANTALLA</x:v>
      </x:c>
      <x:c r="C135" s="13" t="str">
        <x:v>/app/strategy/financial-model-current-version</x:v>
      </x:c>
      <x:c r="D135" s="13" t="str">
        <x:v>USER</x:v>
      </x:c>
      <x:c r="E135" s="13" t="str">
        <x:v>frontend/src/features/economic-financial-model/EconomicFinancialModelWorkspace.tsx</x:v>
      </x:c>
      <x:c r="F135" s="13" t="str">
        <x:v>Business Case &amp; Investment Development &gt; Economic &amp; Financial Model &gt; Current Version</x:v>
      </x:c>
      <x:c r="G135" s="13" t="str">
        <x:v>authenticated</x:v>
      </x:c>
      <x:c r="H135" s="13" t="str">
        <x:v>RENDERER_REGISTERED</x:v>
      </x:c>
      <x:c r="I135" s="13" t="str">
        <x:v>financial-model-current-version</x:v>
      </x:c>
      <x:c r="J135" s="13" t="str">
        <x:v>USER_TRANSACTION. STATIC_METADATA_NOT_BUSINESS_UAT</x:v>
      </x:c>
    </x:row>
    <x:row r="136" ht="53" customHeight="1">
      <x:c r="A136" s="14" t="str">
        <x:v>FE-129</x:v>
      </x:c>
      <x:c r="B136" s="6" t="str">
        <x:v>PANTALLA</x:v>
      </x:c>
      <x:c r="C136" s="6" t="str">
        <x:v>/app/strategy/financial-model-assumptions</x:v>
      </x:c>
      <x:c r="D136" s="6" t="str">
        <x:v>USER</x:v>
      </x:c>
      <x:c r="E136" s="6" t="str">
        <x:v>frontend/src/features/economic-financial-model/EconomicFinancialModelWorkspace.tsx</x:v>
      </x:c>
      <x:c r="F136" s="6" t="str">
        <x:v>Business Case &amp; Investment Development &gt; Economic &amp; Financial Model &gt; Assumptions</x:v>
      </x:c>
      <x:c r="G136" s="6" t="str">
        <x:v>authenticated</x:v>
      </x:c>
      <x:c r="H136" s="6" t="str">
        <x:v>RENDERER_REGISTERED</x:v>
      </x:c>
      <x:c r="I136" s="6" t="str">
        <x:v>financial-model-assumptions</x:v>
      </x:c>
      <x:c r="J136" s="6" t="str">
        <x:v>USER_TRANSACTION. STATIC_METADATA_NOT_BUSINESS_UAT</x:v>
      </x:c>
    </x:row>
    <x:row r="137" ht="53" customHeight="1">
      <x:c r="A137" s="15" t="str">
        <x:v>FE-130</x:v>
      </x:c>
      <x:c r="B137" s="13" t="str">
        <x:v>PANTALLA</x:v>
      </x:c>
      <x:c r="C137" s="13" t="str">
        <x:v>/app/strategy/financial-model-economic-case</x:v>
      </x:c>
      <x:c r="D137" s="13" t="str">
        <x:v>USER</x:v>
      </x:c>
      <x:c r="E137" s="13" t="str">
        <x:v>frontend/src/features/economic-financial-model/EconomicFinancialModelWorkspace.tsx</x:v>
      </x:c>
      <x:c r="F137" s="13" t="str">
        <x:v>Business Case &amp; Investment Development &gt; Economic &amp; Financial Model &gt; Economic Case</x:v>
      </x:c>
      <x:c r="G137" s="13" t="str">
        <x:v>authenticated</x:v>
      </x:c>
      <x:c r="H137" s="13" t="str">
        <x:v>RENDERER_REGISTERED</x:v>
      </x:c>
      <x:c r="I137" s="13" t="str">
        <x:v>financial-model-economic-case</x:v>
      </x:c>
      <x:c r="J137" s="13" t="str">
        <x:v>USER_TRANSACTION. STATIC_METADATA_NOT_BUSINESS_UAT</x:v>
      </x:c>
    </x:row>
    <x:row r="138" ht="53" customHeight="1">
      <x:c r="A138" s="14" t="str">
        <x:v>FE-131</x:v>
      </x:c>
      <x:c r="B138" s="6" t="str">
        <x:v>PANTALLA</x:v>
      </x:c>
      <x:c r="C138" s="6" t="str">
        <x:v>/app/strategy/financial-model-financial-case</x:v>
      </x:c>
      <x:c r="D138" s="6" t="str">
        <x:v>USER</x:v>
      </x:c>
      <x:c r="E138" s="6" t="str">
        <x:v>frontend/src/features/economic-financial-model/EconomicFinancialModelWorkspace.tsx</x:v>
      </x:c>
      <x:c r="F138" s="6" t="str">
        <x:v>Business Case &amp; Investment Development &gt; Economic &amp; Financial Model &gt; Financial Case</x:v>
      </x:c>
      <x:c r="G138" s="6" t="str">
        <x:v>authenticated</x:v>
      </x:c>
      <x:c r="H138" s="6" t="str">
        <x:v>RENDERER_REGISTERED</x:v>
      </x:c>
      <x:c r="I138" s="6" t="str">
        <x:v>financial-model-financial-case</x:v>
      </x:c>
      <x:c r="J138" s="6" t="str">
        <x:v>USER_TRANSACTION. STATIC_METADATA_NOT_BUSINESS_UAT</x:v>
      </x:c>
    </x:row>
    <x:row r="139" ht="53" customHeight="1">
      <x:c r="A139" s="15" t="str">
        <x:v>FE-132</x:v>
      </x:c>
      <x:c r="B139" s="13" t="str">
        <x:v>PANTALLA</x:v>
      </x:c>
      <x:c r="C139" s="13" t="str">
        <x:v>/app/strategy/financial-model-capex-opex</x:v>
      </x:c>
      <x:c r="D139" s="13" t="str">
        <x:v>USER</x:v>
      </x:c>
      <x:c r="E139" s="13" t="str">
        <x:v>frontend/src/features/economic-financial-model/EconomicFinancialModelWorkspace.tsx</x:v>
      </x:c>
      <x:c r="F139" s="13" t="str">
        <x:v>Business Case &amp; Investment Development &gt; Economic &amp; Financial Model &gt; CAPEX / OPEX</x:v>
      </x:c>
      <x:c r="G139" s="13" t="str">
        <x:v>authenticated</x:v>
      </x:c>
      <x:c r="H139" s="13" t="str">
        <x:v>RENDERER_REGISTERED</x:v>
      </x:c>
      <x:c r="I139" s="13" t="str">
        <x:v>financial-model-capex-opex</x:v>
      </x:c>
      <x:c r="J139" s="13" t="str">
        <x:v>USER_TRANSACTION. STATIC_METADATA_NOT_BUSINESS_UAT</x:v>
      </x:c>
    </x:row>
    <x:row r="140" ht="53" customHeight="1">
      <x:c r="A140" s="14" t="str">
        <x:v>FE-133</x:v>
      </x:c>
      <x:c r="B140" s="6" t="str">
        <x:v>PANTALLA</x:v>
      </x:c>
      <x:c r="C140" s="6" t="str">
        <x:v>/app/strategy/financial-model-revenue-benefits</x:v>
      </x:c>
      <x:c r="D140" s="6" t="str">
        <x:v>USER</x:v>
      </x:c>
      <x:c r="E140" s="6" t="str">
        <x:v>frontend/src/features/economic-financial-model/EconomicFinancialModelWorkspace.tsx</x:v>
      </x:c>
      <x:c r="F140" s="6" t="str">
        <x:v>Business Case &amp; Investment Development &gt; Economic &amp; Financial Model &gt; Revenue / Benefits</x:v>
      </x:c>
      <x:c r="G140" s="6" t="str">
        <x:v>authenticated</x:v>
      </x:c>
      <x:c r="H140" s="6" t="str">
        <x:v>RENDERER_REGISTERED</x:v>
      </x:c>
      <x:c r="I140" s="6" t="str">
        <x:v>financial-model-revenue-benefits</x:v>
      </x:c>
      <x:c r="J140" s="6" t="str">
        <x:v>USER_TRANSACTION. STATIC_METADATA_NOT_BUSINESS_UAT</x:v>
      </x:c>
    </x:row>
    <x:row r="141" ht="53" customHeight="1">
      <x:c r="A141" s="15" t="str">
        <x:v>FE-134</x:v>
      </x:c>
      <x:c r="B141" s="13" t="str">
        <x:v>PANTALLA</x:v>
      </x:c>
      <x:c r="C141" s="13" t="str">
        <x:v>/app/strategy/financial-model-capital-structure</x:v>
      </x:c>
      <x:c r="D141" s="13" t="str">
        <x:v>USER</x:v>
      </x:c>
      <x:c r="E141" s="13" t="str">
        <x:v>frontend/src/features/economic-financial-model/EconomicFinancialModelWorkspace.tsx</x:v>
      </x:c>
      <x:c r="F141" s="13" t="str">
        <x:v>Business Case &amp; Investment Development &gt; Economic &amp; Financial Model &gt; Capital Structure</x:v>
      </x:c>
      <x:c r="G141" s="13" t="str">
        <x:v>authenticated</x:v>
      </x:c>
      <x:c r="H141" s="13" t="str">
        <x:v>RENDERER_REGISTERED</x:v>
      </x:c>
      <x:c r="I141" s="13" t="str">
        <x:v>financial-model-capital-structure</x:v>
      </x:c>
      <x:c r="J141" s="13" t="str">
        <x:v>USER_TRANSACTION. STATIC_METADATA_NOT_BUSINESS_UAT</x:v>
      </x:c>
    </x:row>
    <x:row r="142" ht="53" customHeight="1">
      <x:c r="A142" s="14" t="str">
        <x:v>FE-135</x:v>
      </x:c>
      <x:c r="B142" s="6" t="str">
        <x:v>PANTALLA</x:v>
      </x:c>
      <x:c r="C142" s="6" t="str">
        <x:v>/app/strategy/financial-model-funding-linkage</x:v>
      </x:c>
      <x:c r="D142" s="6" t="str">
        <x:v>USER</x:v>
      </x:c>
      <x:c r="E142" s="6" t="str">
        <x:v>frontend/src/features/economic-financial-model/EconomicFinancialModelWorkspace.tsx</x:v>
      </x:c>
      <x:c r="F142" s="6" t="str">
        <x:v>Business Case &amp; Investment Development &gt; Economic &amp; Financial Model &gt; Funding Linkage</x:v>
      </x:c>
      <x:c r="G142" s="6" t="str">
        <x:v>authenticated</x:v>
      </x:c>
      <x:c r="H142" s="6" t="str">
        <x:v>RENDERER_REGISTERED</x:v>
      </x:c>
      <x:c r="I142" s="6" t="str">
        <x:v>financial-model-funding-linkage</x:v>
      </x:c>
      <x:c r="J142" s="6" t="str">
        <x:v>USER_TRANSACTION. STATIC_METADATA_NOT_BUSINESS_UAT</x:v>
      </x:c>
    </x:row>
    <x:row r="143" ht="53" customHeight="1">
      <x:c r="A143" s="15" t="str">
        <x:v>FE-136</x:v>
      </x:c>
      <x:c r="B143" s="13" t="str">
        <x:v>PANTALLA</x:v>
      </x:c>
      <x:c r="C143" s="13" t="str">
        <x:v>/app/strategy/financial-model-investors</x:v>
      </x:c>
      <x:c r="D143" s="13" t="str">
        <x:v>USER</x:v>
      </x:c>
      <x:c r="E143" s="13" t="str">
        <x:v>frontend/src/features/economic-financial-model/EconomicFinancialModelWorkspace.tsx</x:v>
      </x:c>
      <x:c r="F143" s="13" t="str">
        <x:v>Business Case &amp; Investment Development &gt; Economic &amp; Financial Model &gt; Investors</x:v>
      </x:c>
      <x:c r="G143" s="13" t="str">
        <x:v>authenticated</x:v>
      </x:c>
      <x:c r="H143" s="13" t="str">
        <x:v>RENDERER_REGISTERED</x:v>
      </x:c>
      <x:c r="I143" s="13" t="str">
        <x:v>financial-model-investors</x:v>
      </x:c>
      <x:c r="J143" s="13" t="str">
        <x:v>USER_TRANSACTION. STATIC_METADATA_NOT_BUSINESS_UAT</x:v>
      </x:c>
    </x:row>
    <x:row r="144" ht="42" customHeight="1">
      <x:c r="A144" s="14" t="str">
        <x:v>FE-137</x:v>
      </x:c>
      <x:c r="B144" s="6" t="str">
        <x:v>PANTALLA</x:v>
      </x:c>
      <x:c r="C144" s="6" t="str">
        <x:v>/app/strategy/financial-model-debt</x:v>
      </x:c>
      <x:c r="D144" s="6" t="str">
        <x:v>USER</x:v>
      </x:c>
      <x:c r="E144" s="6" t="str">
        <x:v>frontend/src/features/economic-financial-model/EconomicFinancialModelWorkspace.tsx</x:v>
      </x:c>
      <x:c r="F144" s="6" t="str">
        <x:v>Business Case &amp; Investment Development &gt; Economic &amp; Financial Model &gt; Debt</x:v>
      </x:c>
      <x:c r="G144" s="6" t="str">
        <x:v>authenticated</x:v>
      </x:c>
      <x:c r="H144" s="6" t="str">
        <x:v>RENDERER_REGISTERED</x:v>
      </x:c>
      <x:c r="I144" s="6" t="str">
        <x:v>financial-model-debt</x:v>
      </x:c>
      <x:c r="J144" s="6" t="str">
        <x:v>USER_TRANSACTION. STATIC_METADATA_NOT_BUSINESS_UAT</x:v>
      </x:c>
    </x:row>
    <x:row r="145" ht="53" customHeight="1">
      <x:c r="A145" s="15" t="str">
        <x:v>FE-138</x:v>
      </x:c>
      <x:c r="B145" s="13" t="str">
        <x:v>PANTALLA</x:v>
      </x:c>
      <x:c r="C145" s="13" t="str">
        <x:v>/app/strategy/financial-model-cash-flow</x:v>
      </x:c>
      <x:c r="D145" s="13" t="str">
        <x:v>USER</x:v>
      </x:c>
      <x:c r="E145" s="13" t="str">
        <x:v>frontend/src/features/economic-financial-model/EconomicFinancialModelWorkspace.tsx</x:v>
      </x:c>
      <x:c r="F145" s="13" t="str">
        <x:v>Business Case &amp; Investment Development &gt; Economic &amp; Financial Model &gt; Cash Flow</x:v>
      </x:c>
      <x:c r="G145" s="13" t="str">
        <x:v>authenticated</x:v>
      </x:c>
      <x:c r="H145" s="13" t="str">
        <x:v>RENDERER_REGISTERED</x:v>
      </x:c>
      <x:c r="I145" s="13" t="str">
        <x:v>financial-model-cash-flow</x:v>
      </x:c>
      <x:c r="J145" s="13" t="str">
        <x:v>USER_TRANSACTION. STATIC_METADATA_NOT_BUSINESS_UAT</x:v>
      </x:c>
    </x:row>
    <x:row r="146" ht="53" customHeight="1">
      <x:c r="A146" s="14" t="str">
        <x:v>FE-139</x:v>
      </x:c>
      <x:c r="B146" s="6" t="str">
        <x:v>PANTALLA</x:v>
      </x:c>
      <x:c r="C146" s="6" t="str">
        <x:v>/app/strategy/financial-model-debt-service</x:v>
      </x:c>
      <x:c r="D146" s="6" t="str">
        <x:v>USER</x:v>
      </x:c>
      <x:c r="E146" s="6" t="str">
        <x:v>frontend/src/features/economic-financial-model/EconomicFinancialModelWorkspace.tsx</x:v>
      </x:c>
      <x:c r="F146" s="6" t="str">
        <x:v>Business Case &amp; Investment Development &gt; Economic &amp; Financial Model &gt; Debt Service</x:v>
      </x:c>
      <x:c r="G146" s="6" t="str">
        <x:v>authenticated</x:v>
      </x:c>
      <x:c r="H146" s="6" t="str">
        <x:v>RENDERER_REGISTERED</x:v>
      </x:c>
      <x:c r="I146" s="6" t="str">
        <x:v>financial-model-debt-service</x:v>
      </x:c>
      <x:c r="J146" s="6" t="str">
        <x:v>USER_TRANSACTION. STATIC_METADATA_NOT_BUSINESS_UAT</x:v>
      </x:c>
    </x:row>
    <x:row r="147" ht="53" customHeight="1">
      <x:c r="A147" s="15" t="str">
        <x:v>FE-140</x:v>
      </x:c>
      <x:c r="B147" s="13" t="str">
        <x:v>PANTALLA</x:v>
      </x:c>
      <x:c r="C147" s="13" t="str">
        <x:v>/app/strategy/financial-model-indicators</x:v>
      </x:c>
      <x:c r="D147" s="13" t="str">
        <x:v>USER</x:v>
      </x:c>
      <x:c r="E147" s="13" t="str">
        <x:v>frontend/src/features/economic-financial-model/EconomicFinancialModelWorkspace.tsx</x:v>
      </x:c>
      <x:c r="F147" s="13" t="str">
        <x:v>Business Case &amp; Investment Development &gt; Economic &amp; Financial Model &gt; Indicators</x:v>
      </x:c>
      <x:c r="G147" s="13" t="str">
        <x:v>authenticated</x:v>
      </x:c>
      <x:c r="H147" s="13" t="str">
        <x:v>RENDERER_REGISTERED</x:v>
      </x:c>
      <x:c r="I147" s="13" t="str">
        <x:v>financial-model-indicators</x:v>
      </x:c>
      <x:c r="J147" s="13" t="str">
        <x:v>USER_TRANSACTION. STATIC_METADATA_NOT_BUSINESS_UAT</x:v>
      </x:c>
    </x:row>
    <x:row r="148" ht="53" customHeight="1">
      <x:c r="A148" s="14" t="str">
        <x:v>FE-141</x:v>
      </x:c>
      <x:c r="B148" s="6" t="str">
        <x:v>PANTALLA</x:v>
      </x:c>
      <x:c r="C148" s="6" t="str">
        <x:v>/app/strategy/financial-model-covenants</x:v>
      </x:c>
      <x:c r="D148" s="6" t="str">
        <x:v>USER</x:v>
      </x:c>
      <x:c r="E148" s="6" t="str">
        <x:v>frontend/src/features/economic-financial-model/EconomicFinancialModelWorkspace.tsx</x:v>
      </x:c>
      <x:c r="F148" s="6" t="str">
        <x:v>Business Case &amp; Investment Development &gt; Economic &amp; Financial Model &gt; Covenants</x:v>
      </x:c>
      <x:c r="G148" s="6" t="str">
        <x:v>authenticated</x:v>
      </x:c>
      <x:c r="H148" s="6" t="str">
        <x:v>RENDERER_REGISTERED</x:v>
      </x:c>
      <x:c r="I148" s="6" t="str">
        <x:v>financial-model-covenants</x:v>
      </x:c>
      <x:c r="J148" s="6" t="str">
        <x:v>USER_TRANSACTION. STATIC_METADATA_NOT_BUSINESS_UAT</x:v>
      </x:c>
    </x:row>
    <x:row r="149" ht="53" customHeight="1">
      <x:c r="A149" s="15" t="str">
        <x:v>FE-142</x:v>
      </x:c>
      <x:c r="B149" s="13" t="str">
        <x:v>PANTALLA</x:v>
      </x:c>
      <x:c r="C149" s="13" t="str">
        <x:v>/app/strategy/financial-model-scenarios</x:v>
      </x:c>
      <x:c r="D149" s="13" t="str">
        <x:v>USER</x:v>
      </x:c>
      <x:c r="E149" s="13" t="str">
        <x:v>frontend/src/features/economic-financial-model/EconomicFinancialModelWorkspace.tsx</x:v>
      </x:c>
      <x:c r="F149" s="13" t="str">
        <x:v>Business Case &amp; Investment Development &gt; Economic &amp; Financial Model &gt; Scenarios</x:v>
      </x:c>
      <x:c r="G149" s="13" t="str">
        <x:v>authenticated</x:v>
      </x:c>
      <x:c r="H149" s="13" t="str">
        <x:v>RENDERER_REGISTERED</x:v>
      </x:c>
      <x:c r="I149" s="13" t="str">
        <x:v>financial-model-scenarios</x:v>
      </x:c>
      <x:c r="J149" s="13" t="str">
        <x:v>USER_TRANSACTION. STATIC_METADATA_NOT_BUSINESS_UAT</x:v>
      </x:c>
    </x:row>
    <x:row r="150" ht="53" customHeight="1">
      <x:c r="A150" s="14" t="str">
        <x:v>FE-143</x:v>
      </x:c>
      <x:c r="B150" s="6" t="str">
        <x:v>PANTALLA</x:v>
      </x:c>
      <x:c r="C150" s="6" t="str">
        <x:v>/app/strategy/financial-model-sensitivities</x:v>
      </x:c>
      <x:c r="D150" s="6" t="str">
        <x:v>USER</x:v>
      </x:c>
      <x:c r="E150" s="6" t="str">
        <x:v>frontend/src/features/economic-financial-model/EconomicFinancialModelWorkspace.tsx</x:v>
      </x:c>
      <x:c r="F150" s="6" t="str">
        <x:v>Business Case &amp; Investment Development &gt; Economic &amp; Financial Model &gt; Sensitivities</x:v>
      </x:c>
      <x:c r="G150" s="6" t="str">
        <x:v>authenticated</x:v>
      </x:c>
      <x:c r="H150" s="6" t="str">
        <x:v>RENDERER_REGISTERED</x:v>
      </x:c>
      <x:c r="I150" s="6" t="str">
        <x:v>financial-model-sensitivities</x:v>
      </x:c>
      <x:c r="J150" s="6" t="str">
        <x:v>USER_TRANSACTION. STATIC_METADATA_NOT_BUSINESS_UAT</x:v>
      </x:c>
    </x:row>
    <x:row r="151" ht="53" customHeight="1">
      <x:c r="A151" s="15" t="str">
        <x:v>FE-144</x:v>
      </x:c>
      <x:c r="B151" s="13" t="str">
        <x:v>PANTALLA</x:v>
      </x:c>
      <x:c r="C151" s="13" t="str">
        <x:v>/app/strategy/financial-model-break-even</x:v>
      </x:c>
      <x:c r="D151" s="13" t="str">
        <x:v>USER</x:v>
      </x:c>
      <x:c r="E151" s="13" t="str">
        <x:v>frontend/src/features/economic-financial-model/EconomicFinancialModelWorkspace.tsx</x:v>
      </x:c>
      <x:c r="F151" s="13" t="str">
        <x:v>Business Case &amp; Investment Development &gt; Economic &amp; Financial Model &gt; Break-Even</x:v>
      </x:c>
      <x:c r="G151" s="13" t="str">
        <x:v>authenticated</x:v>
      </x:c>
      <x:c r="H151" s="13" t="str">
        <x:v>RENDERER_REGISTERED</x:v>
      </x:c>
      <x:c r="I151" s="13" t="str">
        <x:v>financial-model-break-even</x:v>
      </x:c>
      <x:c r="J151" s="13" t="str">
        <x:v>USER_TRANSACTION. STATIC_METADATA_NOT_BUSINESS_UAT</x:v>
      </x:c>
    </x:row>
    <x:row r="152" ht="53" customHeight="1">
      <x:c r="A152" s="14" t="str">
        <x:v>FE-145</x:v>
      </x:c>
      <x:c r="B152" s="6" t="str">
        <x:v>PANTALLA</x:v>
      </x:c>
      <x:c r="C152" s="6" t="str">
        <x:v>/app/strategy/financial-model-readiness</x:v>
      </x:c>
      <x:c r="D152" s="6" t="str">
        <x:v>USER</x:v>
      </x:c>
      <x:c r="E152" s="6" t="str">
        <x:v>frontend/src/features/economic-financial-model/EconomicFinancialModelWorkspace.tsx</x:v>
      </x:c>
      <x:c r="F152" s="6" t="str">
        <x:v>Business Case &amp; Investment Development &gt; Economic &amp; Financial Model &gt; Readiness</x:v>
      </x:c>
      <x:c r="G152" s="6" t="str">
        <x:v>authenticated</x:v>
      </x:c>
      <x:c r="H152" s="6" t="str">
        <x:v>RENDERER_REGISTERED</x:v>
      </x:c>
      <x:c r="I152" s="6" t="str">
        <x:v>financial-model-readiness</x:v>
      </x:c>
      <x:c r="J152" s="6" t="str">
        <x:v>USER_TRANSACTION. STATIC_METADATA_NOT_BUSINESS_UAT</x:v>
      </x:c>
    </x:row>
    <x:row r="153" ht="53" customHeight="1">
      <x:c r="A153" s="15" t="str">
        <x:v>FE-146</x:v>
      </x:c>
      <x:c r="B153" s="13" t="str">
        <x:v>PANTALLA</x:v>
      </x:c>
      <x:c r="C153" s="13" t="str">
        <x:v>/app/strategy/financial-model-source-lineage</x:v>
      </x:c>
      <x:c r="D153" s="13" t="str">
        <x:v>USER</x:v>
      </x:c>
      <x:c r="E153" s="13" t="str">
        <x:v>frontend/src/features/economic-financial-model/EconomicFinancialModelWorkspace.tsx</x:v>
      </x:c>
      <x:c r="F153" s="13" t="str">
        <x:v>Business Case &amp; Investment Development &gt; Economic &amp; Financial Model &gt; Source Lineage</x:v>
      </x:c>
      <x:c r="G153" s="13" t="str">
        <x:v>authenticated</x:v>
      </x:c>
      <x:c r="H153" s="13" t="str">
        <x:v>RENDERER_REGISTERED</x:v>
      </x:c>
      <x:c r="I153" s="13" t="str">
        <x:v>financial-model-source-lineage</x:v>
      </x:c>
      <x:c r="J153" s="13" t="str">
        <x:v>USER_TRANSACTION. STATIC_METADATA_NOT_BUSINESS_UAT</x:v>
      </x:c>
    </x:row>
    <x:row r="154" ht="53" customHeight="1">
      <x:c r="A154" s="14" t="str">
        <x:v>FE-147</x:v>
      </x:c>
      <x:c r="B154" s="6" t="str">
        <x:v>PANTALLA</x:v>
      </x:c>
      <x:c r="C154" s="6" t="str">
        <x:v>/app/strategy/financial-model-compare-versions</x:v>
      </x:c>
      <x:c r="D154" s="6" t="str">
        <x:v>USER</x:v>
      </x:c>
      <x:c r="E154" s="6" t="str">
        <x:v>frontend/src/features/economic-financial-model/EconomicFinancialModelWorkspace.tsx</x:v>
      </x:c>
      <x:c r="F154" s="6" t="str">
        <x:v>Business Case &amp; Investment Development &gt; Economic &amp; Financial Model &gt; Compare Versions</x:v>
      </x:c>
      <x:c r="G154" s="6" t="str">
        <x:v>authenticated</x:v>
      </x:c>
      <x:c r="H154" s="6" t="str">
        <x:v>RENDERER_REGISTERED</x:v>
      </x:c>
      <x:c r="I154" s="6" t="str">
        <x:v>financial-model-compare-versions</x:v>
      </x:c>
      <x:c r="J154" s="6" t="str">
        <x:v>USER_TRANSACTION. STATIC_METADATA_NOT_BUSINESS_UAT</x:v>
      </x:c>
    </x:row>
    <x:row r="155" ht="53" customHeight="1">
      <x:c r="A155" s="15" t="str">
        <x:v>FE-148</x:v>
      </x:c>
      <x:c r="B155" s="13" t="str">
        <x:v>PANTALLA</x:v>
      </x:c>
      <x:c r="C155" s="13" t="str">
        <x:v>/app/strategy/financial-model-history-audit</x:v>
      </x:c>
      <x:c r="D155" s="13" t="str">
        <x:v>USER</x:v>
      </x:c>
      <x:c r="E155" s="13" t="str">
        <x:v>frontend/src/features/economic-financial-model/EconomicFinancialModelWorkspace.tsx</x:v>
      </x:c>
      <x:c r="F155" s="13" t="str">
        <x:v>Business Case &amp; Investment Development &gt; Economic &amp; Financial Model &gt; History / Audit</x:v>
      </x:c>
      <x:c r="G155" s="13" t="str">
        <x:v>authenticated</x:v>
      </x:c>
      <x:c r="H155" s="13" t="str">
        <x:v>RENDERER_REGISTERED</x:v>
      </x:c>
      <x:c r="I155" s="13" t="str">
        <x:v>financial-model-history-audit</x:v>
      </x:c>
      <x:c r="J155" s="13" t="str">
        <x:v>USER_TRANSACTION. STATIC_METADATA_NOT_BUSINESS_UAT</x:v>
      </x:c>
    </x:row>
    <x:row r="156" ht="42" customHeight="1">
      <x:c r="A156" s="14" t="str">
        <x:v>FE-149</x:v>
      </x:c>
      <x:c r="B156" s="6" t="str">
        <x:v>PANTALLA</x:v>
      </x:c>
      <x:c r="C156" s="6" t="str">
        <x:v>/app/strategy/risk-readiness-my</x:v>
      </x:c>
      <x:c r="D156" s="6" t="str">
        <x:v>USER</x:v>
      </x:c>
      <x:c r="E156" s="6" t="str">
        <x:v>frontend/src/features/risk-readiness/RiskReadinessWorkspace.tsx</x:v>
      </x:c>
      <x:c r="F156" s="6" t="str">
        <x:v>Business Case &amp; Investment Development &gt; Risk Readiness &gt; My Risk Work</x:v>
      </x:c>
      <x:c r="G156" s="6" t="str">
        <x:v>authenticated</x:v>
      </x:c>
      <x:c r="H156" s="6" t="str">
        <x:v>RENDERER_REGISTERED</x:v>
      </x:c>
      <x:c r="I156" s="6" t="str">
        <x:v>risk-readiness-my</x:v>
      </x:c>
      <x:c r="J156" s="6" t="str">
        <x:v>USER_TRANSACTION. STATIC_METADATA_NOT_BUSINESS_UAT</x:v>
      </x:c>
    </x:row>
    <x:row r="157" ht="53" customHeight="1">
      <x:c r="A157" s="15" t="str">
        <x:v>FE-150</x:v>
      </x:c>
      <x:c r="B157" s="13" t="str">
        <x:v>PANTALLA</x:v>
      </x:c>
      <x:c r="C157" s="13" t="str">
        <x:v>/app/strategy/risk-readiness-portfolio</x:v>
      </x:c>
      <x:c r="D157" s="13" t="str">
        <x:v>USER</x:v>
      </x:c>
      <x:c r="E157" s="13" t="str">
        <x:v>frontend/src/features/risk-readiness/RiskReadinessWorkspace.tsx</x:v>
      </x:c>
      <x:c r="F157" s="13" t="str">
        <x:v>Business Case &amp; Investment Development &gt; Risk Readiness &gt; Project Set Risk Readiness</x:v>
      </x:c>
      <x:c r="G157" s="13" t="str">
        <x:v>authenticated</x:v>
      </x:c>
      <x:c r="H157" s="13" t="str">
        <x:v>RENDERER_REGISTERED</x:v>
      </x:c>
      <x:c r="I157" s="13" t="str">
        <x:v>risk-readiness-portfolio</x:v>
      </x:c>
      <x:c r="J157" s="13" t="str">
        <x:v>USER_TRANSACTION. STATIC_METADATA_NOT_BUSINESS_UAT</x:v>
      </x:c>
    </x:row>
    <x:row r="158" ht="53" customHeight="1">
      <x:c r="A158" s="14" t="str">
        <x:v>FE-151</x:v>
      </x:c>
      <x:c r="B158" s="6" t="str">
        <x:v>PANTALLA</x:v>
      </x:c>
      <x:c r="C158" s="6" t="str">
        <x:v>/app/strategy/risk-readiness-register</x:v>
      </x:c>
      <x:c r="D158" s="6" t="str">
        <x:v>USER</x:v>
      </x:c>
      <x:c r="E158" s="6" t="str">
        <x:v>frontend/src/features/risk-readiness/RiskReadinessWorkspace.tsx</x:v>
      </x:c>
      <x:c r="F158" s="6" t="str">
        <x:v>Business Case &amp; Investment Development &gt; Risk Readiness &gt; Project Risk Register</x:v>
      </x:c>
      <x:c r="G158" s="6" t="str">
        <x:v>authenticated</x:v>
      </x:c>
      <x:c r="H158" s="6" t="str">
        <x:v>RENDERER_REGISTERED</x:v>
      </x:c>
      <x:c r="I158" s="6" t="str">
        <x:v>risk-readiness-register</x:v>
      </x:c>
      <x:c r="J158" s="6" t="str">
        <x:v>USER_TRANSACTION. STATIC_METADATA_NOT_BUSINESS_UAT</x:v>
      </x:c>
    </x:row>
    <x:row r="159" ht="42" customHeight="1">
      <x:c r="A159" s="15" t="str">
        <x:v>FE-152</x:v>
      </x:c>
      <x:c r="B159" s="13" t="str">
        <x:v>PANTALLA</x:v>
      </x:c>
      <x:c r="C159" s="13" t="str">
        <x:v>/app/strategy/risk-readiness-assessments</x:v>
      </x:c>
      <x:c r="D159" s="13" t="str">
        <x:v>USER</x:v>
      </x:c>
      <x:c r="E159" s="13" t="str">
        <x:v>frontend/src/features/risk-readiness/RiskReadinessWorkspace.tsx</x:v>
      </x:c>
      <x:c r="F159" s="13" t="str">
        <x:v>Business Case &amp; Investment Development &gt; Risk Readiness &gt; Risk Assessments</x:v>
      </x:c>
      <x:c r="G159" s="13" t="str">
        <x:v>authenticated</x:v>
      </x:c>
      <x:c r="H159" s="13" t="str">
        <x:v>RENDERER_REGISTERED</x:v>
      </x:c>
      <x:c r="I159" s="13" t="str">
        <x:v>risk-readiness-assessments</x:v>
      </x:c>
      <x:c r="J159" s="13" t="str">
        <x:v>USER_TRANSACTION. STATIC_METADATA_NOT_BUSINESS_UAT</x:v>
      </x:c>
    </x:row>
    <x:row r="160" ht="42" customHeight="1">
      <x:c r="A160" s="14" t="str">
        <x:v>FE-153</x:v>
      </x:c>
      <x:c r="B160" s="6" t="str">
        <x:v>PANTALLA</x:v>
      </x:c>
      <x:c r="C160" s="6" t="str">
        <x:v>/app/strategy/risk-readiness-treatments</x:v>
      </x:c>
      <x:c r="D160" s="6" t="str">
        <x:v>USER</x:v>
      </x:c>
      <x:c r="E160" s="6" t="str">
        <x:v>frontend/src/features/risk-readiness/RiskReadinessWorkspace.tsx</x:v>
      </x:c>
      <x:c r="F160" s="6" t="str">
        <x:v>Business Case &amp; Investment Development &gt; Risk Readiness &gt; Treatments</x:v>
      </x:c>
      <x:c r="G160" s="6" t="str">
        <x:v>authenticated</x:v>
      </x:c>
      <x:c r="H160" s="6" t="str">
        <x:v>RENDERER_REGISTERED</x:v>
      </x:c>
      <x:c r="I160" s="6" t="str">
        <x:v>risk-readiness-treatments</x:v>
      </x:c>
      <x:c r="J160" s="6" t="str">
        <x:v>USER_TRANSACTION. STATIC_METADATA_NOT_BUSINESS_UAT</x:v>
      </x:c>
    </x:row>
    <x:row r="161" ht="53" customHeight="1">
      <x:c r="A161" s="15" t="str">
        <x:v>FE-154</x:v>
      </x:c>
      <x:c r="B161" s="13" t="str">
        <x:v>PANTALLA</x:v>
      </x:c>
      <x:c r="C161" s="13" t="str">
        <x:v>/app/strategy/risk-readiness-residual</x:v>
      </x:c>
      <x:c r="D161" s="13" t="str">
        <x:v>USER</x:v>
      </x:c>
      <x:c r="E161" s="13" t="str">
        <x:v>frontend/src/features/risk-readiness/RiskReadinessWorkspace.tsx</x:v>
      </x:c>
      <x:c r="F161" s="13" t="str">
        <x:v>Business Case &amp; Investment Development &gt; Risk Readiness &gt; Residual Risk &amp; Acceptance</x:v>
      </x:c>
      <x:c r="G161" s="13" t="str">
        <x:v>authenticated</x:v>
      </x:c>
      <x:c r="H161" s="13" t="str">
        <x:v>RENDERER_REGISTERED</x:v>
      </x:c>
      <x:c r="I161" s="13" t="str">
        <x:v>risk-readiness-residual</x:v>
      </x:c>
      <x:c r="J161" s="13" t="str">
        <x:v>USER_TRANSACTION. STATIC_METADATA_NOT_BUSINESS_UAT</x:v>
      </x:c>
    </x:row>
    <x:row r="162" ht="53" customHeight="1">
      <x:c r="A162" s="14" t="str">
        <x:v>FE-155</x:v>
      </x:c>
      <x:c r="B162" s="6" t="str">
        <x:v>PANTALLA</x:v>
      </x:c>
      <x:c r="C162" s="6" t="str">
        <x:v>/app/strategy/risk-readiness-dashboard</x:v>
      </x:c>
      <x:c r="D162" s="6" t="str">
        <x:v>USER</x:v>
      </x:c>
      <x:c r="E162" s="6" t="str">
        <x:v>frontend/src/features/risk-readiness/RiskReadinessWorkspace.tsx</x:v>
      </x:c>
      <x:c r="F162" s="6" t="str">
        <x:v>Business Case &amp; Investment Development &gt; Risk Readiness &gt; Risk Readiness Dashboard</x:v>
      </x:c>
      <x:c r="G162" s="6" t="str">
        <x:v>authenticated</x:v>
      </x:c>
      <x:c r="H162" s="6" t="str">
        <x:v>RENDERER_REGISTERED</x:v>
      </x:c>
      <x:c r="I162" s="6" t="str">
        <x:v>risk-readiness-dashboard</x:v>
      </x:c>
      <x:c r="J162" s="6" t="str">
        <x:v>USER_TRANSACTION. STATIC_METADATA_NOT_BUSINESS_UAT</x:v>
      </x:c>
    </x:row>
    <x:row r="163" ht="42" customHeight="1">
      <x:c r="A163" s="15" t="str">
        <x:v>FE-156</x:v>
      </x:c>
      <x:c r="B163" s="13" t="str">
        <x:v>PANTALLA</x:v>
      </x:c>
      <x:c r="C163" s="13" t="str">
        <x:v>/app/strategy/risk-readiness-history</x:v>
      </x:c>
      <x:c r="D163" s="13" t="str">
        <x:v>USER</x:v>
      </x:c>
      <x:c r="E163" s="13" t="str">
        <x:v>frontend/src/features/risk-readiness/RiskReadinessWorkspace.tsx</x:v>
      </x:c>
      <x:c r="F163" s="13" t="str">
        <x:v>Business Case &amp; Investment Development &gt; Risk Readiness &gt; History / Audit</x:v>
      </x:c>
      <x:c r="G163" s="13" t="str">
        <x:v>authenticated</x:v>
      </x:c>
      <x:c r="H163" s="13" t="str">
        <x:v>RENDERER_REGISTERED</x:v>
      </x:c>
      <x:c r="I163" s="13" t="str">
        <x:v>risk-readiness-history</x:v>
      </x:c>
      <x:c r="J163" s="13" t="str">
        <x:v>USER_TRANSACTION. STATIC_METADATA_NOT_BUSINESS_UAT</x:v>
      </x:c>
    </x:row>
    <x:row r="164" ht="42" customHeight="1">
      <x:c r="A164" s="14" t="str">
        <x:v>FE-157</x:v>
      </x:c>
      <x:c r="B164" s="6" t="str">
        <x:v>PANTALLA</x:v>
      </x:c>
      <x:c r="C164" s="6" t="str">
        <x:v>/app/strategy/permit-readiness-my</x:v>
      </x:c>
      <x:c r="D164" s="6" t="str">
        <x:v>USER</x:v>
      </x:c>
      <x:c r="E164" s="6" t="str">
        <x:v>frontend/src/features/permit-readiness/PermitReadinessWorkspace.tsx</x:v>
      </x:c>
      <x:c r="F164" s="6" t="str">
        <x:v>Business Case &amp; Investment Development &gt; Permit Readiness &gt; My Permit Work</x:v>
      </x:c>
      <x:c r="G164" s="6" t="str">
        <x:v>authenticated</x:v>
      </x:c>
      <x:c r="H164" s="6" t="str">
        <x:v>RENDERER_REGISTERED</x:v>
      </x:c>
      <x:c r="I164" s="6" t="str">
        <x:v>permit-readiness-my</x:v>
      </x:c>
      <x:c r="J164" s="6" t="str">
        <x:v>USER_TRANSACTION. STATIC_METADATA_NOT_BUSINESS_UAT</x:v>
      </x:c>
    </x:row>
    <x:row r="165" ht="53" customHeight="1">
      <x:c r="A165" s="15" t="str">
        <x:v>FE-158</x:v>
      </x:c>
      <x:c r="B165" s="13" t="str">
        <x:v>PANTALLA</x:v>
      </x:c>
      <x:c r="C165" s="13" t="str">
        <x:v>/app/strategy/permit-readiness-register</x:v>
      </x:c>
      <x:c r="D165" s="13" t="str">
        <x:v>USER</x:v>
      </x:c>
      <x:c r="E165" s="13" t="str">
        <x:v>frontend/src/features/permit-readiness/PermitReadinessWorkspace.tsx</x:v>
      </x:c>
      <x:c r="F165" s="13" t="str">
        <x:v>Business Case &amp; Investment Development &gt; Permit Readiness &gt; Project Permit Register</x:v>
      </x:c>
      <x:c r="G165" s="13" t="str">
        <x:v>authenticated</x:v>
      </x:c>
      <x:c r="H165" s="13" t="str">
        <x:v>RENDERER_REGISTERED</x:v>
      </x:c>
      <x:c r="I165" s="13" t="str">
        <x:v>permit-readiness-register</x:v>
      </x:c>
      <x:c r="J165" s="13" t="str">
        <x:v>USER_TRANSACTION. STATIC_METADATA_NOT_BUSINESS_UAT</x:v>
      </x:c>
    </x:row>
    <x:row r="166" ht="53" customHeight="1">
      <x:c r="A166" s="14" t="str">
        <x:v>FE-159</x:v>
      </x:c>
      <x:c r="B166" s="6" t="str">
        <x:v>PANTALLA</x:v>
      </x:c>
      <x:c r="C166" s="6" t="str">
        <x:v>/app/strategy/permit-readiness-requirements</x:v>
      </x:c>
      <x:c r="D166" s="6" t="str">
        <x:v>USER</x:v>
      </x:c>
      <x:c r="E166" s="6" t="str">
        <x:v>frontend/src/features/permit-readiness/PermitReadinessWorkspace.tsx</x:v>
      </x:c>
      <x:c r="F166" s="6" t="str">
        <x:v>Business Case &amp; Investment Development &gt; Permit Readiness &gt; Permit Requirements</x:v>
      </x:c>
      <x:c r="G166" s="6" t="str">
        <x:v>authenticated</x:v>
      </x:c>
      <x:c r="H166" s="6" t="str">
        <x:v>RENDERER_REGISTERED</x:v>
      </x:c>
      <x:c r="I166" s="6" t="str">
        <x:v>permit-readiness-requirements</x:v>
      </x:c>
      <x:c r="J166" s="6" t="str">
        <x:v>USER_TRANSACTION. STATIC_METADATA_NOT_BUSINESS_UAT</x:v>
      </x:c>
    </x:row>
    <x:row r="167" ht="42" customHeight="1">
      <x:c r="A167" s="15" t="str">
        <x:v>FE-160</x:v>
      </x:c>
      <x:c r="B167" s="13" t="str">
        <x:v>PANTALLA</x:v>
      </x:c>
      <x:c r="C167" s="13" t="str">
        <x:v>/app/strategy/permit-readiness-conditions</x:v>
      </x:c>
      <x:c r="D167" s="13" t="str">
        <x:v>USER</x:v>
      </x:c>
      <x:c r="E167" s="13" t="str">
        <x:v>frontend/src/features/permit-readiness/PermitReadinessWorkspace.tsx</x:v>
      </x:c>
      <x:c r="F167" s="13" t="str">
        <x:v>Business Case &amp; Investment Development &gt; Permit Readiness &gt; Permit Conditions</x:v>
      </x:c>
      <x:c r="G167" s="13" t="str">
        <x:v>authenticated</x:v>
      </x:c>
      <x:c r="H167" s="13" t="str">
        <x:v>RENDERER_REGISTERED</x:v>
      </x:c>
      <x:c r="I167" s="13" t="str">
        <x:v>permit-readiness-conditions</x:v>
      </x:c>
      <x:c r="J167" s="13" t="str">
        <x:v>USER_TRANSACTION. STATIC_METADATA_NOT_BUSINESS_UAT</x:v>
      </x:c>
    </x:row>
    <x:row r="168" ht="53" customHeight="1">
      <x:c r="A168" s="14" t="str">
        <x:v>FE-161</x:v>
      </x:c>
      <x:c r="B168" s="6" t="str">
        <x:v>PANTALLA</x:v>
      </x:c>
      <x:c r="C168" s="6" t="str">
        <x:v>/app/strategy/permit-readiness-project</x:v>
      </x:c>
      <x:c r="D168" s="6" t="str">
        <x:v>USER</x:v>
      </x:c>
      <x:c r="E168" s="6" t="str">
        <x:v>frontend/src/features/permit-readiness/PermitReadinessWorkspace.tsx</x:v>
      </x:c>
      <x:c r="F168" s="6" t="str">
        <x:v>Business Case &amp; Investment Development &gt; Permit Readiness &gt; Project Permit Readiness</x:v>
      </x:c>
      <x:c r="G168" s="6" t="str">
        <x:v>authenticated</x:v>
      </x:c>
      <x:c r="H168" s="6" t="str">
        <x:v>RENDERER_REGISTERED</x:v>
      </x:c>
      <x:c r="I168" s="6" t="str">
        <x:v>permit-readiness-project</x:v>
      </x:c>
      <x:c r="J168" s="6" t="str">
        <x:v>USER_TRANSACTION. STATIC_METADATA_NOT_BUSINESS_UAT</x:v>
      </x:c>
    </x:row>
    <x:row r="169" ht="53" customHeight="1">
      <x:c r="A169" s="15" t="str">
        <x:v>FE-162</x:v>
      </x:c>
      <x:c r="B169" s="13" t="str">
        <x:v>PANTALLA</x:v>
      </x:c>
      <x:c r="C169" s="13" t="str">
        <x:v>/app/strategy/permit-readiness-portfolio</x:v>
      </x:c>
      <x:c r="D169" s="13" t="str">
        <x:v>USER</x:v>
      </x:c>
      <x:c r="E169" s="13" t="str">
        <x:v>frontend/src/features/permit-readiness/PermitReadinessWorkspace.tsx</x:v>
      </x:c>
      <x:c r="F169" s="13" t="str">
        <x:v>Business Case &amp; Investment Development &gt; Permit Readiness &gt; Project Set Permit Readiness</x:v>
      </x:c>
      <x:c r="G169" s="13" t="str">
        <x:v>authenticated</x:v>
      </x:c>
      <x:c r="H169" s="13" t="str">
        <x:v>RENDERER_REGISTERED</x:v>
      </x:c>
      <x:c r="I169" s="13" t="str">
        <x:v>permit-readiness-portfolio</x:v>
      </x:c>
      <x:c r="J169" s="13" t="str">
        <x:v>USER_TRANSACTION. STATIC_METADATA_NOT_BUSINESS_UAT</x:v>
      </x:c>
    </x:row>
    <x:row r="170" ht="53" customHeight="1">
      <x:c r="A170" s="14" t="str">
        <x:v>FE-163</x:v>
      </x:c>
      <x:c r="B170" s="6" t="str">
        <x:v>PANTALLA</x:v>
      </x:c>
      <x:c r="C170" s="6" t="str">
        <x:v>/app/strategy/permit-readiness-history</x:v>
      </x:c>
      <x:c r="D170" s="6" t="str">
        <x:v>USER</x:v>
      </x:c>
      <x:c r="E170" s="6" t="str">
        <x:v>frontend/src/features/permit-readiness/PermitReadinessWorkspace.tsx</x:v>
      </x:c>
      <x:c r="F170" s="6" t="str">
        <x:v>Business Case &amp; Investment Development &gt; Permit Readiness &gt; Permit History / Audit</x:v>
      </x:c>
      <x:c r="G170" s="6" t="str">
        <x:v>authenticated</x:v>
      </x:c>
      <x:c r="H170" s="6" t="str">
        <x:v>RENDERER_REGISTERED</x:v>
      </x:c>
      <x:c r="I170" s="6" t="str">
        <x:v>permit-readiness-history</x:v>
      </x:c>
      <x:c r="J170" s="6" t="str">
        <x:v>USER_TRANSACTION. STATIC_METADATA_NOT_BUSINESS_UAT</x:v>
      </x:c>
    </x:row>
    <x:row r="171" ht="42" customHeight="1">
      <x:c r="A171" s="15" t="str">
        <x:v>FE-164</x:v>
      </x:c>
      <x:c r="B171" s="13" t="str">
        <x:v>PANTALLA</x:v>
      </x:c>
      <x:c r="C171" s="13" t="str">
        <x:v>/app/strategy/basic-data-readiness</x:v>
      </x:c>
      <x:c r="D171" s="13" t="str">
        <x:v>USER</x:v>
      </x:c>
      <x:c r="E171" s="13" t="str">
        <x:v>frontend/src/features/basic-data/BasicDataWorkspace.tsx</x:v>
      </x:c>
      <x:c r="F171" s="13" t="str">
        <x:v>Business Case &amp; Investment Development &gt; Basic Data Readiness</x:v>
      </x:c>
      <x:c r="G171" s="13" t="str">
        <x:v>authenticated</x:v>
      </x:c>
      <x:c r="H171" s="13" t="str">
        <x:v>RENDERER_REGISTERED</x:v>
      </x:c>
      <x:c r="I171" s="13" t="str">
        <x:v>basic-data-readiness</x:v>
      </x:c>
      <x:c r="J171" s="13" t="str">
        <x:v>USER_TRANSACTION. STATIC_METADATA_NOT_BUSINESS_UAT</x:v>
      </x:c>
    </x:row>
    <x:row r="172" ht="42" customHeight="1">
      <x:c r="A172" s="14" t="str">
        <x:v>FE-165</x:v>
      </x:c>
      <x:c r="B172" s="6" t="str">
        <x:v>PANTALLA</x:v>
      </x:c>
      <x:c r="C172" s="6" t="str">
        <x:v>/app/strategy/owner-capability-readiness</x:v>
      </x:c>
      <x:c r="D172" s="6" t="str">
        <x:v>USER</x:v>
      </x:c>
      <x:c r="E172" s="6" t="str">
        <x:v>frontend/src/features/owner-capability/OwnerCapabilityWorkspace.tsx</x:v>
      </x:c>
      <x:c r="F172" s="6" t="str">
        <x:v>Business Case &amp; Investment Development &gt; Owner Capability Readiness</x:v>
      </x:c>
      <x:c r="G172" s="6" t="str">
        <x:v>authenticated</x:v>
      </x:c>
      <x:c r="H172" s="6" t="str">
        <x:v>RENDERER_REGISTERED</x:v>
      </x:c>
      <x:c r="I172" s="6" t="str">
        <x:v>owner-capability-readiness</x:v>
      </x:c>
      <x:c r="J172" s="6" t="str">
        <x:v>USER_TRANSACTION. STATIC_METADATA_NOT_BUSINESS_UAT</x:v>
      </x:c>
    </x:row>
    <x:row r="173" ht="42" customHeight="1">
      <x:c r="A173" s="15" t="str">
        <x:v>FE-166</x:v>
      </x:c>
      <x:c r="B173" s="13" t="str">
        <x:v>PANTALLA</x:v>
      </x:c>
      <x:c r="C173" s="13" t="str">
        <x:v>/app/strategy/qra-foundation</x:v>
      </x:c>
      <x:c r="D173" s="13" t="str">
        <x:v>USER</x:v>
      </x:c>
      <x:c r="E173" s="13" t="str">
        <x:v>frontend/src/features/qra-foundation/QraFoundationWorkspace.tsx</x:v>
      </x:c>
      <x:c r="F173" s="13" t="str">
        <x:v>Business Case &amp; Investment Development &gt; QRA &gt; Cost Source Readiness</x:v>
      </x:c>
      <x:c r="G173" s="13" t="str">
        <x:v>authenticated</x:v>
      </x:c>
      <x:c r="H173" s="13" t="str">
        <x:v>RENDERER_REGISTERED</x:v>
      </x:c>
      <x:c r="I173" s="13" t="str">
        <x:v>qra-foundation</x:v>
      </x:c>
      <x:c r="J173" s="13" t="str">
        <x:v>USER_TRANSACTION. STATIC_METADATA_NOT_BUSINESS_UAT</x:v>
      </x:c>
    </x:row>
    <x:row r="174" ht="42" customHeight="1">
      <x:c r="A174" s="14" t="str">
        <x:v>FE-167</x:v>
      </x:c>
      <x:c r="B174" s="6" t="str">
        <x:v>PANTALLA</x:v>
      </x:c>
      <x:c r="C174" s="6" t="str">
        <x:v>/app/strategy/qra-schedule-source-readiness</x:v>
      </x:c>
      <x:c r="D174" s="6" t="str">
        <x:v>USER</x:v>
      </x:c>
      <x:c r="E174" s="6" t="str">
        <x:v>frontend/src/features/qra-foundation/QraFoundationWorkspace.tsx</x:v>
      </x:c>
      <x:c r="F174" s="6" t="str">
        <x:v>Business Case &amp; Investment Development &gt; QRA &gt; Schedule Source Readiness</x:v>
      </x:c>
      <x:c r="G174" s="6" t="str">
        <x:v>authenticated</x:v>
      </x:c>
      <x:c r="H174" s="6" t="str">
        <x:v>RENDERER_REGISTERED</x:v>
      </x:c>
      <x:c r="I174" s="6" t="str">
        <x:v>qra-schedule-source-readiness</x:v>
      </x:c>
      <x:c r="J174" s="6" t="str">
        <x:v>USER_TRANSACTION. STATIC_METADATA_NOT_BUSINESS_UAT</x:v>
      </x:c>
    </x:row>
    <x:row r="175" ht="42" customHeight="1">
      <x:c r="A175" s="15" t="str">
        <x:v>FE-168</x:v>
      </x:c>
      <x:c r="B175" s="13" t="str">
        <x:v>PANTALLA</x:v>
      </x:c>
      <x:c r="C175" s="13" t="str">
        <x:v>/app/strategy/qra-model-definition</x:v>
      </x:c>
      <x:c r="D175" s="13" t="str">
        <x:v>USER</x:v>
      </x:c>
      <x:c r="E175" s="13" t="str">
        <x:v>frontend/src/features/qra-foundation/QraFoundationWorkspace.tsx</x:v>
      </x:c>
      <x:c r="F175" s="13" t="str">
        <x:v>Business Case &amp; Investment Development &gt; QRA &gt; Model Definition</x:v>
      </x:c>
      <x:c r="G175" s="13" t="str">
        <x:v>authenticated</x:v>
      </x:c>
      <x:c r="H175" s="13" t="str">
        <x:v>RENDERER_REGISTERED</x:v>
      </x:c>
      <x:c r="I175" s="13" t="str">
        <x:v>qra-model-definition</x:v>
      </x:c>
      <x:c r="J175" s="13" t="str">
        <x:v>USER_TRANSACTION. STATIC_METADATA_NOT_BUSINESS_UAT</x:v>
      </x:c>
    </x:row>
    <x:row r="176" ht="42" customHeight="1">
      <x:c r="A176" s="14" t="str">
        <x:v>FE-169</x:v>
      </x:c>
      <x:c r="B176" s="6" t="str">
        <x:v>PANTALLA</x:v>
      </x:c>
      <x:c r="C176" s="6" t="str">
        <x:v>/app/strategy/qra-foundation-history</x:v>
      </x:c>
      <x:c r="D176" s="6" t="str">
        <x:v>USER</x:v>
      </x:c>
      <x:c r="E176" s="6" t="str">
        <x:v>frontend/src/features/qra-foundation/QraFoundationWorkspace.tsx</x:v>
      </x:c>
      <x:c r="F176" s="6" t="str">
        <x:v>Business Case &amp; Investment Development &gt; QRA &gt; Foundation History</x:v>
      </x:c>
      <x:c r="G176" s="6" t="str">
        <x:v>authenticated</x:v>
      </x:c>
      <x:c r="H176" s="6" t="str">
        <x:v>RENDERER_REGISTERED</x:v>
      </x:c>
      <x:c r="I176" s="6" t="str">
        <x:v>qra-foundation-history</x:v>
      </x:c>
      <x:c r="J176" s="6" t="str">
        <x:v>USER_TRANSACTION. STATIC_METADATA_NOT_BUSINESS_UAT</x:v>
      </x:c>
    </x:row>
    <x:row r="177" ht="42" customHeight="1">
      <x:c r="A177" s="15" t="str">
        <x:v>FE-170</x:v>
      </x:c>
      <x:c r="B177" s="13" t="str">
        <x:v>PANTALLA</x:v>
      </x:c>
      <x:c r="C177" s="13" t="str">
        <x:v>/app/strategy/qra-approved-models</x:v>
      </x:c>
      <x:c r="D177" s="13" t="str">
        <x:v>USER</x:v>
      </x:c>
      <x:c r="E177" s="13" t="str">
        <x:v>frontend/src/features/qra-engine/QraEngineWorkspace.tsx</x:v>
      </x:c>
      <x:c r="F177" s="13" t="str">
        <x:v>Business Case &amp; Investment Development &gt; QRA &gt; Approved Models</x:v>
      </x:c>
      <x:c r="G177" s="13" t="str">
        <x:v>authenticated</x:v>
      </x:c>
      <x:c r="H177" s="13" t="str">
        <x:v>RENDERER_REGISTERED</x:v>
      </x:c>
      <x:c r="I177" s="13" t="str">
        <x:v>qra-approved-models</x:v>
      </x:c>
      <x:c r="J177" s="13" t="str">
        <x:v>USER_TRANSACTION. STATIC_METADATA_NOT_BUSINESS_UAT</x:v>
      </x:c>
    </x:row>
    <x:row r="178" ht="42" customHeight="1">
      <x:c r="A178" s="14" t="str">
        <x:v>FE-171</x:v>
      </x:c>
      <x:c r="B178" s="6" t="str">
        <x:v>PANTALLA</x:v>
      </x:c>
      <x:c r="C178" s="6" t="str">
        <x:v>/app/strategy/qra-runs</x:v>
      </x:c>
      <x:c r="D178" s="6" t="str">
        <x:v>USER</x:v>
      </x:c>
      <x:c r="E178" s="6" t="str">
        <x:v>frontend/src/features/qra-engine/QraEngineWorkspace.tsx</x:v>
      </x:c>
      <x:c r="F178" s="6" t="str">
        <x:v>Business Case &amp; Investment Development &gt; QRA &gt; Runs</x:v>
      </x:c>
      <x:c r="G178" s="6" t="str">
        <x:v>authenticated</x:v>
      </x:c>
      <x:c r="H178" s="6" t="str">
        <x:v>RENDERER_REGISTERED</x:v>
      </x:c>
      <x:c r="I178" s="6" t="str">
        <x:v>qra-runs</x:v>
      </x:c>
      <x:c r="J178" s="6" t="str">
        <x:v>USER_TRANSACTION. STATIC_METADATA_NOT_BUSINESS_UAT</x:v>
      </x:c>
    </x:row>
    <x:row r="179" ht="42" customHeight="1">
      <x:c r="A179" s="15" t="str">
        <x:v>FE-172</x:v>
      </x:c>
      <x:c r="B179" s="13" t="str">
        <x:v>PANTALLA</x:v>
      </x:c>
      <x:c r="C179" s="13" t="str">
        <x:v>/app/strategy/qra-run-overview</x:v>
      </x:c>
      <x:c r="D179" s="13" t="str">
        <x:v>USER</x:v>
      </x:c>
      <x:c r="E179" s="13" t="str">
        <x:v>frontend/src/features/qra-engine/QraEngineWorkspace.tsx</x:v>
      </x:c>
      <x:c r="F179" s="13" t="str">
        <x:v>Business Case &amp; Investment Development &gt; QRA &gt; Run Overview</x:v>
      </x:c>
      <x:c r="G179" s="13" t="str">
        <x:v>authenticated</x:v>
      </x:c>
      <x:c r="H179" s="13" t="str">
        <x:v>RENDERER_REGISTERED</x:v>
      </x:c>
      <x:c r="I179" s="13" t="str">
        <x:v>qra-run-overview</x:v>
      </x:c>
      <x:c r="J179" s="13" t="str">
        <x:v>USER_TRANSACTION. STATIC_METADATA_NOT_BUSINESS_UAT</x:v>
      </x:c>
    </x:row>
    <x:row r="180" ht="42" customHeight="1">
      <x:c r="A180" s="14" t="str">
        <x:v>FE-173</x:v>
      </x:c>
      <x:c r="B180" s="6" t="str">
        <x:v>PANTALLA</x:v>
      </x:c>
      <x:c r="C180" s="6" t="str">
        <x:v>/app/strategy/qra-cost-results</x:v>
      </x:c>
      <x:c r="D180" s="6" t="str">
        <x:v>USER</x:v>
      </x:c>
      <x:c r="E180" s="6" t="str">
        <x:v>frontend/src/features/qra-engine/QraEngineWorkspace.tsx</x:v>
      </x:c>
      <x:c r="F180" s="6" t="str">
        <x:v>Business Case &amp; Investment Development &gt; QRA &gt; Cost Results</x:v>
      </x:c>
      <x:c r="G180" s="6" t="str">
        <x:v>authenticated</x:v>
      </x:c>
      <x:c r="H180" s="6" t="str">
        <x:v>RENDERER_REGISTERED</x:v>
      </x:c>
      <x:c r="I180" s="6" t="str">
        <x:v>qra-cost-results</x:v>
      </x:c>
      <x:c r="J180" s="6" t="str">
        <x:v>USER_TRANSACTION. STATIC_METADATA_NOT_BUSINESS_UAT</x:v>
      </x:c>
    </x:row>
    <x:row r="181" ht="42" customHeight="1">
      <x:c r="A181" s="15" t="str">
        <x:v>FE-174</x:v>
      </x:c>
      <x:c r="B181" s="13" t="str">
        <x:v>PANTALLA</x:v>
      </x:c>
      <x:c r="C181" s="13" t="str">
        <x:v>/app/strategy/qra-schedule-results</x:v>
      </x:c>
      <x:c r="D181" s="13" t="str">
        <x:v>USER</x:v>
      </x:c>
      <x:c r="E181" s="13" t="str">
        <x:v>frontend/src/features/qra-engine/QraEngineWorkspace.tsx</x:v>
      </x:c>
      <x:c r="F181" s="13" t="str">
        <x:v>Business Case &amp; Investment Development &gt; QRA &gt; Schedule Results</x:v>
      </x:c>
      <x:c r="G181" s="13" t="str">
        <x:v>authenticated</x:v>
      </x:c>
      <x:c r="H181" s="13" t="str">
        <x:v>RENDERER_REGISTERED</x:v>
      </x:c>
      <x:c r="I181" s="13" t="str">
        <x:v>qra-schedule-results</x:v>
      </x:c>
      <x:c r="J181" s="13" t="str">
        <x:v>USER_TRANSACTION. STATIC_METADATA_NOT_BUSINESS_UAT</x:v>
      </x:c>
    </x:row>
    <x:row r="182" ht="42" customHeight="1">
      <x:c r="A182" s="14" t="str">
        <x:v>FE-175</x:v>
      </x:c>
      <x:c r="B182" s="6" t="str">
        <x:v>PANTALLA</x:v>
      </x:c>
      <x:c r="C182" s="6" t="str">
        <x:v>/app/strategy/qra-percentiles</x:v>
      </x:c>
      <x:c r="D182" s="6" t="str">
        <x:v>USER</x:v>
      </x:c>
      <x:c r="E182" s="6" t="str">
        <x:v>frontend/src/features/qra-engine/QraEngineWorkspace.tsx</x:v>
      </x:c>
      <x:c r="F182" s="6" t="str">
        <x:v>Business Case &amp; Investment Development &gt; QRA &gt; Percentiles</x:v>
      </x:c>
      <x:c r="G182" s="6" t="str">
        <x:v>authenticated</x:v>
      </x:c>
      <x:c r="H182" s="6" t="str">
        <x:v>RENDERER_REGISTERED</x:v>
      </x:c>
      <x:c r="I182" s="6" t="str">
        <x:v>qra-percentiles</x:v>
      </x:c>
      <x:c r="J182" s="6" t="str">
        <x:v>USER_TRANSACTION. STATIC_METADATA_NOT_BUSINESS_UAT</x:v>
      </x:c>
    </x:row>
    <x:row r="183" ht="42" customHeight="1">
      <x:c r="A183" s="15" t="str">
        <x:v>FE-176</x:v>
      </x:c>
      <x:c r="B183" s="13" t="str">
        <x:v>PANTALLA</x:v>
      </x:c>
      <x:c r="C183" s="13" t="str">
        <x:v>/app/strategy/qra-sensitivity</x:v>
      </x:c>
      <x:c r="D183" s="13" t="str">
        <x:v>USER</x:v>
      </x:c>
      <x:c r="E183" s="13" t="str">
        <x:v>frontend/src/features/qra-engine/QraEngineWorkspace.tsx</x:v>
      </x:c>
      <x:c r="F183" s="13" t="str">
        <x:v>Business Case &amp; Investment Development &gt; QRA &gt; Sensitivity / Drivers</x:v>
      </x:c>
      <x:c r="G183" s="13" t="str">
        <x:v>authenticated</x:v>
      </x:c>
      <x:c r="H183" s="13" t="str">
        <x:v>RENDERER_REGISTERED</x:v>
      </x:c>
      <x:c r="I183" s="13" t="str">
        <x:v>qra-sensitivity</x:v>
      </x:c>
      <x:c r="J183" s="13" t="str">
        <x:v>USER_TRANSACTION. STATIC_METADATA_NOT_BUSINESS_UAT</x:v>
      </x:c>
    </x:row>
    <x:row r="184" ht="42" customHeight="1">
      <x:c r="A184" s="14" t="str">
        <x:v>FE-177</x:v>
      </x:c>
      <x:c r="B184" s="6" t="str">
        <x:v>PANTALLA</x:v>
      </x:c>
      <x:c r="C184" s="6" t="str">
        <x:v>/app/strategy/qra-convergence</x:v>
      </x:c>
      <x:c r="D184" s="6" t="str">
        <x:v>USER</x:v>
      </x:c>
      <x:c r="E184" s="6" t="str">
        <x:v>frontend/src/features/qra-engine/QraEngineWorkspace.tsx</x:v>
      </x:c>
      <x:c r="F184" s="6" t="str">
        <x:v>Business Case &amp; Investment Development &gt; QRA &gt; Convergence</x:v>
      </x:c>
      <x:c r="G184" s="6" t="str">
        <x:v>authenticated</x:v>
      </x:c>
      <x:c r="H184" s="6" t="str">
        <x:v>RENDERER_REGISTERED</x:v>
      </x:c>
      <x:c r="I184" s="6" t="str">
        <x:v>qra-convergence</x:v>
      </x:c>
      <x:c r="J184" s="6" t="str">
        <x:v>USER_TRANSACTION. STATIC_METADATA_NOT_BUSINESS_UAT</x:v>
      </x:c>
    </x:row>
    <x:row r="185" ht="42" customHeight="1">
      <x:c r="A185" s="15" t="str">
        <x:v>FE-178</x:v>
      </x:c>
      <x:c r="B185" s="13" t="str">
        <x:v>PANTALLA</x:v>
      </x:c>
      <x:c r="C185" s="13" t="str">
        <x:v>/app/strategy/qra-run-evidence</x:v>
      </x:c>
      <x:c r="D185" s="13" t="str">
        <x:v>USER</x:v>
      </x:c>
      <x:c r="E185" s="13" t="str">
        <x:v>frontend/src/features/qra-engine/QraEngineWorkspace.tsx</x:v>
      </x:c>
      <x:c r="F185" s="13" t="str">
        <x:v>Business Case &amp; Investment Development &gt; QRA &gt; Evidence / Traceability</x:v>
      </x:c>
      <x:c r="G185" s="13" t="str">
        <x:v>authenticated</x:v>
      </x:c>
      <x:c r="H185" s="13" t="str">
        <x:v>RENDERER_REGISTERED</x:v>
      </x:c>
      <x:c r="I185" s="13" t="str">
        <x:v>qra-run-evidence</x:v>
      </x:c>
      <x:c r="J185" s="13" t="str">
        <x:v>USER_TRANSACTION. STATIC_METADATA_NOT_BUSINESS_UAT</x:v>
      </x:c>
    </x:row>
    <x:row r="186" ht="42" customHeight="1">
      <x:c r="A186" s="14" t="str">
        <x:v>FE-179</x:v>
      </x:c>
      <x:c r="B186" s="6" t="str">
        <x:v>PANTALLA</x:v>
      </x:c>
      <x:c r="C186" s="6" t="str">
        <x:v>/app/strategy/qra-run-comparison</x:v>
      </x:c>
      <x:c r="D186" s="6" t="str">
        <x:v>USER</x:v>
      </x:c>
      <x:c r="E186" s="6" t="str">
        <x:v>frontend/src/features/qra-engine/QraEngineWorkspace.tsx</x:v>
      </x:c>
      <x:c r="F186" s="6" t="str">
        <x:v>Business Case &amp; Investment Development &gt; QRA &gt; Run Comparison</x:v>
      </x:c>
      <x:c r="G186" s="6" t="str">
        <x:v>authenticated</x:v>
      </x:c>
      <x:c r="H186" s="6" t="str">
        <x:v>RENDERER_REGISTERED</x:v>
      </x:c>
      <x:c r="I186" s="6" t="str">
        <x:v>qra-run-comparison</x:v>
      </x:c>
      <x:c r="J186" s="6" t="str">
        <x:v>USER_TRANSACTION. STATIC_METADATA_NOT_BUSINESS_UAT</x:v>
      </x:c>
    </x:row>
    <x:row r="187" ht="42" customHeight="1">
      <x:c r="A187" s="15" t="str">
        <x:v>FE-180</x:v>
      </x:c>
      <x:c r="B187" s="13" t="str">
        <x:v>PANTALLA</x:v>
      </x:c>
      <x:c r="C187" s="13" t="str">
        <x:v>/app/strategy/qra-run-history</x:v>
      </x:c>
      <x:c r="D187" s="13" t="str">
        <x:v>USER</x:v>
      </x:c>
      <x:c r="E187" s="13" t="str">
        <x:v>frontend/src/features/qra-engine/QraEngineWorkspace.tsx</x:v>
      </x:c>
      <x:c r="F187" s="13" t="str">
        <x:v>Business Case &amp; Investment Development &gt; QRA &gt; Run History</x:v>
      </x:c>
      <x:c r="G187" s="13" t="str">
        <x:v>authenticated</x:v>
      </x:c>
      <x:c r="H187" s="13" t="str">
        <x:v>RENDERER_REGISTERED</x:v>
      </x:c>
      <x:c r="I187" s="13" t="str">
        <x:v>qra-run-history</x:v>
      </x:c>
      <x:c r="J187" s="13" t="str">
        <x:v>USER_TRANSACTION. STATIC_METADATA_NOT_BUSINESS_UAT</x:v>
      </x:c>
    </x:row>
    <x:row r="188" ht="42" customHeight="1">
      <x:c r="A188" s="14" t="str">
        <x:v>FE-181</x:v>
      </x:c>
      <x:c r="B188" s="6" t="str">
        <x:v>PANTALLA</x:v>
      </x:c>
      <x:c r="C188" s="6" t="str">
        <x:v>/app/strategy/investment-gate-preparation</x:v>
      </x:c>
      <x:c r="D188" s="6" t="str">
        <x:v>USER</x:v>
      </x:c>
      <x:c r="E188" s="6" t="str">
        <x:v>frontend/src/features/investment-gate-preparation/InvestmentGatePreparationWorkspace.tsx</x:v>
      </x:c>
      <x:c r="F188" s="6" t="str">
        <x:v>Investment Governance &gt; Investment Gate Preparation</x:v>
      </x:c>
      <x:c r="G188" s="6" t="str">
        <x:v>authenticated</x:v>
      </x:c>
      <x:c r="H188" s="6" t="str">
        <x:v>RENDERER_REGISTERED</x:v>
      </x:c>
      <x:c r="I188" s="6" t="str">
        <x:v>investment-gate-preparation</x:v>
      </x:c>
      <x:c r="J188" s="6" t="str">
        <x:v>USER_TRANSACTION. STATIC_METADATA_NOT_BUSINESS_UAT</x:v>
      </x:c>
    </x:row>
    <x:row r="189" ht="42" customHeight="1">
      <x:c r="A189" s="15" t="str">
        <x:v>FE-182</x:v>
      </x:c>
      <x:c r="B189" s="13" t="str">
        <x:v>PANTALLA</x:v>
      </x:c>
      <x:c r="C189" s="13" t="str">
        <x:v>/app/strategy/investment-decision-queue</x:v>
      </x:c>
      <x:c r="D189" s="13" t="str">
        <x:v>USER</x:v>
      </x:c>
      <x:c r="E189" s="13" t="str">
        <x:v>frontend/src/features/investment-decision/InvestmentDecisionWorkspace.tsx</x:v>
      </x:c>
      <x:c r="F189" s="13" t="str">
        <x:v>Investment Governance &gt; Investment Decision / FID &gt; Decision Queue</x:v>
      </x:c>
      <x:c r="G189" s="13" t="str">
        <x:v>authenticated</x:v>
      </x:c>
      <x:c r="H189" s="13" t="str">
        <x:v>RENDERER_REGISTERED</x:v>
      </x:c>
      <x:c r="I189" s="13" t="str">
        <x:v>investment-decision-queue</x:v>
      </x:c>
      <x:c r="J189" s="13" t="str">
        <x:v>USER_TRANSACTION. STATIC_METADATA_NOT_BUSINESS_UAT</x:v>
      </x:c>
    </x:row>
    <x:row r="190" ht="42" customHeight="1">
      <x:c r="A190" s="14" t="str">
        <x:v>FE-183</x:v>
      </x:c>
      <x:c r="B190" s="6" t="str">
        <x:v>PANTALLA</x:v>
      </x:c>
      <x:c r="C190" s="6" t="str">
        <x:v>/app/strategy/investment-decision-mine</x:v>
      </x:c>
      <x:c r="D190" s="6" t="str">
        <x:v>USER</x:v>
      </x:c>
      <x:c r="E190" s="6" t="str">
        <x:v>frontend/src/features/investment-decision/InvestmentDecisionWorkspace.tsx</x:v>
      </x:c>
      <x:c r="F190" s="6" t="str">
        <x:v>Investment Governance &gt; Investment Decision / FID &gt; My Decisions</x:v>
      </x:c>
      <x:c r="G190" s="6" t="str">
        <x:v>authenticated</x:v>
      </x:c>
      <x:c r="H190" s="6" t="str">
        <x:v>RENDERER_REGISTERED</x:v>
      </x:c>
      <x:c r="I190" s="6" t="str">
        <x:v>investment-decision-mine</x:v>
      </x:c>
      <x:c r="J190" s="6" t="str">
        <x:v>USER_TRANSACTION. STATIC_METADATA_NOT_BUSINESS_UAT</x:v>
      </x:c>
    </x:row>
    <x:row r="191" ht="53" customHeight="1">
      <x:c r="A191" s="15" t="str">
        <x:v>FE-184</x:v>
      </x:c>
      <x:c r="B191" s="13" t="str">
        <x:v>PANTALLA</x:v>
      </x:c>
      <x:c r="C191" s="13" t="str">
        <x:v>/app/strategy/investment-decision-package</x:v>
      </x:c>
      <x:c r="D191" s="13" t="str">
        <x:v>USER</x:v>
      </x:c>
      <x:c r="E191" s="13" t="str">
        <x:v>frontend/src/features/investment-decision/InvestmentDecisionWorkspace.tsx</x:v>
      </x:c>
      <x:c r="F191" s="13" t="str">
        <x:v>Investment Governance &gt; Investment Decision / FID &gt; Investment Decision Package</x:v>
      </x:c>
      <x:c r="G191" s="13" t="str">
        <x:v>authenticated</x:v>
      </x:c>
      <x:c r="H191" s="13" t="str">
        <x:v>RENDERER_REGISTERED</x:v>
      </x:c>
      <x:c r="I191" s="13" t="str">
        <x:v>investment-decision-package</x:v>
      </x:c>
      <x:c r="J191" s="13" t="str">
        <x:v>USER_TRANSACTION. STATIC_METADATA_NOT_BUSINESS_UAT</x:v>
      </x:c>
    </x:row>
    <x:row r="192" ht="42" customHeight="1">
      <x:c r="A192" s="14" t="str">
        <x:v>FE-185</x:v>
      </x:c>
      <x:c r="B192" s="6" t="str">
        <x:v>PANTALLA</x:v>
      </x:c>
      <x:c r="C192" s="6" t="str">
        <x:v>/app/strategy/investment-decision-evidence</x:v>
      </x:c>
      <x:c r="D192" s="6" t="str">
        <x:v>USER</x:v>
      </x:c>
      <x:c r="E192" s="6" t="str">
        <x:v>frontend/src/features/investment-decision/InvestmentDecisionWorkspace.tsx</x:v>
      </x:c>
      <x:c r="F192" s="6" t="str">
        <x:v>Investment Governance &gt; Investment Decision / FID &gt; Evidence Summary</x:v>
      </x:c>
      <x:c r="G192" s="6" t="str">
        <x:v>authenticated</x:v>
      </x:c>
      <x:c r="H192" s="6" t="str">
        <x:v>RENDERER_REGISTERED</x:v>
      </x:c>
      <x:c r="I192" s="6" t="str">
        <x:v>investment-decision-evidence</x:v>
      </x:c>
      <x:c r="J192" s="6" t="str">
        <x:v>USER_TRANSACTION. STATIC_METADATA_NOT_BUSINESS_UAT</x:v>
      </x:c>
    </x:row>
    <x:row r="193" ht="42" customHeight="1">
      <x:c r="A193" s="15" t="str">
        <x:v>FE-186</x:v>
      </x:c>
      <x:c r="B193" s="13" t="str">
        <x:v>PANTALLA</x:v>
      </x:c>
      <x:c r="C193" s="13" t="str">
        <x:v>/app/strategy/investment-decision-checklist</x:v>
      </x:c>
      <x:c r="D193" s="13" t="str">
        <x:v>USER</x:v>
      </x:c>
      <x:c r="E193" s="13" t="str">
        <x:v>frontend/src/features/investment-decision/InvestmentDecisionWorkspace.tsx</x:v>
      </x:c>
      <x:c r="F193" s="13" t="str">
        <x:v>Investment Governance &gt; Investment Decision / FID &gt; Decision Checklist</x:v>
      </x:c>
      <x:c r="G193" s="13" t="str">
        <x:v>authenticated</x:v>
      </x:c>
      <x:c r="H193" s="13" t="str">
        <x:v>RENDERER_REGISTERED</x:v>
      </x:c>
      <x:c r="I193" s="13" t="str">
        <x:v>investment-decision-checklist</x:v>
      </x:c>
      <x:c r="J193" s="13" t="str">
        <x:v>USER_TRANSACTION. STATIC_METADATA_NOT_BUSINESS_UAT</x:v>
      </x:c>
    </x:row>
    <x:row r="194" ht="42" customHeight="1">
      <x:c r="A194" s="14" t="str">
        <x:v>FE-187</x:v>
      </x:c>
      <x:c r="B194" s="6" t="str">
        <x:v>PANTALLA</x:v>
      </x:c>
      <x:c r="C194" s="6" t="str">
        <x:v>/app/strategy/investment-decision-conditions</x:v>
      </x:c>
      <x:c r="D194" s="6" t="str">
        <x:v>USER</x:v>
      </x:c>
      <x:c r="E194" s="6" t="str">
        <x:v>frontend/src/features/investment-decision/InvestmentDecisionWorkspace.tsx</x:v>
      </x:c>
      <x:c r="F194" s="6" t="str">
        <x:v>Investment Governance &gt; Investment Decision / FID &gt; Conditions</x:v>
      </x:c>
      <x:c r="G194" s="6" t="str">
        <x:v>authenticated</x:v>
      </x:c>
      <x:c r="H194" s="6" t="str">
        <x:v>RENDERER_REGISTERED</x:v>
      </x:c>
      <x:c r="I194" s="6" t="str">
        <x:v>investment-decision-conditions</x:v>
      </x:c>
      <x:c r="J194" s="6" t="str">
        <x:v>USER_TRANSACTION. STATIC_METADATA_NOT_BUSINESS_UAT</x:v>
      </x:c>
    </x:row>
    <x:row r="195" ht="42" customHeight="1">
      <x:c r="A195" s="15" t="str">
        <x:v>FE-188</x:v>
      </x:c>
      <x:c r="B195" s="13" t="str">
        <x:v>PANTALLA</x:v>
      </x:c>
      <x:c r="C195" s="13" t="str">
        <x:v>/app/strategy/investment-decision-committee</x:v>
      </x:c>
      <x:c r="D195" s="13" t="str">
        <x:v>USER</x:v>
      </x:c>
      <x:c r="E195" s="13" t="str">
        <x:v>frontend/src/features/investment-decision/InvestmentDecisionWorkspace.tsx</x:v>
      </x:c>
      <x:c r="F195" s="13" t="str">
        <x:v>Investment Governance &gt; Investment Decision / FID &gt; Committee / Votes</x:v>
      </x:c>
      <x:c r="G195" s="13" t="str">
        <x:v>authenticated</x:v>
      </x:c>
      <x:c r="H195" s="13" t="str">
        <x:v>RENDERER_REGISTERED</x:v>
      </x:c>
      <x:c r="I195" s="13" t="str">
        <x:v>investment-decision-committee</x:v>
      </x:c>
      <x:c r="J195" s="13" t="str">
        <x:v>USER_TRANSACTION. STATIC_METADATA_NOT_BUSINESS_UAT</x:v>
      </x:c>
    </x:row>
    <x:row r="196" ht="42" customHeight="1">
      <x:c r="A196" s="14" t="str">
        <x:v>FE-189</x:v>
      </x:c>
      <x:c r="B196" s="6" t="str">
        <x:v>PANTALLA</x:v>
      </x:c>
      <x:c r="C196" s="6" t="str">
        <x:v>/app/strategy/investment-decision-history</x:v>
      </x:c>
      <x:c r="D196" s="6" t="str">
        <x:v>USER</x:v>
      </x:c>
      <x:c r="E196" s="6" t="str">
        <x:v>frontend/src/features/investment-decision/InvestmentDecisionWorkspace.tsx</x:v>
      </x:c>
      <x:c r="F196" s="6" t="str">
        <x:v>Investment Governance &gt; Investment Decision / FID &gt; Decision History</x:v>
      </x:c>
      <x:c r="G196" s="6" t="str">
        <x:v>authenticated</x:v>
      </x:c>
      <x:c r="H196" s="6" t="str">
        <x:v>RENDERER_REGISTERED</x:v>
      </x:c>
      <x:c r="I196" s="6" t="str">
        <x:v>investment-decision-history</x:v>
      </x:c>
      <x:c r="J196" s="6" t="str">
        <x:v>USER_TRANSACTION. STATIC_METADATA_NOT_BUSINESS_UAT</x:v>
      </x:c>
    </x:row>
    <x:row r="197" ht="42" customHeight="1">
      <x:c r="A197" s="15" t="str">
        <x:v>FE-190</x:v>
      </x:c>
      <x:c r="B197" s="13" t="str">
        <x:v>PANTALLA</x:v>
      </x:c>
      <x:c r="C197" s="13" t="str">
        <x:v>/app/strategy/investment-decision-output</x:v>
      </x:c>
      <x:c r="D197" s="13" t="str">
        <x:v>USER</x:v>
      </x:c>
      <x:c r="E197" s="13" t="str">
        <x:v>frontend/src/features/investment-decision/InvestmentDecisionWorkspace.tsx</x:v>
      </x:c>
      <x:c r="F197" s="13" t="str">
        <x:v>Investment Governance &gt; Investment Decision / FID &gt; Authorization Output</x:v>
      </x:c>
      <x:c r="G197" s="13" t="str">
        <x:v>authenticated</x:v>
      </x:c>
      <x:c r="H197" s="13" t="str">
        <x:v>RENDERER_REGISTERED</x:v>
      </x:c>
      <x:c r="I197" s="13" t="str">
        <x:v>investment-decision-output</x:v>
      </x:c>
      <x:c r="J197" s="13" t="str">
        <x:v>USER_TRANSACTION. STATIC_METADATA_NOT_BUSINESS_UAT</x:v>
      </x:c>
    </x:row>
    <x:row r="198" ht="42" customHeight="1">
      <x:c r="A198" s="14" t="str">
        <x:v>FE-191</x:v>
      </x:c>
      <x:c r="B198" s="6" t="str">
        <x:v>PANTALLA</x:v>
      </x:c>
      <x:c r="C198" s="6" t="str">
        <x:v>/app/strategy/post-fid-queue</x:v>
      </x:c>
      <x:c r="D198" s="6" t="str">
        <x:v>USER</x:v>
      </x:c>
      <x:c r="E198" s="6" t="str">
        <x:v>frontend/src/features/post-fid-governance/PostFIDGovernanceWorkspace.tsx</x:v>
      </x:c>
      <x:c r="F198" s="6" t="str">
        <x:v>Investment Governance &gt; Post-FID Project Governance &gt; Post-FID Queue</x:v>
      </x:c>
      <x:c r="G198" s="6" t="str">
        <x:v>authenticated</x:v>
      </x:c>
      <x:c r="H198" s="6" t="str">
        <x:v>RENDERER_REGISTERED</x:v>
      </x:c>
      <x:c r="I198" s="6" t="str">
        <x:v>post-fid-queue</x:v>
      </x:c>
      <x:c r="J198" s="6" t="str">
        <x:v>USER_TRANSACTION. STATIC_METADATA_NOT_BUSINESS_UAT</x:v>
      </x:c>
    </x:row>
    <x:row r="199" ht="42" customHeight="1">
      <x:c r="A199" s="15" t="str">
        <x:v>FE-192</x:v>
      </x:c>
      <x:c r="B199" s="13" t="str">
        <x:v>PANTALLA</x:v>
      </x:c>
      <x:c r="C199" s="13" t="str">
        <x:v>/app/strategy/post-fid-handoff</x:v>
      </x:c>
      <x:c r="D199" s="13" t="str">
        <x:v>USER</x:v>
      </x:c>
      <x:c r="E199" s="13" t="str">
        <x:v>frontend/src/features/post-fid-governance/PostFIDGovernanceWorkspace.tsx</x:v>
      </x:c>
      <x:c r="F199" s="13" t="str">
        <x:v>Investment Governance &gt; Post-FID Project Governance &gt; FID Handoff</x:v>
      </x:c>
      <x:c r="G199" s="13" t="str">
        <x:v>authenticated</x:v>
      </x:c>
      <x:c r="H199" s="13" t="str">
        <x:v>RENDERER_REGISTERED</x:v>
      </x:c>
      <x:c r="I199" s="13" t="str">
        <x:v>post-fid-handoff</x:v>
      </x:c>
      <x:c r="J199" s="13" t="str">
        <x:v>USER_TRANSACTION. STATIC_METADATA_NOT_BUSINESS_UAT</x:v>
      </x:c>
    </x:row>
    <x:row r="200" ht="53" customHeight="1">
      <x:c r="A200" s="14" t="str">
        <x:v>FE-193</x:v>
      </x:c>
      <x:c r="B200" s="6" t="str">
        <x:v>PANTALLA</x:v>
      </x:c>
      <x:c r="C200" s="6" t="str">
        <x:v>/app/strategy/post-fid-eligibility-matrix</x:v>
      </x:c>
      <x:c r="D200" s="6" t="str">
        <x:v>USER</x:v>
      </x:c>
      <x:c r="E200" s="6" t="str">
        <x:v>frontend/src/features/post-fid-governance/PostFIDGovernanceWorkspace.tsx</x:v>
      </x:c>
      <x:c r="F200" s="6" t="str">
        <x:v>Investment Governance &gt; Post-FID Project Governance &gt; Project Eligibility Matrix</x:v>
      </x:c>
      <x:c r="G200" s="6" t="str">
        <x:v>authenticated</x:v>
      </x:c>
      <x:c r="H200" s="6" t="str">
        <x:v>RENDERER_REGISTERED</x:v>
      </x:c>
      <x:c r="I200" s="6" t="str">
        <x:v>post-fid-eligibility-matrix</x:v>
      </x:c>
      <x:c r="J200" s="6" t="str">
        <x:v>USER_TRANSACTION. STATIC_METADATA_NOT_BUSINESS_UAT</x:v>
      </x:c>
    </x:row>
    <x:row r="201" ht="42" customHeight="1">
      <x:c r="A201" s="15" t="str">
        <x:v>FE-194</x:v>
      </x:c>
      <x:c r="B201" s="13" t="str">
        <x:v>PANTALLA</x:v>
      </x:c>
      <x:c r="C201" s="13" t="str">
        <x:v>/app/strategy/post-fid-conditions</x:v>
      </x:c>
      <x:c r="D201" s="13" t="str">
        <x:v>USER</x:v>
      </x:c>
      <x:c r="E201" s="13" t="str">
        <x:v>frontend/src/features/post-fid-governance/PostFIDGovernanceWorkspace.tsx</x:v>
      </x:c>
      <x:c r="F201" s="13" t="str">
        <x:v>Investment Governance &gt; Post-FID Project Governance &gt; Post-FID Conditions</x:v>
      </x:c>
      <x:c r="G201" s="13" t="str">
        <x:v>authenticated</x:v>
      </x:c>
      <x:c r="H201" s="13" t="str">
        <x:v>RENDERER_REGISTERED</x:v>
      </x:c>
      <x:c r="I201" s="13" t="str">
        <x:v>post-fid-conditions</x:v>
      </x:c>
      <x:c r="J201" s="13" t="str">
        <x:v>USER_TRANSACTION. STATIC_METADATA_NOT_BUSINESS_UAT</x:v>
      </x:c>
    </x:row>
    <x:row r="202" ht="42" customHeight="1">
      <x:c r="A202" s="14" t="str">
        <x:v>FE-195</x:v>
      </x:c>
      <x:c r="B202" s="6" t="str">
        <x:v>PANTALLA</x:v>
      </x:c>
      <x:c r="C202" s="6" t="str">
        <x:v>/app/strategy/post-fid-initialization-handoff</x:v>
      </x:c>
      <x:c r="D202" s="6" t="str">
        <x:v>USER</x:v>
      </x:c>
      <x:c r="E202" s="6" t="str">
        <x:v>frontend/src/features/post-fid-governance/PostFIDGovernanceWorkspace.tsx</x:v>
      </x:c>
      <x:c r="F202" s="6" t="str">
        <x:v>Investment Governance &gt; Post-FID Project Governance &gt; Initialization Handoff</x:v>
      </x:c>
      <x:c r="G202" s="6" t="str">
        <x:v>authenticated</x:v>
      </x:c>
      <x:c r="H202" s="6" t="str">
        <x:v>RENDERER_REGISTERED</x:v>
      </x:c>
      <x:c r="I202" s="6" t="str">
        <x:v>post-fid-initialization-handoff</x:v>
      </x:c>
      <x:c r="J202" s="6" t="str">
        <x:v>USER_TRANSACTION. STATIC_METADATA_NOT_BUSINESS_UAT</x:v>
      </x:c>
    </x:row>
    <x:row r="203" ht="42" customHeight="1">
      <x:c r="A203" s="15" t="str">
        <x:v>FE-196</x:v>
      </x:c>
      <x:c r="B203" s="13" t="str">
        <x:v>PANTALLA</x:v>
      </x:c>
      <x:c r="C203" s="13" t="str">
        <x:v>/app/strategy/post-fid-activation-handoff</x:v>
      </x:c>
      <x:c r="D203" s="13" t="str">
        <x:v>USER</x:v>
      </x:c>
      <x:c r="E203" s="13" t="str">
        <x:v>frontend/src/features/post-fid-governance/PostFIDGovernanceWorkspace.tsx</x:v>
      </x:c>
      <x:c r="F203" s="13" t="str">
        <x:v>Investment Governance &gt; Post-FID Project Governance &gt; Activation Handoff</x:v>
      </x:c>
      <x:c r="G203" s="13" t="str">
        <x:v>authenticated</x:v>
      </x:c>
      <x:c r="H203" s="13" t="str">
        <x:v>RENDERER_REGISTERED</x:v>
      </x:c>
      <x:c r="I203" s="13" t="str">
        <x:v>post-fid-activation-handoff</x:v>
      </x:c>
      <x:c r="J203" s="13" t="str">
        <x:v>USER_TRANSACTION. STATIC_METADATA_NOT_BUSINESS_UAT</x:v>
      </x:c>
    </x:row>
    <x:row r="204" ht="53" customHeight="1">
      <x:c r="A204" s="14" t="str">
        <x:v>FE-197</x:v>
      </x:c>
      <x:c r="B204" s="6" t="str">
        <x:v>PANTALLA</x:v>
      </x:c>
      <x:c r="C204" s="6" t="str">
        <x:v>/app/strategy/post-fid-history</x:v>
      </x:c>
      <x:c r="D204" s="6" t="str">
        <x:v>USER</x:v>
      </x:c>
      <x:c r="E204" s="6" t="str">
        <x:v>frontend/src/features/post-fid-governance/PostFIDGovernanceWorkspace.tsx</x:v>
      </x:c>
      <x:c r="F204" s="6" t="str">
        <x:v>Investment Governance &gt; Post-FID Project Governance &gt; Post-FID History / Audit</x:v>
      </x:c>
      <x:c r="G204" s="6" t="str">
        <x:v>authenticated</x:v>
      </x:c>
      <x:c r="H204" s="6" t="str">
        <x:v>RENDERER_REGISTERED</x:v>
      </x:c>
      <x:c r="I204" s="6" t="str">
        <x:v>post-fid-history</x:v>
      </x:c>
      <x:c r="J204" s="6" t="str">
        <x:v>USER_TRANSACTION. STATIC_METADATA_NOT_BUSINESS_UAT</x:v>
      </x:c>
    </x:row>
    <x:row r="205" ht="42" customHeight="1">
      <x:c r="A205" s="15" t="str">
        <x:v>API-1</x:v>
      </x:c>
      <x:c r="B205" s="13" t="str">
        <x:v>POST</x:v>
      </x:c>
      <x:c r="C205" s="13" t="str">
        <x:v>/api/v1/admin-configuration/configurations</x:v>
      </x:c>
      <x:c r="D205" s="13" t="str">
        <x:v>ADMIN MODE</x:v>
      </x:c>
      <x:c r="E205" s="13" t="str">
        <x:v>admin_configuration</x:v>
      </x:c>
      <x:c r="F205" s="13" t="str">
        <x:v>create configuration</x:v>
      </x:c>
      <x:c r="G205" s="13" t="str">
        <x:v>can_configure</x:v>
      </x:c>
      <x:c r="H205" s="13" t="str">
        <x:v>LIVE_ROUTER_REGISTERED</x:v>
      </x:c>
      <x:c r="I205" s="13" t="str">
        <x:v>frontend/src/api/adminConfiguration.ts</x:v>
      </x:c>
      <x:c r="J205" s="13" t="str">
        <x:v>NOT_EXECUTED_BY_INVENTORY. SOURCE_LITERAL_OR_TRANSITIVE_HELPER_UNION</x:v>
      </x:c>
    </x:row>
    <x:row r="206" ht="42" customHeight="1">
      <x:c r="A206" s="14" t="str">
        <x:v>API-2</x:v>
      </x:c>
      <x:c r="B206" s="6" t="str">
        <x:v>PATCH</x:v>
      </x:c>
      <x:c r="C206" s="6" t="str">
        <x:v>/api/v1/admin-configuration/configurations/{configuration_id}</x:v>
      </x:c>
      <x:c r="D206" s="6" t="str">
        <x:v>ADMIN MODE</x:v>
      </x:c>
      <x:c r="E206" s="6" t="str">
        <x:v>admin_configuration</x:v>
      </x:c>
      <x:c r="F206" s="6" t="str">
        <x:v>update configuration</x:v>
      </x:c>
      <x:c r="G206" s="6" t="str">
        <x:v>can_configure</x:v>
      </x:c>
      <x:c r="H206" s="6" t="str">
        <x:v>LIVE_ROUTER_REGISTERED</x:v>
      </x:c>
      <x:c r="I206" s="6" t="str">
        <x:v>NO_DIRECT_LITERAL_MATCH_NOT_PROOF_UNUSED</x:v>
      </x:c>
      <x:c r="J206" s="6" t="str">
        <x:v>NOT_EXECUTED_BY_INVENTORY. SOURCE_LITERAL_OR_TRANSITIVE_HELPER_UNION</x:v>
      </x:c>
    </x:row>
    <x:row r="207" ht="42" customHeight="1">
      <x:c r="A207" s="15" t="str">
        <x:v>API-3</x:v>
      </x:c>
      <x:c r="B207" s="13" t="str">
        <x:v>POST</x:v>
      </x:c>
      <x:c r="C207" s="13" t="str">
        <x:v>/api/v1/admin-configuration/configurations/{configuration_id}/clone</x:v>
      </x:c>
      <x:c r="D207" s="13" t="str">
        <x:v>ADMIN MODE</x:v>
      </x:c>
      <x:c r="E207" s="13" t="str">
        <x:v>admin_configuration</x:v>
      </x:c>
      <x:c r="F207" s="13" t="str">
        <x:v>clone configuration</x:v>
      </x:c>
      <x:c r="G207" s="13" t="str">
        <x:v>can_configure</x:v>
      </x:c>
      <x:c r="H207" s="13" t="str">
        <x:v>LIVE_ROUTER_REGISTERED</x:v>
      </x:c>
      <x:c r="I207" s="13" t="str">
        <x:v>frontend/src/api/adminConfiguration.ts</x:v>
      </x:c>
      <x:c r="J207" s="13" t="str">
        <x:v>NOT_EXECUTED_BY_INVENTORY. SOURCE_LITERAL_OR_TRANSITIVE_HELPER_UNION</x:v>
      </x:c>
    </x:row>
    <x:row r="208" ht="42" customHeight="1">
      <x:c r="A208" s="14" t="str">
        <x:v>API-4</x:v>
      </x:c>
      <x:c r="B208" s="6" t="str">
        <x:v>POST</x:v>
      </x:c>
      <x:c r="C208" s="6" t="str">
        <x:v>/api/v1/admin-configuration/configurations/{configuration_id}/publish</x:v>
      </x:c>
      <x:c r="D208" s="6" t="str">
        <x:v>ADMIN MODE</x:v>
      </x:c>
      <x:c r="E208" s="6" t="str">
        <x:v>admin_configuration</x:v>
      </x:c>
      <x:c r="F208" s="6" t="str">
        <x:v>publish configuration</x:v>
      </x:c>
      <x:c r="G208" s="6" t="str">
        <x:v>can_configure</x:v>
      </x:c>
      <x:c r="H208" s="6" t="str">
        <x:v>LIVE_ROUTER_REGISTERED</x:v>
      </x:c>
      <x:c r="I208" s="6" t="str">
        <x:v>frontend/src/api/adminConfiguration.ts</x:v>
      </x:c>
      <x:c r="J208" s="6" t="str">
        <x:v>NOT_EXECUTED_BY_INVENTORY. SOURCE_LITERAL_OR_TRANSITIVE_HELPER_UNION</x:v>
      </x:c>
    </x:row>
    <x:row r="209" ht="42" customHeight="1">
      <x:c r="A209" s="15" t="str">
        <x:v>API-5</x:v>
      </x:c>
      <x:c r="B209" s="13" t="str">
        <x:v>POST</x:v>
      </x:c>
      <x:c r="C209" s="13" t="str">
        <x:v>/api/v1/admin-configuration/numbering/{rule_code}/next</x:v>
      </x:c>
      <x:c r="D209" s="13" t="str">
        <x:v>ADMIN MODE</x:v>
      </x:c>
      <x:c r="E209" s="13" t="str">
        <x:v>admin_configuration</x:v>
      </x:c>
      <x:c r="F209" s="13" t="str">
        <x:v>issue number</x:v>
      </x:c>
      <x:c r="G209" s="13" t="str">
        <x:v>can_configure</x:v>
      </x:c>
      <x:c r="H209" s="13" t="str">
        <x:v>LIVE_ROUTER_REGISTERED</x:v>
      </x:c>
      <x:c r="I209" s="13" t="str">
        <x:v>frontend/src/api/adminConfiguration.ts</x:v>
      </x:c>
      <x:c r="J209" s="13" t="str">
        <x:v>NOT_EXECUTED_BY_INVENTORY. SOURCE_LITERAL_OR_TRANSITIVE_HELPER_UNION</x:v>
      </x:c>
    </x:row>
    <x:row r="210" ht="42" customHeight="1">
      <x:c r="A210" s="14" t="str">
        <x:v>API-6</x:v>
      </x:c>
      <x:c r="B210" s="6" t="str">
        <x:v>POST</x:v>
      </x:c>
      <x:c r="C210" s="6" t="str">
        <x:v>/api/v1/admin-configuration/numbering/{rule_code}/preview</x:v>
      </x:c>
      <x:c r="D210" s="6" t="str">
        <x:v>ADMIN MODE</x:v>
      </x:c>
      <x:c r="E210" s="6" t="str">
        <x:v>admin_configuration</x:v>
      </x:c>
      <x:c r="F210" s="6" t="str">
        <x:v>preview number</x:v>
      </x:c>
      <x:c r="G210" s="6" t="str">
        <x:v>can_configure</x:v>
      </x:c>
      <x:c r="H210" s="6" t="str">
        <x:v>LIVE_ROUTER_REGISTERED</x:v>
      </x:c>
      <x:c r="I210" s="6" t="str">
        <x:v>frontend/src/api/adminConfiguration.ts</x:v>
      </x:c>
      <x:c r="J210" s="6" t="str">
        <x:v>NOT_EXECUTED_BY_INVENTORY. SOURCE_LITERAL_OR_TRANSITIVE_HELPER_UNION</x:v>
      </x:c>
    </x:row>
    <x:row r="211" ht="42" customHeight="1">
      <x:c r="A211" s="15" t="str">
        <x:v>API-7</x:v>
      </x:c>
      <x:c r="B211" s="13" t="str">
        <x:v>GET</x:v>
      </x:c>
      <x:c r="C211" s="13" t="str">
        <x:v>/api/v1/admin-configuration/overview</x:v>
      </x:c>
      <x:c r="D211" s="13" t="str">
        <x:v>ADMIN MODE</x:v>
      </x:c>
      <x:c r="E211" s="13" t="str">
        <x:v>admin_configuration</x:v>
      </x:c>
      <x:c r="F211" s="13" t="str">
        <x:v>overview</x:v>
      </x:c>
      <x:c r="G211" s="13" t="str">
        <x:v>can_configure</x:v>
      </x:c>
      <x:c r="H211" s="13" t="str">
        <x:v>LIVE_ROUTER_REGISTERED</x:v>
      </x:c>
      <x:c r="I211" s="13" t="str">
        <x:v>frontend/src/api/adminConfiguration.ts</x:v>
      </x:c>
      <x:c r="J211" s="13" t="str">
        <x:v>NOT_EXECUTED_BY_INVENTORY. SOURCE_LITERAL_OR_TRANSITIVE_HELPER_UNION</x:v>
      </x:c>
    </x:row>
    <x:row r="212" ht="42" customHeight="1">
      <x:c r="A212" s="14" t="str">
        <x:v>API-8</x:v>
      </x:c>
      <x:c r="B212" s="6" t="str">
        <x:v>POST</x:v>
      </x:c>
      <x:c r="C212" s="6" t="str">
        <x:v>/api/v1/admin-configuration/workspaces</x:v>
      </x:c>
      <x:c r="D212" s="6" t="str">
        <x:v>ADMIN MODE</x:v>
      </x:c>
      <x:c r="E212" s="6" t="str">
        <x:v>admin_configuration</x:v>
      </x:c>
      <x:c r="F212" s="6" t="str">
        <x:v>create workspace</x:v>
      </x:c>
      <x:c r="G212" s="6" t="str">
        <x:v>can_configure</x:v>
      </x:c>
      <x:c r="H212" s="6" t="str">
        <x:v>LIVE_ROUTER_REGISTERED</x:v>
      </x:c>
      <x:c r="I212" s="6" t="str">
        <x:v>frontend/src/api/adminConfiguration.ts</x:v>
      </x:c>
      <x:c r="J212" s="6" t="str">
        <x:v>NOT_EXECUTED_BY_INVENTORY. SOURCE_LITERAL_OR_TRANSITIVE_HELPER_UNION</x:v>
      </x:c>
    </x:row>
    <x:row r="213" ht="42" customHeight="1">
      <x:c r="A213" s="15" t="str">
        <x:v>API-9</x:v>
      </x:c>
      <x:c r="B213" s="13" t="str">
        <x:v>PATCH</x:v>
      </x:c>
      <x:c r="C213" s="13" t="str">
        <x:v>/api/v1/admin-configuration/workspaces/{workspace_id}</x:v>
      </x:c>
      <x:c r="D213" s="13" t="str">
        <x:v>ADMIN MODE</x:v>
      </x:c>
      <x:c r="E213" s="13" t="str">
        <x:v>admin_configuration</x:v>
      </x:c>
      <x:c r="F213" s="13" t="str">
        <x:v>update workspace</x:v>
      </x:c>
      <x:c r="G213" s="13" t="str">
        <x:v>can_configure</x:v>
      </x:c>
      <x:c r="H213" s="13" t="str">
        <x:v>LIVE_ROUTER_REGISTERED</x:v>
      </x:c>
      <x:c r="I213" s="13" t="str">
        <x:v>NO_DIRECT_LITERAL_MATCH_NOT_PROOF_UNUSED</x:v>
      </x:c>
      <x:c r="J213" s="13" t="str">
        <x:v>NOT_EXECUTED_BY_INVENTORY. SOURCE_LITERAL_OR_TRANSITIVE_HELPER_UNION</x:v>
      </x:c>
    </x:row>
    <x:row r="214" ht="42" customHeight="1">
      <x:c r="A214" s="14" t="str">
        <x:v>API-10</x:v>
      </x:c>
      <x:c r="B214" s="6" t="str">
        <x:v>PUT</x:v>
      </x:c>
      <x:c r="C214" s="6" t="str">
        <x:v>/api/v1/admin-configuration/workspaces/{workspace_id}/defaults</x:v>
      </x:c>
      <x:c r="D214" s="6" t="str">
        <x:v>ADMIN MODE</x:v>
      </x:c>
      <x:c r="E214" s="6" t="str">
        <x:v>admin_configuration</x:v>
      </x:c>
      <x:c r="F214" s="6" t="str">
        <x:v>update workspace defaults</x:v>
      </x:c>
      <x:c r="G214" s="6" t="str">
        <x:v>can_configure</x:v>
      </x:c>
      <x:c r="H214" s="6" t="str">
        <x:v>LIVE_ROUTER_REGISTERED</x:v>
      </x:c>
      <x:c r="I214" s="6" t="str">
        <x:v>frontend/src/api/adminConfiguration.ts</x:v>
      </x:c>
      <x:c r="J214" s="6" t="str">
        <x:v>NOT_EXECUTED_BY_INVENTORY. SOURCE_LITERAL_OR_TRANSITIVE_HELPER_UNION</x:v>
      </x:c>
    </x:row>
    <x:row r="215" ht="42" customHeight="1">
      <x:c r="A215" s="15" t="str">
        <x:v>API-11</x:v>
      </x:c>
      <x:c r="B215" s="13" t="str">
        <x:v>GET</x:v>
      </x:c>
      <x:c r="C215" s="13" t="str">
        <x:v>/api/v1/admin-configuration/workspaces/{workspace_id}/effective</x:v>
      </x:c>
      <x:c r="D215" s="13" t="str">
        <x:v>ADMIN MODE</x:v>
      </x:c>
      <x:c r="E215" s="13" t="str">
        <x:v>admin_configuration</x:v>
      </x:c>
      <x:c r="F215" s="13" t="str">
        <x:v>effective workspace configuration</x:v>
      </x:c>
      <x:c r="G215" s="13" t="str">
        <x:v>can_configure</x:v>
      </x:c>
      <x:c r="H215" s="13" t="str">
        <x:v>LIVE_ROUTER_REGISTERED</x:v>
      </x:c>
      <x:c r="I215" s="13" t="str">
        <x:v>frontend/src/api/adminConfiguration.ts</x:v>
      </x:c>
      <x:c r="J215" s="13" t="str">
        <x:v>NOT_EXECUTED_BY_INVENTORY. SOURCE_LITERAL_OR_TRANSITIVE_HELPER_UNION</x:v>
      </x:c>
    </x:row>
    <x:row r="216" ht="42" customHeight="1">
      <x:c r="A216" s="14" t="str">
        <x:v>API-12</x:v>
      </x:c>
      <x:c r="B216" s="6" t="str">
        <x:v>PUT</x:v>
      </x:c>
      <x:c r="C216" s="6" t="str">
        <x:v>/api/v1/admin-configuration/workspaces/{workspace_id}/modules/{module_key}</x:v>
      </x:c>
      <x:c r="D216" s="6" t="str">
        <x:v>ADMIN MODE</x:v>
      </x:c>
      <x:c r="E216" s="6" t="str">
        <x:v>admin_configuration</x:v>
      </x:c>
      <x:c r="F216" s="6" t="str">
        <x:v>set workspace module</x:v>
      </x:c>
      <x:c r="G216" s="6" t="str">
        <x:v>can_configure</x:v>
      </x:c>
      <x:c r="H216" s="6" t="str">
        <x:v>LIVE_ROUTER_REGISTERED</x:v>
      </x:c>
      <x:c r="I216" s="6" t="str">
        <x:v>frontend/src/api/adminConfiguration.ts</x:v>
      </x:c>
      <x:c r="J216" s="6" t="str">
        <x:v>NOT_EXECUTED_BY_INVENTORY. SOURCE_LITERAL_OR_TRANSITIVE_HELPER_UNION</x:v>
      </x:c>
    </x:row>
    <x:row r="217" ht="42" customHeight="1">
      <x:c r="A217" s="15" t="str">
        <x:v>API-13</x:v>
      </x:c>
      <x:c r="B217" s="13" t="str">
        <x:v>GET</x:v>
      </x:c>
      <x:c r="C217" s="13" t="str">
        <x:v>/api/v1/basic-data/admin/configurations</x:v>
      </x:c>
      <x:c r="D217" s="13" t="str">
        <x:v>ADMIN MODE</x:v>
      </x:c>
      <x:c r="E217" s="13" t="str">
        <x:v>basic_data</x:v>
      </x:c>
      <x:c r="F217" s="13" t="str">
        <x:v>configurations</x:v>
      </x:c>
      <x:c r="G217" s="13" t="str">
        <x:v>basic_data.admin.configure</x:v>
      </x:c>
      <x:c r="H217" s="13" t="str">
        <x:v>LIVE_ROUTER_REGISTERED</x:v>
      </x:c>
      <x:c r="I217" s="13" t="str">
        <x:v>NO_DIRECT_LITERAL_MATCH_NOT_PROOF_UNUSED</x:v>
      </x:c>
      <x:c r="J217" s="13" t="str">
        <x:v>NOT_EXECUTED_BY_INVENTORY. SOURCE_LITERAL_OR_TRANSITIVE_HELPER_UNION</x:v>
      </x:c>
    </x:row>
    <x:row r="218" ht="42" customHeight="1">
      <x:c r="A218" s="14" t="str">
        <x:v>API-14</x:v>
      </x:c>
      <x:c r="B218" s="6" t="str">
        <x:v>PUT</x:v>
      </x:c>
      <x:c r="C218" s="6" t="str">
        <x:v>/api/v1/basic-data/admin/configurations/{configuration_id}</x:v>
      </x:c>
      <x:c r="D218" s="6" t="str">
        <x:v>ADMIN MODE</x:v>
      </x:c>
      <x:c r="E218" s="6" t="str">
        <x:v>basic_data</x:v>
      </x:c>
      <x:c r="F218" s="6" t="str">
        <x:v>update configuration</x:v>
      </x:c>
      <x:c r="G218" s="6" t="str">
        <x:v>basic_data.admin.configure</x:v>
      </x:c>
      <x:c r="H218" s="6" t="str">
        <x:v>LIVE_ROUTER_REGISTERED</x:v>
      </x:c>
      <x:c r="I218" s="6" t="str">
        <x:v>NO_DIRECT_LITERAL_MATCH_NOT_PROOF_UNUSED</x:v>
      </x:c>
      <x:c r="J218" s="6" t="str">
        <x:v>NOT_EXECUTED_BY_INVENTORY. SOURCE_LITERAL_OR_TRANSITIVE_HELPER_UNION</x:v>
      </x:c>
    </x:row>
    <x:row r="219" ht="42" customHeight="1">
      <x:c r="A219" s="15" t="str">
        <x:v>API-15</x:v>
      </x:c>
      <x:c r="B219" s="13" t="str">
        <x:v>POST</x:v>
      </x:c>
      <x:c r="C219" s="13" t="str">
        <x:v>/api/v1/basic-data/admin/configurations/{configuration_id}/archive</x:v>
      </x:c>
      <x:c r="D219" s="13" t="str">
        <x:v>ADMIN MODE</x:v>
      </x:c>
      <x:c r="E219" s="13" t="str">
        <x:v>basic_data</x:v>
      </x:c>
      <x:c r="F219" s="13" t="str">
        <x:v>archive</x:v>
      </x:c>
      <x:c r="G219" s="13" t="str">
        <x:v>basic_data.admin.publish</x:v>
      </x:c>
      <x:c r="H219" s="13" t="str">
        <x:v>LIVE_ROUTER_REGISTERED</x:v>
      </x:c>
      <x:c r="I219" s="13" t="str">
        <x:v>NO_DIRECT_LITERAL_MATCH_NOT_PROOF_UNUSED</x:v>
      </x:c>
      <x:c r="J219" s="13" t="str">
        <x:v>NOT_EXECUTED_BY_INVENTORY. SOURCE_LITERAL_OR_TRANSITIVE_HELPER_UNION</x:v>
      </x:c>
    </x:row>
    <x:row r="220" ht="42" customHeight="1">
      <x:c r="A220" s="14" t="str">
        <x:v>API-16</x:v>
      </x:c>
      <x:c r="B220" s="6" t="str">
        <x:v>POST</x:v>
      </x:c>
      <x:c r="C220" s="6" t="str">
        <x:v>/api/v1/basic-data/admin/configurations/{configuration_id}/clone</x:v>
      </x:c>
      <x:c r="D220" s="6" t="str">
        <x:v>ADMIN MODE</x:v>
      </x:c>
      <x:c r="E220" s="6" t="str">
        <x:v>basic_data</x:v>
      </x:c>
      <x:c r="F220" s="6" t="str">
        <x:v>clone</x:v>
      </x:c>
      <x:c r="G220" s="6" t="str">
        <x:v>basic_data.admin.configure</x:v>
      </x:c>
      <x:c r="H220" s="6" t="str">
        <x:v>LIVE_ROUTER_REGISTERED</x:v>
      </x:c>
      <x:c r="I220" s="6" t="str">
        <x:v>NO_DIRECT_LITERAL_MATCH_NOT_PROOF_UNUSED</x:v>
      </x:c>
      <x:c r="J220" s="6" t="str">
        <x:v>NOT_EXECUTED_BY_INVENTORY. SOURCE_LITERAL_OR_TRANSITIVE_HELPER_UNION</x:v>
      </x:c>
    </x:row>
    <x:row r="221" ht="42" customHeight="1">
      <x:c r="A221" s="15" t="str">
        <x:v>API-17</x:v>
      </x:c>
      <x:c r="B221" s="13" t="str">
        <x:v>POST</x:v>
      </x:c>
      <x:c r="C221" s="13" t="str">
        <x:v>/api/v1/basic-data/admin/configurations/{configuration_id}/publish</x:v>
      </x:c>
      <x:c r="D221" s="13" t="str">
        <x:v>ADMIN MODE</x:v>
      </x:c>
      <x:c r="E221" s="13" t="str">
        <x:v>basic_data</x:v>
      </x:c>
      <x:c r="F221" s="13" t="str">
        <x:v>publish</x:v>
      </x:c>
      <x:c r="G221" s="13" t="str">
        <x:v>basic_data.admin.publish</x:v>
      </x:c>
      <x:c r="H221" s="13" t="str">
        <x:v>LIVE_ROUTER_REGISTERED</x:v>
      </x:c>
      <x:c r="I221" s="13" t="str">
        <x:v>NO_DIRECT_LITERAL_MATCH_NOT_PROOF_UNUSED</x:v>
      </x:c>
      <x:c r="J221" s="13" t="str">
        <x:v>NOT_EXECUTED_BY_INVENTORY. SOURCE_LITERAL_OR_TRANSITIVE_HELPER_UNION</x:v>
      </x:c>
    </x:row>
    <x:row r="222" ht="42" customHeight="1">
      <x:c r="A222" s="14" t="str">
        <x:v>API-18</x:v>
      </x:c>
      <x:c r="B222" s="6" t="str">
        <x:v>POST</x:v>
      </x:c>
      <x:c r="C222" s="6" t="str">
        <x:v>/api/v1/basic-data/admin/preview</x:v>
      </x:c>
      <x:c r="D222" s="6" t="str">
        <x:v>ADMIN MODE</x:v>
      </x:c>
      <x:c r="E222" s="6" t="str">
        <x:v>basic_data</x:v>
      </x:c>
      <x:c r="F222" s="6" t="str">
        <x:v>config preview</x:v>
      </x:c>
      <x:c r="G222" s="6" t="str">
        <x:v>basic_data.admin.configure</x:v>
      </x:c>
      <x:c r="H222" s="6" t="str">
        <x:v>LIVE_ROUTER_REGISTERED</x:v>
      </x:c>
      <x:c r="I222" s="6" t="str">
        <x:v>NO_DIRECT_LITERAL_MATCH_NOT_PROOF_UNUSED</x:v>
      </x:c>
      <x:c r="J222" s="6" t="str">
        <x:v>NOT_EXECUTED_BY_INVENTORY. SOURCE_LITERAL_OR_TRANSITIVE_HELPER_UNION</x:v>
      </x:c>
    </x:row>
    <x:row r="223" ht="42" customHeight="1">
      <x:c r="A223" s="15" t="str">
        <x:v>API-19</x:v>
      </x:c>
      <x:c r="B223" s="13" t="str">
        <x:v>GET</x:v>
      </x:c>
      <x:c r="C223" s="13" t="str">
        <x:v>/api/v1/basic-data/assessments/{assessment_id}</x:v>
      </x:c>
      <x:c r="D223" s="13" t="str">
        <x:v>READ-ONLY SHARED CONTEXT</x:v>
      </x:c>
      <x:c r="E223" s="13" t="str">
        <x:v>basic_data</x:v>
      </x:c>
      <x:c r="F223" s="13" t="str">
        <x:v>assessment</x:v>
      </x:c>
      <x:c r="G223" s="13" t="str">
        <x:v>basic_data.read</x:v>
      </x:c>
      <x:c r="H223" s="13" t="str">
        <x:v>LIVE_ROUTER_REGISTERED</x:v>
      </x:c>
      <x:c r="I223" s="13" t="str">
        <x:v>frontend/src/features/basic-data/api.ts</x:v>
      </x:c>
      <x:c r="J223" s="13" t="str">
        <x:v>NOT_EXECUTED_BY_INVENTORY. SOURCE_LITERAL_OR_TRANSITIVE_HELPER_UNION</x:v>
      </x:c>
    </x:row>
    <x:row r="224" ht="42" customHeight="1">
      <x:c r="A224" s="14" t="str">
        <x:v>API-20</x:v>
      </x:c>
      <x:c r="B224" s="6" t="str">
        <x:v>POST</x:v>
      </x:c>
      <x:c r="C224" s="6" t="str">
        <x:v>/api/v1/basic-data/assessments/{assessment_id}/complete</x:v>
      </x:c>
      <x:c r="D224" s="6" t="str">
        <x:v>USER MODE</x:v>
      </x:c>
      <x:c r="E224" s="6" t="str">
        <x:v>basic_data</x:v>
      </x:c>
      <x:c r="F224" s="6" t="str">
        <x:v>complete</x:v>
      </x:c>
      <x:c r="G224" s="6" t="str">
        <x:v>basic_data.assessment.complete</x:v>
      </x:c>
      <x:c r="H224" s="6" t="str">
        <x:v>LIVE_ROUTER_REGISTERED</x:v>
      </x:c>
      <x:c r="I224" s="6" t="str">
        <x:v>NO_DIRECT_LITERAL_MATCH_NOT_PROOF_UNUSED</x:v>
      </x:c>
      <x:c r="J224" s="6" t="str">
        <x:v>NOT_EXECUTED_BY_INVENTORY. SOURCE_LITERAL_OR_TRANSITIVE_HELPER_UNION</x:v>
      </x:c>
    </x:row>
    <x:row r="225" ht="42" customHeight="1">
      <x:c r="A225" s="15" t="str">
        <x:v>API-21</x:v>
      </x:c>
      <x:c r="B225" s="13" t="str">
        <x:v>POST</x:v>
      </x:c>
      <x:c r="C225" s="13" t="str">
        <x:v>/api/v1/basic-data/assessments/{assessment_id}/preview</x:v>
      </x:c>
      <x:c r="D225" s="13" t="str">
        <x:v>USER MODE</x:v>
      </x:c>
      <x:c r="E225" s="13" t="str">
        <x:v>basic_data</x:v>
      </x:c>
      <x:c r="F225" s="13" t="str">
        <x:v>preview</x:v>
      </x:c>
      <x:c r="G225" s="13" t="str">
        <x:v>basic_data.read</x:v>
      </x:c>
      <x:c r="H225" s="13" t="str">
        <x:v>LIVE_ROUTER_REGISTERED</x:v>
      </x:c>
      <x:c r="I225" s="13" t="str">
        <x:v>NO_DIRECT_LITERAL_MATCH_NOT_PROOF_UNUSED</x:v>
      </x:c>
      <x:c r="J225" s="13" t="str">
        <x:v>NOT_EXECUTED_BY_INVENTORY. SOURCE_LITERAL_OR_TRANSITIVE_HELPER_UNION</x:v>
      </x:c>
    </x:row>
    <x:row r="226" ht="42" customHeight="1">
      <x:c r="A226" s="14" t="str">
        <x:v>API-22</x:v>
      </x:c>
      <x:c r="B226" s="6" t="str">
        <x:v>POST</x:v>
      </x:c>
      <x:c r="C226" s="6" t="str">
        <x:v>/api/v1/basic-data/assessments/{assessment_id}/refresh-apply</x:v>
      </x:c>
      <x:c r="D226" s="6" t="str">
        <x:v>USER MODE</x:v>
      </x:c>
      <x:c r="E226" s="6" t="str">
        <x:v>basic_data</x:v>
      </x:c>
      <x:c r="F226" s="6" t="str">
        <x:v>refresh apply</x:v>
      </x:c>
      <x:c r="G226" s="6" t="str">
        <x:v>basic_data.assessment.create</x:v>
      </x:c>
      <x:c r="H226" s="6" t="str">
        <x:v>LIVE_ROUTER_REGISTERED</x:v>
      </x:c>
      <x:c r="I226" s="6" t="str">
        <x:v>NO_DIRECT_LITERAL_MATCH_NOT_PROOF_UNUSED</x:v>
      </x:c>
      <x:c r="J226" s="6" t="str">
        <x:v>NOT_EXECUTED_BY_INVENTORY. SOURCE_LITERAL_OR_TRANSITIVE_HELPER_UNION</x:v>
      </x:c>
    </x:row>
    <x:row r="227" ht="42" customHeight="1">
      <x:c r="A227" s="15" t="str">
        <x:v>API-23</x:v>
      </x:c>
      <x:c r="B227" s="13" t="str">
        <x:v>GET</x:v>
      </x:c>
      <x:c r="C227" s="13" t="str">
        <x:v>/api/v1/basic-data/assessments/{assessment_id}/refresh-preview</x:v>
      </x:c>
      <x:c r="D227" s="13" t="str">
        <x:v>READ-ONLY SHARED CONTEXT</x:v>
      </x:c>
      <x:c r="E227" s="13" t="str">
        <x:v>basic_data</x:v>
      </x:c>
      <x:c r="F227" s="13" t="str">
        <x:v>refresh preview</x:v>
      </x:c>
      <x:c r="G227" s="13" t="str">
        <x:v>basic_data.read</x:v>
      </x:c>
      <x:c r="H227" s="13" t="str">
        <x:v>LIVE_ROUTER_REGISTERED</x:v>
      </x:c>
      <x:c r="I227" s="13" t="str">
        <x:v>frontend/src/features/basic-data/api.ts</x:v>
      </x:c>
      <x:c r="J227" s="13" t="str">
        <x:v>NOT_EXECUTED_BY_INVENTORY. SOURCE_LITERAL_OR_TRANSITIVE_HELPER_UNION</x:v>
      </x:c>
    </x:row>
    <x:row r="228" ht="42" customHeight="1">
      <x:c r="A228" s="14" t="str">
        <x:v>API-24</x:v>
      </x:c>
      <x:c r="B228" s="6" t="str">
        <x:v>POST</x:v>
      </x:c>
      <x:c r="C228" s="6" t="str">
        <x:v>/api/v1/basic-data/assessments/{assessment_id}/submit</x:v>
      </x:c>
      <x:c r="D228" s="6" t="str">
        <x:v>USER MODE</x:v>
      </x:c>
      <x:c r="E228" s="6" t="str">
        <x:v>basic_data</x:v>
      </x:c>
      <x:c r="F228" s="6" t="str">
        <x:v>submit</x:v>
      </x:c>
      <x:c r="G228" s="6" t="str">
        <x:v>basic_data.assessment.submit</x:v>
      </x:c>
      <x:c r="H228" s="6" t="str">
        <x:v>LIVE_ROUTER_REGISTERED</x:v>
      </x:c>
      <x:c r="I228" s="6" t="str">
        <x:v>NO_DIRECT_LITERAL_MATCH_NOT_PROOF_UNUSED</x:v>
      </x:c>
      <x:c r="J228" s="6" t="str">
        <x:v>NOT_EXECUTED_BY_INVENTORY. SOURCE_LITERAL_OR_TRANSITIVE_HELPER_UNION</x:v>
      </x:c>
    </x:row>
    <x:row r="229" ht="42" customHeight="1">
      <x:c r="A229" s="15" t="str">
        <x:v>API-25</x:v>
      </x:c>
      <x:c r="B229" s="13" t="str">
        <x:v>GET</x:v>
      </x:c>
      <x:c r="C229" s="13" t="str">
        <x:v>/api/v1/basic-data/items/{item_id}</x:v>
      </x:c>
      <x:c r="D229" s="13" t="str">
        <x:v>READ-ONLY SHARED CONTEXT</x:v>
      </x:c>
      <x:c r="E229" s="13" t="str">
        <x:v>basic_data</x:v>
      </x:c>
      <x:c r="F229" s="13" t="str">
        <x:v>item</x:v>
      </x:c>
      <x:c r="G229" s="13" t="str">
        <x:v>basic_data.read</x:v>
      </x:c>
      <x:c r="H229" s="13" t="str">
        <x:v>LIVE_ROUTER_REGISTERED</x:v>
      </x:c>
      <x:c r="I229" s="13" t="str">
        <x:v>frontend/src/features/basic-data/api.ts</x:v>
      </x:c>
      <x:c r="J229" s="13" t="str">
        <x:v>NOT_EXECUTED_BY_INVENTORY. SOURCE_LITERAL_OR_TRANSITIVE_HELPER_UNION</x:v>
      </x:c>
    </x:row>
    <x:row r="230" ht="42" customHeight="1">
      <x:c r="A230" s="14" t="str">
        <x:v>API-26</x:v>
      </x:c>
      <x:c r="B230" s="6" t="str">
        <x:v>PUT</x:v>
      </x:c>
      <x:c r="C230" s="6" t="str">
        <x:v>/api/v1/basic-data/items/{item_id}</x:v>
      </x:c>
      <x:c r="D230" s="6" t="str">
        <x:v>USER MODE</x:v>
      </x:c>
      <x:c r="E230" s="6" t="str">
        <x:v>basic_data</x:v>
      </x:c>
      <x:c r="F230" s="6" t="str">
        <x:v>update item</x:v>
      </x:c>
      <x:c r="G230" s="6" t="str">
        <x:v>basic_data.item.edit</x:v>
      </x:c>
      <x:c r="H230" s="6" t="str">
        <x:v>LIVE_ROUTER_REGISTERED</x:v>
      </x:c>
      <x:c r="I230" s="6" t="str">
        <x:v>frontend/src/features/basic-data/api.ts</x:v>
      </x:c>
      <x:c r="J230" s="6" t="str">
        <x:v>NOT_EXECUTED_BY_INVENTORY. SOURCE_LITERAL_OR_TRANSITIVE_HELPER_UNION</x:v>
      </x:c>
    </x:row>
    <x:row r="231" ht="42" customHeight="1">
      <x:c r="A231" s="15" t="str">
        <x:v>API-27</x:v>
      </x:c>
      <x:c r="B231" s="13" t="str">
        <x:v>POST</x:v>
      </x:c>
      <x:c r="C231" s="13" t="str">
        <x:v>/api/v1/basic-data/items/{item_id}/validate</x:v>
      </x:c>
      <x:c r="D231" s="13" t="str">
        <x:v>USER MODE</x:v>
      </x:c>
      <x:c r="E231" s="13" t="str">
        <x:v>basic_data</x:v>
      </x:c>
      <x:c r="F231" s="13" t="str">
        <x:v>validate item</x:v>
      </x:c>
      <x:c r="G231" s="13" t="str">
        <x:v>basic_data.item.validate</x:v>
      </x:c>
      <x:c r="H231" s="13" t="str">
        <x:v>LIVE_ROUTER_REGISTERED</x:v>
      </x:c>
      <x:c r="I231" s="13" t="str">
        <x:v>frontend/src/features/basic-data/api.ts</x:v>
      </x:c>
      <x:c r="J231" s="13" t="str">
        <x:v>NOT_EXECUTED_BY_INVENTORY. SOURCE_LITERAL_OR_TRANSITIVE_HELPER_UNION</x:v>
      </x:c>
    </x:row>
    <x:row r="232" ht="42" customHeight="1">
      <x:c r="A232" s="14" t="str">
        <x:v>API-28</x:v>
      </x:c>
      <x:c r="B232" s="6" t="str">
        <x:v>GET</x:v>
      </x:c>
      <x:c r="C232" s="6" t="str">
        <x:v>/api/v1/basic-data/options</x:v>
      </x:c>
      <x:c r="D232" s="6" t="str">
        <x:v>READ-ONLY SHARED CONTEXT</x:v>
      </x:c>
      <x:c r="E232" s="6" t="str">
        <x:v>basic_data</x:v>
      </x:c>
      <x:c r="F232" s="6" t="str">
        <x:v>options</x:v>
      </x:c>
      <x:c r="G232" s="6" t="str">
        <x:v>basic_data.read</x:v>
      </x:c>
      <x:c r="H232" s="6" t="str">
        <x:v>LIVE_ROUTER_REGISTERED</x:v>
      </x:c>
      <x:c r="I232" s="6" t="str">
        <x:v>frontend/src/features/basic-data/api.ts</x:v>
      </x:c>
      <x:c r="J232" s="6" t="str">
        <x:v>NOT_EXECUTED_BY_INVENTORY. SOURCE_LITERAL_OR_TRANSITIVE_HELPER_UNION</x:v>
      </x:c>
    </x:row>
    <x:row r="233" ht="42" customHeight="1">
      <x:c r="A233" s="15" t="str">
        <x:v>API-29</x:v>
      </x:c>
      <x:c r="B233" s="13" t="str">
        <x:v>GET</x:v>
      </x:c>
      <x:c r="C233" s="13" t="str">
        <x:v>/api/v1/basic-data/projects/{project_id}/assessments</x:v>
      </x:c>
      <x:c r="D233" s="13" t="str">
        <x:v>READ-ONLY SHARED CONTEXT</x:v>
      </x:c>
      <x:c r="E233" s="13" t="str">
        <x:v>basic_data</x:v>
      </x:c>
      <x:c r="F233" s="13" t="str">
        <x:v>assessments</x:v>
      </x:c>
      <x:c r="G233" s="13" t="str">
        <x:v>basic_data.read</x:v>
      </x:c>
      <x:c r="H233" s="13" t="str">
        <x:v>LIVE_ROUTER_REGISTERED</x:v>
      </x:c>
      <x:c r="I233" s="13" t="str">
        <x:v>frontend/src/features/basic-data/api.ts</x:v>
      </x:c>
      <x:c r="J233" s="13" t="str">
        <x:v>NOT_EXECUTED_BY_INVENTORY. SOURCE_LITERAL_OR_TRANSITIVE_HELPER_UNION</x:v>
      </x:c>
    </x:row>
    <x:row r="234" ht="42" customHeight="1">
      <x:c r="A234" s="14" t="str">
        <x:v>API-30</x:v>
      </x:c>
      <x:c r="B234" s="6" t="str">
        <x:v>POST</x:v>
      </x:c>
      <x:c r="C234" s="6" t="str">
        <x:v>/api/v1/basic-data/projects/{project_id}/assessments</x:v>
      </x:c>
      <x:c r="D234" s="6" t="str">
        <x:v>USER MODE</x:v>
      </x:c>
      <x:c r="E234" s="6" t="str">
        <x:v>basic_data</x:v>
      </x:c>
      <x:c r="F234" s="6" t="str">
        <x:v>create assessment</x:v>
      </x:c>
      <x:c r="G234" s="6" t="str">
        <x:v>basic_data.assessment.create</x:v>
      </x:c>
      <x:c r="H234" s="6" t="str">
        <x:v>LIVE_ROUTER_REGISTERED</x:v>
      </x:c>
      <x:c r="I234" s="6" t="str">
        <x:v>frontend/src/features/basic-data/api.ts</x:v>
      </x:c>
      <x:c r="J234" s="6" t="str">
        <x:v>NOT_EXECUTED_BY_INVENTORY. SOURCE_LITERAL_OR_TRANSITIVE_HELPER_UNION</x:v>
      </x:c>
    </x:row>
    <x:row r="235" ht="42" customHeight="1">
      <x:c r="A235" s="15" t="str">
        <x:v>API-31</x:v>
      </x:c>
      <x:c r="B235" s="13" t="str">
        <x:v>GET</x:v>
      </x:c>
      <x:c r="C235" s="13" t="str">
        <x:v>/api/v1/basic-data/projects/{project_id}/current-readiness</x:v>
      </x:c>
      <x:c r="D235" s="13" t="str">
        <x:v>READ-ONLY SHARED CONTEXT</x:v>
      </x:c>
      <x:c r="E235" s="13" t="str">
        <x:v>basic_data</x:v>
      </x:c>
      <x:c r="F235" s="13" t="str">
        <x:v>current readiness</x:v>
      </x:c>
      <x:c r="G235" s="13" t="str">
        <x:v>basic_data.read</x:v>
      </x:c>
      <x:c r="H235" s="13" t="str">
        <x:v>LIVE_ROUTER_REGISTERED</x:v>
      </x:c>
      <x:c r="I235" s="13" t="str">
        <x:v>frontend/src/features/basic-data/api.ts</x:v>
      </x:c>
      <x:c r="J235" s="13" t="str">
        <x:v>NOT_EXECUTED_BY_INVENTORY. SOURCE_LITERAL_OR_TRANSITIVE_HELPER_UNION</x:v>
      </x:c>
    </x:row>
    <x:row r="236" ht="42" customHeight="1">
      <x:c r="A236" s="14" t="str">
        <x:v>API-32</x:v>
      </x:c>
      <x:c r="B236" s="6" t="str">
        <x:v>GET</x:v>
      </x:c>
      <x:c r="C236" s="6" t="str">
        <x:v>/api/v1/basic-data/projects/{project_id}/fel-context</x:v>
      </x:c>
      <x:c r="D236" s="6" t="str">
        <x:v>READ-ONLY SHARED CONTEXT</x:v>
      </x:c>
      <x:c r="E236" s="6" t="str">
        <x:v>basic_data</x:v>
      </x:c>
      <x:c r="F236" s="6" t="str">
        <x:v>fel context</x:v>
      </x:c>
      <x:c r="G236" s="6" t="str">
        <x:v>basic_data.read</x:v>
      </x:c>
      <x:c r="H236" s="6" t="str">
        <x:v>LIVE_ROUTER_REGISTERED</x:v>
      </x:c>
      <x:c r="I236" s="6" t="str">
        <x:v>NO_DIRECT_LITERAL_MATCH_NOT_PROOF_UNUSED</x:v>
      </x:c>
      <x:c r="J236" s="6" t="str">
        <x:v>NOT_EXECUTED_BY_INVENTORY. SOURCE_LITERAL_OR_TRANSITIVE_HELPER_UNION</x:v>
      </x:c>
    </x:row>
    <x:row r="237" ht="42" customHeight="1">
      <x:c r="A237" s="15" t="str">
        <x:v>API-33</x:v>
      </x:c>
      <x:c r="B237" s="13" t="str">
        <x:v>GET</x:v>
      </x:c>
      <x:c r="C237" s="13" t="str">
        <x:v>/api/v1/basic-data/projects/{project_id}/items</x:v>
      </x:c>
      <x:c r="D237" s="13" t="str">
        <x:v>READ-ONLY SHARED CONTEXT</x:v>
      </x:c>
      <x:c r="E237" s="13" t="str">
        <x:v>basic_data</x:v>
      </x:c>
      <x:c r="F237" s="13" t="str">
        <x:v>items</x:v>
      </x:c>
      <x:c r="G237" s="13" t="str">
        <x:v>basic_data.read</x:v>
      </x:c>
      <x:c r="H237" s="13" t="str">
        <x:v>LIVE_ROUTER_REGISTERED</x:v>
      </x:c>
      <x:c r="I237" s="13" t="str">
        <x:v>frontend/src/features/basic-data/api.ts</x:v>
      </x:c>
      <x:c r="J237" s="13" t="str">
        <x:v>NOT_EXECUTED_BY_INVENTORY. SOURCE_LITERAL_OR_TRANSITIVE_HELPER_UNION</x:v>
      </x:c>
    </x:row>
    <x:row r="238" ht="42" customHeight="1">
      <x:c r="A238" s="14" t="str">
        <x:v>API-34</x:v>
      </x:c>
      <x:c r="B238" s="6" t="str">
        <x:v>POST</x:v>
      </x:c>
      <x:c r="C238" s="6" t="str">
        <x:v>/api/v1/basic-data/projects/{project_id}/items</x:v>
      </x:c>
      <x:c r="D238" s="6" t="str">
        <x:v>USER MODE</x:v>
      </x:c>
      <x:c r="E238" s="6" t="str">
        <x:v>basic_data</x:v>
      </x:c>
      <x:c r="F238" s="6" t="str">
        <x:v>create item</x:v>
      </x:c>
      <x:c r="G238" s="6" t="str">
        <x:v>basic_data.item.create</x:v>
      </x:c>
      <x:c r="H238" s="6" t="str">
        <x:v>LIVE_ROUTER_REGISTERED</x:v>
      </x:c>
      <x:c r="I238" s="6" t="str">
        <x:v>frontend/src/features/basic-data/api.ts</x:v>
      </x:c>
      <x:c r="J238" s="6" t="str">
        <x:v>NOT_EXECUTED_BY_INVENTORY. SOURCE_LITERAL_OR_TRANSITIVE_HELPER_UNION</x:v>
      </x:c>
    </x:row>
    <x:row r="239" ht="42" customHeight="1">
      <x:c r="A239" s="15" t="str">
        <x:v>API-35</x:v>
      </x:c>
      <x:c r="B239" s="13" t="str">
        <x:v>GET</x:v>
      </x:c>
      <x:c r="C239" s="13" t="str">
        <x:v>/api/v1/basic-data/projects/{project_id}/provider-evidence</x:v>
      </x:c>
      <x:c r="D239" s="13" t="str">
        <x:v>READ-ONLY SHARED CONTEXT</x:v>
      </x:c>
      <x:c r="E239" s="13" t="str">
        <x:v>basic_data</x:v>
      </x:c>
      <x:c r="F239" s="13" t="str">
        <x:v>provider evidence</x:v>
      </x:c>
      <x:c r="G239" s="13" t="str">
        <x:v>basic_data.read</x:v>
      </x:c>
      <x:c r="H239" s="13" t="str">
        <x:v>LIVE_ROUTER_REGISTERED</x:v>
      </x:c>
      <x:c r="I239" s="13" t="str">
        <x:v>NO_DIRECT_LITERAL_MATCH_NOT_PROOF_UNUSED</x:v>
      </x:c>
      <x:c r="J239" s="13" t="str">
        <x:v>NOT_EXECUTED_BY_INVENTORY. SOURCE_LITERAL_OR_TRANSITIVE_HELPER_UNION</x:v>
      </x:c>
    </x:row>
    <x:row r="240" ht="42" customHeight="1">
      <x:c r="A240" s="14" t="str">
        <x:v>API-36</x:v>
      </x:c>
      <x:c r="B240" s="6" t="str">
        <x:v>GET</x:v>
      </x:c>
      <x:c r="C240" s="6" t="str">
        <x:v>/api/v1/basic-data/projects/{project_id}/requirements</x:v>
      </x:c>
      <x:c r="D240" s="6" t="str">
        <x:v>READ-ONLY SHARED CONTEXT</x:v>
      </x:c>
      <x:c r="E240" s="6" t="str">
        <x:v>basic_data</x:v>
      </x:c>
      <x:c r="F240" s="6" t="str">
        <x:v>requirements</x:v>
      </x:c>
      <x:c r="G240" s="6" t="str">
        <x:v>basic_data.read</x:v>
      </x:c>
      <x:c r="H240" s="6" t="str">
        <x:v>LIVE_ROUTER_REGISTERED</x:v>
      </x:c>
      <x:c r="I240" s="6" t="str">
        <x:v>frontend/src/features/basic-data/api.ts</x:v>
      </x:c>
      <x:c r="J240" s="6" t="str">
        <x:v>NOT_EXECUTED_BY_INVENTORY. SOURCE_LITERAL_OR_TRANSITIVE_HELPER_UNION</x:v>
      </x:c>
    </x:row>
    <x:row r="241" ht="53" customHeight="1">
      <x:c r="A241" s="15" t="str">
        <x:v>API-37</x:v>
      </x:c>
      <x:c r="B241" s="13" t="str">
        <x:v>GET</x:v>
      </x:c>
      <x:c r="C241" s="13" t="str">
        <x:v>/api/v1/business-analyses</x:v>
      </x:c>
      <x:c r="D241" s="13" t="str">
        <x:v>READ-ONLY SHARED CONTEXT</x:v>
      </x:c>
      <x:c r="E241" s="13" t="str">
        <x:v>business_analysis</x:v>
      </x:c>
      <x:c r="F241" s="13" t="str">
        <x:v>list analyses</x:v>
      </x:c>
      <x:c r="G241" s="13" t="str">
        <x:v>business_analysis.read</x:v>
      </x:c>
      <x:c r="H241" s="13" t="str">
        <x:v>LIVE_ROUTER_REGISTERED</x:v>
      </x:c>
      <x:c r="I241" s="13" t="str">
        <x:v>frontend/src/features/business-analysis/BusinessAnalysisAdminView.tsx; frontend/src/features/business-analysis/api.ts</x:v>
      </x:c>
      <x:c r="J241" s="13" t="str">
        <x:v>NOT_EXECUTED_BY_INVENTORY. SOURCE_LITERAL_OR_TRANSITIVE_HELPER_UNION</x:v>
      </x:c>
    </x:row>
    <x:row r="242" ht="53" customHeight="1">
      <x:c r="A242" s="14" t="str">
        <x:v>API-38</x:v>
      </x:c>
      <x:c r="B242" s="6" t="str">
        <x:v>POST</x:v>
      </x:c>
      <x:c r="C242" s="6" t="str">
        <x:v>/api/v1/business-analyses</x:v>
      </x:c>
      <x:c r="D242" s="6" t="str">
        <x:v>USER MODE</x:v>
      </x:c>
      <x:c r="E242" s="6" t="str">
        <x:v>business_analysis</x:v>
      </x:c>
      <x:c r="F242" s="6" t="str">
        <x:v>create</x:v>
      </x:c>
      <x:c r="G242" s="6" t="str">
        <x:v>business_analysis.create</x:v>
      </x:c>
      <x:c r="H242" s="6" t="str">
        <x:v>LIVE_ROUTER_REGISTERED</x:v>
      </x:c>
      <x:c r="I242" s="6" t="str">
        <x:v>frontend/src/features/business-analysis/BusinessAnalysisAdminView.tsx; frontend/src/features/business-analysis/api.ts</x:v>
      </x:c>
      <x:c r="J242" s="6" t="str">
        <x:v>NOT_EXECUTED_BY_INVENTORY. SOURCE_LITERAL_OR_TRANSITIVE_HELPER_UNION</x:v>
      </x:c>
    </x:row>
    <x:row r="243" ht="53" customHeight="1">
      <x:c r="A243" s="15" t="str">
        <x:v>API-39</x:v>
      </x:c>
      <x:c r="B243" s="13" t="str">
        <x:v>POST</x:v>
      </x:c>
      <x:c r="C243" s="13" t="str">
        <x:v>/api/v1/business-analyses/admin/configuration/preview</x:v>
      </x:c>
      <x:c r="D243" s="13" t="str">
        <x:v>ADMIN MODE</x:v>
      </x:c>
      <x:c r="E243" s="13" t="str">
        <x:v>business_analysis</x:v>
      </x:c>
      <x:c r="F243" s="13" t="str">
        <x:v>configuration preview</x:v>
      </x:c>
      <x:c r="G243" s="13" t="str">
        <x:v>business_analysis.admin.configure</x:v>
      </x:c>
      <x:c r="H243" s="13" t="str">
        <x:v>LIVE_ROUTER_REGISTERED</x:v>
      </x:c>
      <x:c r="I243" s="13" t="str">
        <x:v>frontend/src/features/business-analysis/BusinessAnalysisAdminView.tsx; frontend/src/features/business-analysis/api.ts</x:v>
      </x:c>
      <x:c r="J243" s="13" t="str">
        <x:v>NOT_EXECUTED_BY_INVENTORY. SOURCE_LITERAL_OR_TRANSITIVE_HELPER_UNION</x:v>
      </x:c>
    </x:row>
    <x:row r="244" ht="53" customHeight="1">
      <x:c r="A244" s="14" t="str">
        <x:v>API-40</x:v>
      </x:c>
      <x:c r="B244" s="6" t="str">
        <x:v>GET</x:v>
      </x:c>
      <x:c r="C244" s="6" t="str">
        <x:v>/api/v1/business-analyses/admin/configurations</x:v>
      </x:c>
      <x:c r="D244" s="6" t="str">
        <x:v>ADMIN MODE</x:v>
      </x:c>
      <x:c r="E244" s="6" t="str">
        <x:v>business_analysis</x:v>
      </x:c>
      <x:c r="F244" s="6" t="str">
        <x:v>configurations</x:v>
      </x:c>
      <x:c r="G244" s="6" t="str">
        <x:v>business_analysis.admin.configure</x:v>
      </x:c>
      <x:c r="H244" s="6" t="str">
        <x:v>LIVE_ROUTER_REGISTERED</x:v>
      </x:c>
      <x:c r="I244" s="6" t="str">
        <x:v>frontend/src/features/business-analysis/BusinessAnalysisAdminView.tsx; frontend/src/features/business-analysis/api.ts</x:v>
      </x:c>
      <x:c r="J244" s="6" t="str">
        <x:v>NOT_EXECUTED_BY_INVENTORY. SOURCE_LITERAL_OR_TRANSITIVE_HELPER_UNION</x:v>
      </x:c>
    </x:row>
    <x:row r="245" ht="53" customHeight="1">
      <x:c r="A245" s="15" t="str">
        <x:v>API-41</x:v>
      </x:c>
      <x:c r="B245" s="13" t="str">
        <x:v>PUT</x:v>
      </x:c>
      <x:c r="C245" s="13" t="str">
        <x:v>/api/v1/business-analyses/admin/configurations/{configuration_id}</x:v>
      </x:c>
      <x:c r="D245" s="13" t="str">
        <x:v>ADMIN MODE</x:v>
      </x:c>
      <x:c r="E245" s="13" t="str">
        <x:v>business_analysis</x:v>
      </x:c>
      <x:c r="F245" s="13" t="str">
        <x:v>update configuration</x:v>
      </x:c>
      <x:c r="G245" s="13" t="str">
        <x:v>business_analysis.admin.configure</x:v>
      </x:c>
      <x:c r="H245" s="13" t="str">
        <x:v>LIVE_ROUTER_REGISTERED</x:v>
      </x:c>
      <x:c r="I245" s="13" t="str">
        <x:v>frontend/src/features/business-analysis/BusinessAnalysisAdminView.tsx; frontend/src/features/business-analysis/api.ts</x:v>
      </x:c>
      <x:c r="J245" s="13" t="str">
        <x:v>NOT_EXECUTED_BY_INVENTORY. SOURCE_LITERAL_OR_TRANSITIVE_HELPER_UNION</x:v>
      </x:c>
    </x:row>
    <x:row r="246" ht="42" customHeight="1">
      <x:c r="A246" s="14" t="str">
        <x:v>API-42</x:v>
      </x:c>
      <x:c r="B246" s="6" t="str">
        <x:v>POST</x:v>
      </x:c>
      <x:c r="C246" s="6" t="str">
        <x:v>/api/v1/business-analyses/admin/configurations/{configuration_id}/archive</x:v>
      </x:c>
      <x:c r="D246" s="6" t="str">
        <x:v>ADMIN MODE</x:v>
      </x:c>
      <x:c r="E246" s="6" t="str">
        <x:v>business_analysis</x:v>
      </x:c>
      <x:c r="F246" s="6" t="str">
        <x:v>archive configuration</x:v>
      </x:c>
      <x:c r="G246" s="6" t="str">
        <x:v>business_analysis.admin.publish</x:v>
      </x:c>
      <x:c r="H246" s="6" t="str">
        <x:v>LIVE_ROUTER_REGISTERED</x:v>
      </x:c>
      <x:c r="I246" s="6" t="str">
        <x:v>NO_DIRECT_LITERAL_MATCH_NOT_PROOF_UNUSED</x:v>
      </x:c>
      <x:c r="J246" s="6" t="str">
        <x:v>NOT_EXECUTED_BY_INVENTORY. SOURCE_LITERAL_OR_TRANSITIVE_HELPER_UNION</x:v>
      </x:c>
    </x:row>
    <x:row r="247" ht="53" customHeight="1">
      <x:c r="A247" s="15" t="str">
        <x:v>API-43</x:v>
      </x:c>
      <x:c r="B247" s="13" t="str">
        <x:v>POST</x:v>
      </x:c>
      <x:c r="C247" s="13" t="str">
        <x:v>/api/v1/business-analyses/admin/configurations/{configuration_id}/clone</x:v>
      </x:c>
      <x:c r="D247" s="13" t="str">
        <x:v>ADMIN MODE</x:v>
      </x:c>
      <x:c r="E247" s="13" t="str">
        <x:v>business_analysis</x:v>
      </x:c>
      <x:c r="F247" s="13" t="str">
        <x:v>clone configuration</x:v>
      </x:c>
      <x:c r="G247" s="13" t="str">
        <x:v>business_analysis.admin.configure</x:v>
      </x:c>
      <x:c r="H247" s="13" t="str">
        <x:v>LIVE_ROUTER_REGISTERED</x:v>
      </x:c>
      <x:c r="I247" s="13" t="str">
        <x:v>frontend/src/features/business-analysis/BusinessAnalysisAdminView.tsx; frontend/src/features/business-analysis/api.ts</x:v>
      </x:c>
      <x:c r="J247" s="13" t="str">
        <x:v>NOT_EXECUTED_BY_INVENTORY. SOURCE_LITERAL_OR_TRANSITIVE_HELPER_UNION</x:v>
      </x:c>
    </x:row>
    <x:row r="248" ht="42" customHeight="1">
      <x:c r="A248" s="14" t="str">
        <x:v>API-44</x:v>
      </x:c>
      <x:c r="B248" s="6" t="str">
        <x:v>POST</x:v>
      </x:c>
      <x:c r="C248" s="6" t="str">
        <x:v>/api/v1/business-analyses/admin/configurations/{configuration_id}/publish</x:v>
      </x:c>
      <x:c r="D248" s="6" t="str">
        <x:v>ADMIN MODE</x:v>
      </x:c>
      <x:c r="E248" s="6" t="str">
        <x:v>business_analysis</x:v>
      </x:c>
      <x:c r="F248" s="6" t="str">
        <x:v>publish configuration</x:v>
      </x:c>
      <x:c r="G248" s="6" t="str">
        <x:v>business_analysis.admin.publish</x:v>
      </x:c>
      <x:c r="H248" s="6" t="str">
        <x:v>LIVE_ROUTER_REGISTERED</x:v>
      </x:c>
      <x:c r="I248" s="6" t="str">
        <x:v>frontend/src/features/business-analysis/api.ts</x:v>
      </x:c>
      <x:c r="J248" s="6" t="str">
        <x:v>NOT_EXECUTED_BY_INVENTORY. SOURCE_LITERAL_OR_TRANSITIVE_HELPER_UNION</x:v>
      </x:c>
    </x:row>
    <x:row r="249" ht="42" customHeight="1">
      <x:c r="A249" s="15" t="str">
        <x:v>API-45</x:v>
      </x:c>
      <x:c r="B249" s="13" t="str">
        <x:v>GET</x:v>
      </x:c>
      <x:c r="C249" s="13" t="str">
        <x:v>/api/v1/business-analyses/options</x:v>
      </x:c>
      <x:c r="D249" s="13" t="str">
        <x:v>READ-ONLY SHARED CONTEXT</x:v>
      </x:c>
      <x:c r="E249" s="13" t="str">
        <x:v>business_analysis</x:v>
      </x:c>
      <x:c r="F249" s="13" t="str">
        <x:v>options</x:v>
      </x:c>
      <x:c r="G249" s="13" t="str">
        <x:v>business_analysis.create</x:v>
      </x:c>
      <x:c r="H249" s="13" t="str">
        <x:v>LIVE_ROUTER_REGISTERED</x:v>
      </x:c>
      <x:c r="I249" s="13" t="str">
        <x:v>frontend/src/features/business-analysis/api.ts</x:v>
      </x:c>
      <x:c r="J249" s="13" t="str">
        <x:v>NOT_EXECUTED_BY_INVENTORY. SOURCE_LITERAL_OR_TRANSITIVE_HELPER_UNION</x:v>
      </x:c>
    </x:row>
    <x:row r="250" ht="42" customHeight="1">
      <x:c r="A250" s="14" t="str">
        <x:v>API-46</x:v>
      </x:c>
      <x:c r="B250" s="6" t="str">
        <x:v>GET</x:v>
      </x:c>
      <x:c r="C250" s="6" t="str">
        <x:v>/api/v1/business-analyses/{analysis_id}</x:v>
      </x:c>
      <x:c r="D250" s="6" t="str">
        <x:v>READ-ONLY SHARED CONTEXT</x:v>
      </x:c>
      <x:c r="E250" s="6" t="str">
        <x:v>business_analysis</x:v>
      </x:c>
      <x:c r="F250" s="6" t="str">
        <x:v>get analysis</x:v>
      </x:c>
      <x:c r="G250" s="6" t="str">
        <x:v>business_analysis.read</x:v>
      </x:c>
      <x:c r="H250" s="6" t="str">
        <x:v>LIVE_ROUTER_REGISTERED</x:v>
      </x:c>
      <x:c r="I250" s="6" t="str">
        <x:v>frontend/src/features/business-analysis/api.ts</x:v>
      </x:c>
      <x:c r="J250" s="6" t="str">
        <x:v>NOT_EXECUTED_BY_INVENTORY. SOURCE_LITERAL_OR_TRANSITIVE_HELPER_UNION</x:v>
      </x:c>
    </x:row>
    <x:row r="251" ht="42" customHeight="1">
      <x:c r="A251" s="15" t="str">
        <x:v>API-47</x:v>
      </x:c>
      <x:c r="B251" s="13" t="str">
        <x:v>PUT</x:v>
      </x:c>
      <x:c r="C251" s="13" t="str">
        <x:v>/api/v1/business-analyses/{analysis_id}</x:v>
      </x:c>
      <x:c r="D251" s="13" t="str">
        <x:v>USER MODE</x:v>
      </x:c>
      <x:c r="E251" s="13" t="str">
        <x:v>business_analysis</x:v>
      </x:c>
      <x:c r="F251" s="13" t="str">
        <x:v>update analysis</x:v>
      </x:c>
      <x:c r="G251" s="13" t="str">
        <x:v>business_analysis.edit</x:v>
      </x:c>
      <x:c r="H251" s="13" t="str">
        <x:v>LIVE_ROUTER_REGISTERED</x:v>
      </x:c>
      <x:c r="I251" s="13" t="str">
        <x:v>frontend/src/features/business-analysis/api.ts</x:v>
      </x:c>
      <x:c r="J251" s="13" t="str">
        <x:v>NOT_EXECUTED_BY_INVENTORY. SOURCE_LITERAL_OR_TRANSITIVE_HELPER_UNION</x:v>
      </x:c>
    </x:row>
    <x:row r="252" ht="42" customHeight="1">
      <x:c r="A252" s="14" t="str">
        <x:v>API-48</x:v>
      </x:c>
      <x:c r="B252" s="6" t="str">
        <x:v>GET</x:v>
      </x:c>
      <x:c r="C252" s="6" t="str">
        <x:v>/api/v1/business-analyses/{analysis_id}/history</x:v>
      </x:c>
      <x:c r="D252" s="6" t="str">
        <x:v>READ-ONLY SHARED CONTEXT</x:v>
      </x:c>
      <x:c r="E252" s="6" t="str">
        <x:v>business_analysis</x:v>
      </x:c>
      <x:c r="F252" s="6" t="str">
        <x:v>history</x:v>
      </x:c>
      <x:c r="G252" s="6" t="str">
        <x:v>business_analysis.read</x:v>
      </x:c>
      <x:c r="H252" s="6" t="str">
        <x:v>LIVE_ROUTER_REGISTERED</x:v>
      </x:c>
      <x:c r="I252" s="6" t="str">
        <x:v>frontend/src/features/business-analysis/api.ts</x:v>
      </x:c>
      <x:c r="J252" s="6" t="str">
        <x:v>NOT_EXECUTED_BY_INVENTORY. SOURCE_LITERAL_OR_TRANSITIVE_HELPER_UNION</x:v>
      </x:c>
    </x:row>
    <x:row r="253" ht="42" customHeight="1">
      <x:c r="A253" s="15" t="str">
        <x:v>API-49</x:v>
      </x:c>
      <x:c r="B253" s="13" t="str">
        <x:v>POST</x:v>
      </x:c>
      <x:c r="C253" s="13" t="str">
        <x:v>/api/v1/business-analyses/{analysis_id}/new-revision</x:v>
      </x:c>
      <x:c r="D253" s="13" t="str">
        <x:v>USER MODE</x:v>
      </x:c>
      <x:c r="E253" s="13" t="str">
        <x:v>business_analysis</x:v>
      </x:c>
      <x:c r="F253" s="13" t="str">
        <x:v>clone revision</x:v>
      </x:c>
      <x:c r="G253" s="13" t="str">
        <x:v>business_analysis.create</x:v>
      </x:c>
      <x:c r="H253" s="13" t="str">
        <x:v>LIVE_ROUTER_REGISTERED</x:v>
      </x:c>
      <x:c r="I253" s="13" t="str">
        <x:v>frontend/src/features/business-analysis/api.ts</x:v>
      </x:c>
      <x:c r="J253" s="13" t="str">
        <x:v>NOT_EXECUTED_BY_INVENTORY. SOURCE_LITERAL_OR_TRANSITIVE_HELPER_UNION</x:v>
      </x:c>
    </x:row>
    <x:row r="254" ht="42" customHeight="1">
      <x:c r="A254" s="14" t="str">
        <x:v>API-50</x:v>
      </x:c>
      <x:c r="B254" s="6" t="str">
        <x:v>GET</x:v>
      </x:c>
      <x:c r="C254" s="6" t="str">
        <x:v>/api/v1/business-analyses/{analysis_id}/readiness</x:v>
      </x:c>
      <x:c r="D254" s="6" t="str">
        <x:v>READ-ONLY SHARED CONTEXT</x:v>
      </x:c>
      <x:c r="E254" s="6" t="str">
        <x:v>business_analysis</x:v>
      </x:c>
      <x:c r="F254" s="6" t="str">
        <x:v>readiness</x:v>
      </x:c>
      <x:c r="G254" s="6" t="str">
        <x:v>business_analysis.read</x:v>
      </x:c>
      <x:c r="H254" s="6" t="str">
        <x:v>LIVE_ROUTER_REGISTERED</x:v>
      </x:c>
      <x:c r="I254" s="6" t="str">
        <x:v>frontend/src/features/business-analysis/api.ts</x:v>
      </x:c>
      <x:c r="J254" s="6" t="str">
        <x:v>NOT_EXECUTED_BY_INVENTORY. SOURCE_LITERAL_OR_TRANSITIVE_HELPER_UNION</x:v>
      </x:c>
    </x:row>
    <x:row r="255" ht="42" customHeight="1">
      <x:c r="A255" s="15" t="str">
        <x:v>API-51</x:v>
      </x:c>
      <x:c r="B255" s="13" t="str">
        <x:v>POST</x:v>
      </x:c>
      <x:c r="C255" s="13" t="str">
        <x:v>/api/v1/business-analyses/{analysis_id}/return</x:v>
      </x:c>
      <x:c r="D255" s="13" t="str">
        <x:v>USER MODE</x:v>
      </x:c>
      <x:c r="E255" s="13" t="str">
        <x:v>business_analysis</x:v>
      </x:c>
      <x:c r="F255" s="13" t="str">
        <x:v>return analysis</x:v>
      </x:c>
      <x:c r="G255" s="13" t="str">
        <x:v>business_analysis.review</x:v>
      </x:c>
      <x:c r="H255" s="13" t="str">
        <x:v>LIVE_ROUTER_REGISTERED</x:v>
      </x:c>
      <x:c r="I255" s="13" t="str">
        <x:v>NO_DIRECT_LITERAL_MATCH_NOT_PROOF_UNUSED</x:v>
      </x:c>
      <x:c r="J255" s="13" t="str">
        <x:v>NOT_EXECUTED_BY_INVENTORY. SOURCE_LITERAL_OR_TRANSITIVE_HELPER_UNION</x:v>
      </x:c>
    </x:row>
    <x:row r="256" ht="42" customHeight="1">
      <x:c r="A256" s="14" t="str">
        <x:v>API-52</x:v>
      </x:c>
      <x:c r="B256" s="6" t="str">
        <x:v>POST</x:v>
      </x:c>
      <x:c r="C256" s="6" t="str">
        <x:v>/api/v1/business-analyses/{analysis_id}/void</x:v>
      </x:c>
      <x:c r="D256" s="6" t="str">
        <x:v>USER MODE</x:v>
      </x:c>
      <x:c r="E256" s="6" t="str">
        <x:v>business_analysis</x:v>
      </x:c>
      <x:c r="F256" s="6" t="str">
        <x:v>void analysis</x:v>
      </x:c>
      <x:c r="G256" s="6" t="str">
        <x:v>business_analysis.edit</x:v>
      </x:c>
      <x:c r="H256" s="6" t="str">
        <x:v>LIVE_ROUTER_REGISTERED</x:v>
      </x:c>
      <x:c r="I256" s="6" t="str">
        <x:v>NO_DIRECT_LITERAL_MATCH_NOT_PROOF_UNUSED</x:v>
      </x:c>
      <x:c r="J256" s="6" t="str">
        <x:v>NOT_EXECUTED_BY_INVENTORY. SOURCE_LITERAL_OR_TRANSITIVE_HELPER_UNION</x:v>
      </x:c>
    </x:row>
    <x:row r="257" ht="42" customHeight="1">
      <x:c r="A257" s="15" t="str">
        <x:v>API-53</x:v>
      </x:c>
      <x:c r="B257" s="13" t="str">
        <x:v>GET</x:v>
      </x:c>
      <x:c r="C257" s="13" t="str">
        <x:v>/api/v1/ideas/{idea_id}/business-analyses</x:v>
      </x:c>
      <x:c r="D257" s="13" t="str">
        <x:v>READ-ONLY SHARED CONTEXT</x:v>
      </x:c>
      <x:c r="E257" s="13" t="str">
        <x:v>business_analysis</x:v>
      </x:c>
      <x:c r="F257" s="13" t="str">
        <x:v>idea business analyses</x:v>
      </x:c>
      <x:c r="G257" s="13" t="str">
        <x:v>business_analysis.read</x:v>
      </x:c>
      <x:c r="H257" s="13" t="str">
        <x:v>LIVE_ROUTER_REGISTERED</x:v>
      </x:c>
      <x:c r="I257" s="13" t="str">
        <x:v>NO_DIRECT_LITERAL_MATCH_NOT_PROOF_UNUSED</x:v>
      </x:c>
      <x:c r="J257" s="13" t="str">
        <x:v>NOT_EXECUTED_BY_INVENTORY. SOURCE_LITERAL_OR_TRANSITIVE_HELPER_UNION</x:v>
      </x:c>
    </x:row>
    <x:row r="258" ht="42" customHeight="1">
      <x:c r="A258" s="14" t="str">
        <x:v>API-54</x:v>
      </x:c>
      <x:c r="B258" s="6" t="str">
        <x:v>GET</x:v>
      </x:c>
      <x:c r="C258" s="6" t="str">
        <x:v>/api/v1/business-case-revisions/{revision_id}</x:v>
      </x:c>
      <x:c r="D258" s="6" t="str">
        <x:v>READ-ONLY SHARED CONTEXT</x:v>
      </x:c>
      <x:c r="E258" s="6" t="str">
        <x:v>business_case</x:v>
      </x:c>
      <x:c r="F258" s="6" t="str">
        <x:v>get revision</x:v>
      </x:c>
      <x:c r="G258" s="6" t="str">
        <x:v>business_case.read</x:v>
      </x:c>
      <x:c r="H258" s="6" t="str">
        <x:v>LIVE_ROUTER_REGISTERED</x:v>
      </x:c>
      <x:c r="I258" s="6" t="str">
        <x:v>frontend/src/features/business-case/api.ts</x:v>
      </x:c>
      <x:c r="J258" s="6" t="str">
        <x:v>NOT_EXECUTED_BY_INVENTORY. SOURCE_LITERAL_OR_TRANSITIVE_HELPER_UNION</x:v>
      </x:c>
    </x:row>
    <x:row r="259" ht="42" customHeight="1">
      <x:c r="A259" s="15" t="str">
        <x:v>API-55</x:v>
      </x:c>
      <x:c r="B259" s="13" t="str">
        <x:v>PUT</x:v>
      </x:c>
      <x:c r="C259" s="13" t="str">
        <x:v>/api/v1/business-case-revisions/{revision_id}</x:v>
      </x:c>
      <x:c r="D259" s="13" t="str">
        <x:v>USER MODE</x:v>
      </x:c>
      <x:c r="E259" s="13" t="str">
        <x:v>business_case</x:v>
      </x:c>
      <x:c r="F259" s="13" t="str">
        <x:v>update revision</x:v>
      </x:c>
      <x:c r="G259" s="13" t="str">
        <x:v>business_case.edit</x:v>
      </x:c>
      <x:c r="H259" s="13" t="str">
        <x:v>LIVE_ROUTER_REGISTERED</x:v>
      </x:c>
      <x:c r="I259" s="13" t="str">
        <x:v>frontend/src/features/business-case/api.ts</x:v>
      </x:c>
      <x:c r="J259" s="13" t="str">
        <x:v>NOT_EXECUTED_BY_INVENTORY. SOURCE_LITERAL_OR_TRANSITIVE_HELPER_UNION</x:v>
      </x:c>
    </x:row>
    <x:row r="260" ht="42" customHeight="1">
      <x:c r="A260" s="14" t="str">
        <x:v>API-56</x:v>
      </x:c>
      <x:c r="B260" s="6" t="str">
        <x:v>POST</x:v>
      </x:c>
      <x:c r="C260" s="6" t="str">
        <x:v>/api/v1/business-case-revisions/{revision_id}/complete</x:v>
      </x:c>
      <x:c r="D260" s="6" t="str">
        <x:v>USER MODE</x:v>
      </x:c>
      <x:c r="E260" s="6" t="str">
        <x:v>business_case</x:v>
      </x:c>
      <x:c r="F260" s="6" t="str">
        <x:v>complete revision</x:v>
      </x:c>
      <x:c r="G260" s="6" t="str">
        <x:v>business_case.complete</x:v>
      </x:c>
      <x:c r="H260" s="6" t="str">
        <x:v>LIVE_ROUTER_REGISTERED</x:v>
      </x:c>
      <x:c r="I260" s="6" t="str">
        <x:v>frontend/src/features/business-case/api.ts</x:v>
      </x:c>
      <x:c r="J260" s="6" t="str">
        <x:v>NOT_EXECUTED_BY_INVENTORY. SOURCE_LITERAL_OR_TRANSITIVE_HELPER_UNION</x:v>
      </x:c>
    </x:row>
    <x:row r="261" ht="42" customHeight="1">
      <x:c r="A261" s="15" t="str">
        <x:v>API-57</x:v>
      </x:c>
      <x:c r="B261" s="13" t="str">
        <x:v>POST</x:v>
      </x:c>
      <x:c r="C261" s="13" t="str">
        <x:v>/api/v1/business-case-revisions/{revision_id}/submit-review</x:v>
      </x:c>
      <x:c r="D261" s="13" t="str">
        <x:v>USER MODE</x:v>
      </x:c>
      <x:c r="E261" s="13" t="str">
        <x:v>business_case</x:v>
      </x:c>
      <x:c r="F261" s="13" t="str">
        <x:v>submit review</x:v>
      </x:c>
      <x:c r="G261" s="13" t="str">
        <x:v>business_case.submit_review</x:v>
      </x:c>
      <x:c r="H261" s="13" t="str">
        <x:v>LIVE_ROUTER_REGISTERED</x:v>
      </x:c>
      <x:c r="I261" s="13" t="str">
        <x:v>frontend/src/features/business-case/api.ts</x:v>
      </x:c>
      <x:c r="J261" s="13" t="str">
        <x:v>NOT_EXECUTED_BY_INVENTORY. SOURCE_LITERAL_OR_TRANSITIVE_HELPER_UNION</x:v>
      </x:c>
    </x:row>
    <x:row r="262" ht="42" customHeight="1">
      <x:c r="A262" s="14" t="str">
        <x:v>API-58</x:v>
      </x:c>
      <x:c r="B262" s="6" t="str">
        <x:v>GET</x:v>
      </x:c>
      <x:c r="C262" s="6" t="str">
        <x:v>/api/v1/business-cases</x:v>
      </x:c>
      <x:c r="D262" s="6" t="str">
        <x:v>READ-ONLY SHARED CONTEXT</x:v>
      </x:c>
      <x:c r="E262" s="6" t="str">
        <x:v>business_case</x:v>
      </x:c>
      <x:c r="F262" s="6" t="str">
        <x:v>list business cases</x:v>
      </x:c>
      <x:c r="G262" s="6" t="str">
        <x:v>business_case.read</x:v>
      </x:c>
      <x:c r="H262" s="6" t="str">
        <x:v>LIVE_ROUTER_REGISTERED</x:v>
      </x:c>
      <x:c r="I262" s="6" t="str">
        <x:v>frontend/src/features/business-case/api.ts</x:v>
      </x:c>
      <x:c r="J262" s="6" t="str">
        <x:v>NOT_EXECUTED_BY_INVENTORY. SOURCE_LITERAL_OR_TRANSITIVE_HELPER_UNION</x:v>
      </x:c>
    </x:row>
    <x:row r="263" ht="42" customHeight="1">
      <x:c r="A263" s="15" t="str">
        <x:v>API-59</x:v>
      </x:c>
      <x:c r="B263" s="13" t="str">
        <x:v>POST</x:v>
      </x:c>
      <x:c r="C263" s="13" t="str">
        <x:v>/api/v1/business-cases</x:v>
      </x:c>
      <x:c r="D263" s="13" t="str">
        <x:v>USER MODE</x:v>
      </x:c>
      <x:c r="E263" s="13" t="str">
        <x:v>business_case</x:v>
      </x:c>
      <x:c r="F263" s="13" t="str">
        <x:v>create business case</x:v>
      </x:c>
      <x:c r="G263" s="13" t="str">
        <x:v>business_case.create</x:v>
      </x:c>
      <x:c r="H263" s="13" t="str">
        <x:v>LIVE_ROUTER_REGISTERED</x:v>
      </x:c>
      <x:c r="I263" s="13" t="str">
        <x:v>frontend/src/features/business-case/api.ts</x:v>
      </x:c>
      <x:c r="J263" s="13" t="str">
        <x:v>NOT_EXECUTED_BY_INVENTORY. SOURCE_LITERAL_OR_TRANSITIVE_HELPER_UNION</x:v>
      </x:c>
    </x:row>
    <x:row r="264" ht="42" customHeight="1">
      <x:c r="A264" s="14" t="str">
        <x:v>API-60</x:v>
      </x:c>
      <x:c r="B264" s="6" t="str">
        <x:v>GET</x:v>
      </x:c>
      <x:c r="C264" s="6" t="str">
        <x:v>/api/v1/business-cases/admin/configurations</x:v>
      </x:c>
      <x:c r="D264" s="6" t="str">
        <x:v>ADMIN MODE</x:v>
      </x:c>
      <x:c r="E264" s="6" t="str">
        <x:v>business_case</x:v>
      </x:c>
      <x:c r="F264" s="6" t="str">
        <x:v>configurations</x:v>
      </x:c>
      <x:c r="G264" s="6" t="str">
        <x:v>business_case.admin.configure</x:v>
      </x:c>
      <x:c r="H264" s="6" t="str">
        <x:v>LIVE_ROUTER_REGISTERED</x:v>
      </x:c>
      <x:c r="I264" s="6" t="str">
        <x:v>frontend/src/features/business-case/api.ts</x:v>
      </x:c>
      <x:c r="J264" s="6" t="str">
        <x:v>NOT_EXECUTED_BY_INVENTORY. SOURCE_LITERAL_OR_TRANSITIVE_HELPER_UNION</x:v>
      </x:c>
    </x:row>
    <x:row r="265" ht="42" customHeight="1">
      <x:c r="A265" s="15" t="str">
        <x:v>API-61</x:v>
      </x:c>
      <x:c r="B265" s="13" t="str">
        <x:v>POST</x:v>
      </x:c>
      <x:c r="C265" s="13" t="str">
        <x:v>/api/v1/business-cases/admin/configurations/preview</x:v>
      </x:c>
      <x:c r="D265" s="13" t="str">
        <x:v>ADMIN MODE</x:v>
      </x:c>
      <x:c r="E265" s="13" t="str">
        <x:v>business_case</x:v>
      </x:c>
      <x:c r="F265" s="13" t="str">
        <x:v>configuration preview</x:v>
      </x:c>
      <x:c r="G265" s="13" t="str">
        <x:v>business_case.admin.configure</x:v>
      </x:c>
      <x:c r="H265" s="13" t="str">
        <x:v>LIVE_ROUTER_REGISTERED</x:v>
      </x:c>
      <x:c r="I265" s="13" t="str">
        <x:v>frontend/src/features/business-case/api.ts</x:v>
      </x:c>
      <x:c r="J265" s="13" t="str">
        <x:v>NOT_EXECUTED_BY_INVENTORY. SOURCE_LITERAL_OR_TRANSITIVE_HELPER_UNION</x:v>
      </x:c>
    </x:row>
    <x:row r="266" ht="42" customHeight="1">
      <x:c r="A266" s="14" t="str">
        <x:v>API-62</x:v>
      </x:c>
      <x:c r="B266" s="6" t="str">
        <x:v>PUT</x:v>
      </x:c>
      <x:c r="C266" s="6" t="str">
        <x:v>/api/v1/business-cases/admin/configurations/{configuration_id}</x:v>
      </x:c>
      <x:c r="D266" s="6" t="str">
        <x:v>ADMIN MODE</x:v>
      </x:c>
      <x:c r="E266" s="6" t="str">
        <x:v>business_case</x:v>
      </x:c>
      <x:c r="F266" s="6" t="str">
        <x:v>update configuration</x:v>
      </x:c>
      <x:c r="G266" s="6" t="str">
        <x:v>business_case.admin.configure</x:v>
      </x:c>
      <x:c r="H266" s="6" t="str">
        <x:v>LIVE_ROUTER_REGISTERED</x:v>
      </x:c>
      <x:c r="I266" s="6" t="str">
        <x:v>frontend/src/features/business-case/api.ts</x:v>
      </x:c>
      <x:c r="J266" s="6" t="str">
        <x:v>NOT_EXECUTED_BY_INVENTORY. SOURCE_LITERAL_OR_TRANSITIVE_HELPER_UNION</x:v>
      </x:c>
    </x:row>
    <x:row r="267" ht="42" customHeight="1">
      <x:c r="A267" s="15" t="str">
        <x:v>API-63</x:v>
      </x:c>
      <x:c r="B267" s="13" t="str">
        <x:v>POST</x:v>
      </x:c>
      <x:c r="C267" s="13" t="str">
        <x:v>/api/v1/business-cases/admin/configurations/{configuration_id}/clone</x:v>
      </x:c>
      <x:c r="D267" s="13" t="str">
        <x:v>ADMIN MODE</x:v>
      </x:c>
      <x:c r="E267" s="13" t="str">
        <x:v>business_case</x:v>
      </x:c>
      <x:c r="F267" s="13" t="str">
        <x:v>clone configuration</x:v>
      </x:c>
      <x:c r="G267" s="13" t="str">
        <x:v>business_case.admin.configure</x:v>
      </x:c>
      <x:c r="H267" s="13" t="str">
        <x:v>LIVE_ROUTER_REGISTERED</x:v>
      </x:c>
      <x:c r="I267" s="13" t="str">
        <x:v>frontend/src/features/business-case/api.ts</x:v>
      </x:c>
      <x:c r="J267" s="13" t="str">
        <x:v>NOT_EXECUTED_BY_INVENTORY. SOURCE_LITERAL_OR_TRANSITIVE_HELPER_UNION</x:v>
      </x:c>
    </x:row>
    <x:row r="268" ht="42" customHeight="1">
      <x:c r="A268" s="14" t="str">
        <x:v>API-64</x:v>
      </x:c>
      <x:c r="B268" s="6" t="str">
        <x:v>POST</x:v>
      </x:c>
      <x:c r="C268" s="6" t="str">
        <x:v>/api/v1/business-cases/admin/configurations/{configuration_id}/publish</x:v>
      </x:c>
      <x:c r="D268" s="6" t="str">
        <x:v>ADMIN MODE</x:v>
      </x:c>
      <x:c r="E268" s="6" t="str">
        <x:v>business_case</x:v>
      </x:c>
      <x:c r="F268" s="6" t="str">
        <x:v>publish configuration</x:v>
      </x:c>
      <x:c r="G268" s="6" t="str">
        <x:v>business_case.admin.publish</x:v>
      </x:c>
      <x:c r="H268" s="6" t="str">
        <x:v>LIVE_ROUTER_REGISTERED</x:v>
      </x:c>
      <x:c r="I268" s="6" t="str">
        <x:v>frontend/src/features/business-case/api.ts</x:v>
      </x:c>
      <x:c r="J268" s="6" t="str">
        <x:v>NOT_EXECUTED_BY_INVENTORY. SOURCE_LITERAL_OR_TRANSITIVE_HELPER_UNION</x:v>
      </x:c>
    </x:row>
    <x:row r="269" ht="42" customHeight="1">
      <x:c r="A269" s="15" t="str">
        <x:v>API-65</x:v>
      </x:c>
      <x:c r="B269" s="13" t="str">
        <x:v>GET</x:v>
      </x:c>
      <x:c r="C269" s="13" t="str">
        <x:v>/api/v1/business-cases/{business_case_id}</x:v>
      </x:c>
      <x:c r="D269" s="13" t="str">
        <x:v>READ-ONLY SHARED CONTEXT</x:v>
      </x:c>
      <x:c r="E269" s="13" t="str">
        <x:v>business_case</x:v>
      </x:c>
      <x:c r="F269" s="13" t="str">
        <x:v>get business case</x:v>
      </x:c>
      <x:c r="G269" s="13" t="str">
        <x:v>business_case.read</x:v>
      </x:c>
      <x:c r="H269" s="13" t="str">
        <x:v>LIVE_ROUTER_REGISTERED</x:v>
      </x:c>
      <x:c r="I269" s="13" t="str">
        <x:v>NO_DIRECT_LITERAL_MATCH_NOT_PROOF_UNUSED</x:v>
      </x:c>
      <x:c r="J269" s="13" t="str">
        <x:v>NOT_EXECUTED_BY_INVENTORY. SOURCE_LITERAL_OR_TRANSITIVE_HELPER_UNION</x:v>
      </x:c>
    </x:row>
    <x:row r="270" ht="42" customHeight="1">
      <x:c r="A270" s="14" t="str">
        <x:v>API-66</x:v>
      </x:c>
      <x:c r="B270" s="6" t="str">
        <x:v>GET</x:v>
      </x:c>
      <x:c r="C270" s="6" t="str">
        <x:v>/api/v1/business-cases/{business_case_id}/decision-snapshots</x:v>
      </x:c>
      <x:c r="D270" s="6" t="str">
        <x:v>READ-ONLY SHARED CONTEXT</x:v>
      </x:c>
      <x:c r="E270" s="6" t="str">
        <x:v>business_case</x:v>
      </x:c>
      <x:c r="F270" s="6" t="str">
        <x:v>list snapshots</x:v>
      </x:c>
      <x:c r="G270" s="6" t="str">
        <x:v>business_case.read</x:v>
      </x:c>
      <x:c r="H270" s="6" t="str">
        <x:v>LIVE_ROUTER_REGISTERED</x:v>
      </x:c>
      <x:c r="I270" s="6" t="str">
        <x:v>frontend/src/features/business-case/api.ts</x:v>
      </x:c>
      <x:c r="J270" s="6" t="str">
        <x:v>NOT_EXECUTED_BY_INVENTORY. SOURCE_LITERAL_OR_TRANSITIVE_HELPER_UNION</x:v>
      </x:c>
    </x:row>
    <x:row r="271" ht="42" customHeight="1">
      <x:c r="A271" s="15" t="str">
        <x:v>API-67</x:v>
      </x:c>
      <x:c r="B271" s="13" t="str">
        <x:v>POST</x:v>
      </x:c>
      <x:c r="C271" s="13" t="str">
        <x:v>/api/v1/business-cases/{business_case_id}/decision-snapshots</x:v>
      </x:c>
      <x:c r="D271" s="13" t="str">
        <x:v>USER MODE</x:v>
      </x:c>
      <x:c r="E271" s="13" t="str">
        <x:v>business_case</x:v>
      </x:c>
      <x:c r="F271" s="13" t="str">
        <x:v>create snapshot</x:v>
      </x:c>
      <x:c r="G271" s="13" t="str">
        <x:v>business_case.snapshot</x:v>
      </x:c>
      <x:c r="H271" s="13" t="str">
        <x:v>LIVE_ROUTER_REGISTERED</x:v>
      </x:c>
      <x:c r="I271" s="13" t="str">
        <x:v>frontend/src/features/business-case/api.ts</x:v>
      </x:c>
      <x:c r="J271" s="13" t="str">
        <x:v>NOT_EXECUTED_BY_INVENTORY. SOURCE_LITERAL_OR_TRANSITIVE_HELPER_UNION</x:v>
      </x:c>
    </x:row>
    <x:row r="272" ht="42" customHeight="1">
      <x:c r="A272" s="14" t="str">
        <x:v>API-68</x:v>
      </x:c>
      <x:c r="B272" s="6" t="str">
        <x:v>GET</x:v>
      </x:c>
      <x:c r="C272" s="6" t="str">
        <x:v>/api/v1/business-cases/{business_case_id}/material-change</x:v>
      </x:c>
      <x:c r="D272" s="6" t="str">
        <x:v>READ-ONLY SHARED CONTEXT</x:v>
      </x:c>
      <x:c r="E272" s="6" t="str">
        <x:v>business_case</x:v>
      </x:c>
      <x:c r="F272" s="6" t="str">
        <x:v>material change</x:v>
      </x:c>
      <x:c r="G272" s="6" t="str">
        <x:v>business_case.read</x:v>
      </x:c>
      <x:c r="H272" s="6" t="str">
        <x:v>LIVE_ROUTER_REGISTERED</x:v>
      </x:c>
      <x:c r="I272" s="6" t="str">
        <x:v>NO_DIRECT_LITERAL_MATCH_NOT_PROOF_UNUSED</x:v>
      </x:c>
      <x:c r="J272" s="6" t="str">
        <x:v>NOT_EXECUTED_BY_INVENTORY. SOURCE_LITERAL_OR_TRANSITIVE_HELPER_UNION</x:v>
      </x:c>
    </x:row>
    <x:row r="273" ht="42" customHeight="1">
      <x:c r="A273" s="15" t="str">
        <x:v>API-69</x:v>
      </x:c>
      <x:c r="B273" s="13" t="str">
        <x:v>POST</x:v>
      </x:c>
      <x:c r="C273" s="13" t="str">
        <x:v>/api/v1/business-cases/{business_case_id}/material-change/review</x:v>
      </x:c>
      <x:c r="D273" s="13" t="str">
        <x:v>USER MODE</x:v>
      </x:c>
      <x:c r="E273" s="13" t="str">
        <x:v>business_case</x:v>
      </x:c>
      <x:c r="F273" s="13" t="str">
        <x:v>material change review</x:v>
      </x:c>
      <x:c r="G273" s="13" t="str">
        <x:v>business_case.material_change.review</x:v>
      </x:c>
      <x:c r="H273" s="13" t="str">
        <x:v>LIVE_ROUTER_REGISTERED</x:v>
      </x:c>
      <x:c r="I273" s="13" t="str">
        <x:v>NO_DIRECT_LITERAL_MATCH_NOT_PROOF_UNUSED</x:v>
      </x:c>
      <x:c r="J273" s="13" t="str">
        <x:v>NOT_EXECUTED_BY_INVENTORY. SOURCE_LITERAL_OR_TRANSITIVE_HELPER_UNION</x:v>
      </x:c>
    </x:row>
    <x:row r="274" ht="42" customHeight="1">
      <x:c r="A274" s="14" t="str">
        <x:v>API-70</x:v>
      </x:c>
      <x:c r="B274" s="6" t="str">
        <x:v>GET</x:v>
      </x:c>
      <x:c r="C274" s="6" t="str">
        <x:v>/api/v1/business-cases/{business_case_id}/readiness</x:v>
      </x:c>
      <x:c r="D274" s="6" t="str">
        <x:v>READ-ONLY SHARED CONTEXT</x:v>
      </x:c>
      <x:c r="E274" s="6" t="str">
        <x:v>business_case</x:v>
      </x:c>
      <x:c r="F274" s="6" t="str">
        <x:v>readiness</x:v>
      </x:c>
      <x:c r="G274" s="6" t="str">
        <x:v>business_case.read</x:v>
      </x:c>
      <x:c r="H274" s="6" t="str">
        <x:v>LIVE_ROUTER_REGISTERED</x:v>
      </x:c>
      <x:c r="I274" s="6" t="str">
        <x:v>frontend/src/features/business-case/api.ts</x:v>
      </x:c>
      <x:c r="J274" s="6" t="str">
        <x:v>NOT_EXECUTED_BY_INVENTORY. SOURCE_LITERAL_OR_TRANSITIVE_HELPER_UNION</x:v>
      </x:c>
    </x:row>
    <x:row r="275" ht="42" customHeight="1">
      <x:c r="A275" s="15" t="str">
        <x:v>API-71</x:v>
      </x:c>
      <x:c r="B275" s="13" t="str">
        <x:v>POST</x:v>
      </x:c>
      <x:c r="C275" s="13" t="str">
        <x:v>/api/v1/business-cases/{business_case_id}/refresh</x:v>
      </x:c>
      <x:c r="D275" s="13" t="str">
        <x:v>USER MODE</x:v>
      </x:c>
      <x:c r="E275" s="13" t="str">
        <x:v>business_case</x:v>
      </x:c>
      <x:c r="F275" s="13" t="str">
        <x:v>refresh</x:v>
      </x:c>
      <x:c r="G275" s="13" t="str">
        <x:v>business_case.refresh</x:v>
      </x:c>
      <x:c r="H275" s="13" t="str">
        <x:v>LIVE_ROUTER_REGISTERED</x:v>
      </x:c>
      <x:c r="I275" s="13" t="str">
        <x:v>frontend/src/features/business-case/api.ts</x:v>
      </x:c>
      <x:c r="J275" s="13" t="str">
        <x:v>NOT_EXECUTED_BY_INVENTORY. SOURCE_LITERAL_OR_TRANSITIVE_HELPER_UNION</x:v>
      </x:c>
    </x:row>
    <x:row r="276" ht="42" customHeight="1">
      <x:c r="A276" s="14" t="str">
        <x:v>API-72</x:v>
      </x:c>
      <x:c r="B276" s="6" t="str">
        <x:v>POST</x:v>
      </x:c>
      <x:c r="C276" s="6" t="str">
        <x:v>/api/v1/business-cases/{business_case_id}/refresh/preview</x:v>
      </x:c>
      <x:c r="D276" s="6" t="str">
        <x:v>USER MODE</x:v>
      </x:c>
      <x:c r="E276" s="6" t="str">
        <x:v>business_case</x:v>
      </x:c>
      <x:c r="F276" s="6" t="str">
        <x:v>refresh preview</x:v>
      </x:c>
      <x:c r="G276" s="6" t="str">
        <x:v>business_case.refresh</x:v>
      </x:c>
      <x:c r="H276" s="6" t="str">
        <x:v>LIVE_ROUTER_REGISTERED</x:v>
      </x:c>
      <x:c r="I276" s="6" t="str">
        <x:v>frontend/src/features/business-case/api.ts</x:v>
      </x:c>
      <x:c r="J276" s="6" t="str">
        <x:v>NOT_EXECUTED_BY_INVENTORY. SOURCE_LITERAL_OR_TRANSITIVE_HELPER_UNION</x:v>
      </x:c>
    </x:row>
    <x:row r="277" ht="42" customHeight="1">
      <x:c r="A277" s="15" t="str">
        <x:v>API-73</x:v>
      </x:c>
      <x:c r="B277" s="13" t="str">
        <x:v>GET</x:v>
      </x:c>
      <x:c r="C277" s="13" t="str">
        <x:v>/api/v1/business-cases/{business_case_id}/revisions</x:v>
      </x:c>
      <x:c r="D277" s="13" t="str">
        <x:v>READ-ONLY SHARED CONTEXT</x:v>
      </x:c>
      <x:c r="E277" s="13" t="str">
        <x:v>business_case</x:v>
      </x:c>
      <x:c r="F277" s="13" t="str">
        <x:v>list revisions</x:v>
      </x:c>
      <x:c r="G277" s="13" t="str">
        <x:v>business_case.read</x:v>
      </x:c>
      <x:c r="H277" s="13" t="str">
        <x:v>LIVE_ROUTER_REGISTERED</x:v>
      </x:c>
      <x:c r="I277" s="13" t="str">
        <x:v>frontend/src/features/business-case/api.ts</x:v>
      </x:c>
      <x:c r="J277" s="13" t="str">
        <x:v>NOT_EXECUTED_BY_INVENTORY. SOURCE_LITERAL_OR_TRANSITIVE_HELPER_UNION</x:v>
      </x:c>
    </x:row>
    <x:row r="278" ht="42" customHeight="1">
      <x:c r="A278" s="14" t="str">
        <x:v>API-74</x:v>
      </x:c>
      <x:c r="B278" s="6" t="str">
        <x:v>POST</x:v>
      </x:c>
      <x:c r="C278" s="6" t="str">
        <x:v>/api/v1/business-cases/{business_case_id}/revisions</x:v>
      </x:c>
      <x:c r="D278" s="6" t="str">
        <x:v>USER MODE</x:v>
      </x:c>
      <x:c r="E278" s="6" t="str">
        <x:v>business_case</x:v>
      </x:c>
      <x:c r="F278" s="6" t="str">
        <x:v>create revision</x:v>
      </x:c>
      <x:c r="G278" s="6" t="str">
        <x:v>business_case.create_revision</x:v>
      </x:c>
      <x:c r="H278" s="6" t="str">
        <x:v>LIVE_ROUTER_REGISTERED</x:v>
      </x:c>
      <x:c r="I278" s="6" t="str">
        <x:v>frontend/src/features/business-case/api.ts</x:v>
      </x:c>
      <x:c r="J278" s="6" t="str">
        <x:v>NOT_EXECUTED_BY_INVENTORY. SOURCE_LITERAL_OR_TRANSITIVE_HELPER_UNION</x:v>
      </x:c>
    </x:row>
    <x:row r="279" ht="42" customHeight="1">
      <x:c r="A279" s="15" t="str">
        <x:v>API-75</x:v>
      </x:c>
      <x:c r="B279" s="13" t="str">
        <x:v>GET</x:v>
      </x:c>
      <x:c r="C279" s="13" t="str">
        <x:v>/api/v1/projects/{project_id}/business-case</x:v>
      </x:c>
      <x:c r="D279" s="13" t="str">
        <x:v>READ-ONLY SHARED CONTEXT</x:v>
      </x:c>
      <x:c r="E279" s="13" t="str">
        <x:v>business_case</x:v>
      </x:c>
      <x:c r="F279" s="13" t="str">
        <x:v>get project business case</x:v>
      </x:c>
      <x:c r="G279" s="13" t="str">
        <x:v>business_case.read</x:v>
      </x:c>
      <x:c r="H279" s="13" t="str">
        <x:v>LIVE_ROUTER_REGISTERED</x:v>
      </x:c>
      <x:c r="I279" s="13" t="str">
        <x:v>NO_DIRECT_LITERAL_MATCH_NOT_PROOF_UNUSED</x:v>
      </x:c>
      <x:c r="J279" s="13" t="str">
        <x:v>NOT_EXECUTED_BY_INVENTORY. SOURCE_LITERAL_OR_TRANSITIVE_HELPER_UNION</x:v>
      </x:c>
    </x:row>
    <x:row r="280" ht="42" customHeight="1">
      <x:c r="A280" s="14" t="str">
        <x:v>API-76</x:v>
      </x:c>
      <x:c r="B280" s="6" t="str">
        <x:v>GET</x:v>
      </x:c>
      <x:c r="C280" s="6" t="str">
        <x:v>/api/v1/capital-planning/admin/configurations</x:v>
      </x:c>
      <x:c r="D280" s="6" t="str">
        <x:v>ADMIN MODE</x:v>
      </x:c>
      <x:c r="E280" s="6" t="str">
        <x:v>capital_planning</x:v>
      </x:c>
      <x:c r="F280" s="6" t="str">
        <x:v>configurations</x:v>
      </x:c>
      <x:c r="G280" s="6" t="str">
        <x:v>capital_planning.admin.configure</x:v>
      </x:c>
      <x:c r="H280" s="6" t="str">
        <x:v>LIVE_ROUTER_REGISTERED</x:v>
      </x:c>
      <x:c r="I280" s="6" t="str">
        <x:v>frontend/src/features/capital-planning/api.ts</x:v>
      </x:c>
      <x:c r="J280" s="6" t="str">
        <x:v>NOT_EXECUTED_BY_INVENTORY. SOURCE_LITERAL_OR_TRANSITIVE_HELPER_UNION</x:v>
      </x:c>
    </x:row>
    <x:row r="281" ht="42" customHeight="1">
      <x:c r="A281" s="15" t="str">
        <x:v>API-77</x:v>
      </x:c>
      <x:c r="B281" s="13" t="str">
        <x:v>PUT</x:v>
      </x:c>
      <x:c r="C281" s="13" t="str">
        <x:v>/api/v1/capital-planning/admin/configurations/{configuration_id}</x:v>
      </x:c>
      <x:c r="D281" s="13" t="str">
        <x:v>ADMIN MODE</x:v>
      </x:c>
      <x:c r="E281" s="13" t="str">
        <x:v>capital_planning</x:v>
      </x:c>
      <x:c r="F281" s="13" t="str">
        <x:v>update configuration</x:v>
      </x:c>
      <x:c r="G281" s="13" t="str">
        <x:v>capital_planning.admin.configure</x:v>
      </x:c>
      <x:c r="H281" s="13" t="str">
        <x:v>LIVE_ROUTER_REGISTERED</x:v>
      </x:c>
      <x:c r="I281" s="13" t="str">
        <x:v>frontend/src/features/capital-planning/api.ts</x:v>
      </x:c>
      <x:c r="J281" s="13" t="str">
        <x:v>NOT_EXECUTED_BY_INVENTORY. SOURCE_LITERAL_OR_TRANSITIVE_HELPER_UNION</x:v>
      </x:c>
    </x:row>
    <x:row r="282" ht="42" customHeight="1">
      <x:c r="A282" s="14" t="str">
        <x:v>API-78</x:v>
      </x:c>
      <x:c r="B282" s="6" t="str">
        <x:v>POST</x:v>
      </x:c>
      <x:c r="C282" s="6" t="str">
        <x:v>/api/v1/capital-planning/admin/configurations/{configuration_id}/clone</x:v>
      </x:c>
      <x:c r="D282" s="6" t="str">
        <x:v>ADMIN MODE</x:v>
      </x:c>
      <x:c r="E282" s="6" t="str">
        <x:v>capital_planning</x:v>
      </x:c>
      <x:c r="F282" s="6" t="str">
        <x:v>clone configuration</x:v>
      </x:c>
      <x:c r="G282" s="6" t="str">
        <x:v>capital_planning.admin.configure</x:v>
      </x:c>
      <x:c r="H282" s="6" t="str">
        <x:v>LIVE_ROUTER_REGISTERED</x:v>
      </x:c>
      <x:c r="I282" s="6" t="str">
        <x:v>frontend/src/features/capital-planning/api.ts</x:v>
      </x:c>
      <x:c r="J282" s="6" t="str">
        <x:v>NOT_EXECUTED_BY_INVENTORY. SOURCE_LITERAL_OR_TRANSITIVE_HELPER_UNION</x:v>
      </x:c>
    </x:row>
    <x:row r="283" ht="42" customHeight="1">
      <x:c r="A283" s="15" t="str">
        <x:v>API-79</x:v>
      </x:c>
      <x:c r="B283" s="13" t="str">
        <x:v>POST</x:v>
      </x:c>
      <x:c r="C283" s="13" t="str">
        <x:v>/api/v1/capital-planning/admin/preview</x:v>
      </x:c>
      <x:c r="D283" s="13" t="str">
        <x:v>ADMIN MODE</x:v>
      </x:c>
      <x:c r="E283" s="13" t="str">
        <x:v>capital_planning</x:v>
      </x:c>
      <x:c r="F283" s="13" t="str">
        <x:v>preview configuration</x:v>
      </x:c>
      <x:c r="G283" s="13" t="str">
        <x:v>capital_planning.admin.configure</x:v>
      </x:c>
      <x:c r="H283" s="13" t="str">
        <x:v>LIVE_ROUTER_REGISTERED</x:v>
      </x:c>
      <x:c r="I283" s="13" t="str">
        <x:v>frontend/src/features/capital-planning/api.ts</x:v>
      </x:c>
      <x:c r="J283" s="13" t="str">
        <x:v>NOT_EXECUTED_BY_INVENTORY. SOURCE_LITERAL_OR_TRANSITIVE_HELPER_UNION</x:v>
      </x:c>
    </x:row>
    <x:row r="284" ht="42" customHeight="1">
      <x:c r="A284" s="14" t="str">
        <x:v>API-80</x:v>
      </x:c>
      <x:c r="B284" s="6" t="str">
        <x:v>GET</x:v>
      </x:c>
      <x:c r="C284" s="6" t="str">
        <x:v>/api/v1/capital-planning/allocation-options</x:v>
      </x:c>
      <x:c r="D284" s="6" t="str">
        <x:v>READ-ONLY SHARED CONTEXT</x:v>
      </x:c>
      <x:c r="E284" s="6" t="str">
        <x:v>capital_planning</x:v>
      </x:c>
      <x:c r="F284" s="6" t="str">
        <x:v>allocation options</x:v>
      </x:c>
      <x:c r="G284" s="6" t="str">
        <x:v>capital_planning.allocation.read</x:v>
      </x:c>
      <x:c r="H284" s="6" t="str">
        <x:v>LIVE_ROUTER_REGISTERED</x:v>
      </x:c>
      <x:c r="I284" s="6" t="str">
        <x:v>NO_DIRECT_LITERAL_MATCH_NOT_PROOF_UNUSED</x:v>
      </x:c>
      <x:c r="J284" s="6" t="str">
        <x:v>NOT_EXECUTED_BY_INVENTORY. SOURCE_LITERAL_OR_TRANSITIVE_HELPER_UNION</x:v>
      </x:c>
    </x:row>
    <x:row r="285" ht="42" customHeight="1">
      <x:c r="A285" s="15" t="str">
        <x:v>API-81</x:v>
      </x:c>
      <x:c r="B285" s="13" t="str">
        <x:v>GET</x:v>
      </x:c>
      <x:c r="C285" s="13" t="str">
        <x:v>/api/v1/capital-planning/allocation-plans</x:v>
      </x:c>
      <x:c r="D285" s="13" t="str">
        <x:v>READ-ONLY SHARED CONTEXT</x:v>
      </x:c>
      <x:c r="E285" s="13" t="str">
        <x:v>capital_planning</x:v>
      </x:c>
      <x:c r="F285" s="13" t="str">
        <x:v>allocation plans</x:v>
      </x:c>
      <x:c r="G285" s="13" t="str">
        <x:v>capital_planning.allocation.read</x:v>
      </x:c>
      <x:c r="H285" s="13" t="str">
        <x:v>LIVE_ROUTER_REGISTERED</x:v>
      </x:c>
      <x:c r="I285" s="13" t="str">
        <x:v>frontend/src/features/capital-allocation/api.ts</x:v>
      </x:c>
      <x:c r="J285" s="13" t="str">
        <x:v>NOT_EXECUTED_BY_INVENTORY. SOURCE_LITERAL_OR_TRANSITIVE_HELPER_UNION</x:v>
      </x:c>
    </x:row>
    <x:row r="286" ht="42" customHeight="1">
      <x:c r="A286" s="14" t="str">
        <x:v>API-82</x:v>
      </x:c>
      <x:c r="B286" s="6" t="str">
        <x:v>POST</x:v>
      </x:c>
      <x:c r="C286" s="6" t="str">
        <x:v>/api/v1/capital-planning/allocation-plans</x:v>
      </x:c>
      <x:c r="D286" s="6" t="str">
        <x:v>USER MODE</x:v>
      </x:c>
      <x:c r="E286" s="6" t="str">
        <x:v>capital_planning</x:v>
      </x:c>
      <x:c r="F286" s="6" t="str">
        <x:v>create allocation plan</x:v>
      </x:c>
      <x:c r="G286" s="6" t="str">
        <x:v>capital_planning.allocation.create</x:v>
      </x:c>
      <x:c r="H286" s="6" t="str">
        <x:v>LIVE_ROUTER_REGISTERED</x:v>
      </x:c>
      <x:c r="I286" s="6" t="str">
        <x:v>frontend/src/features/capital-allocation/api.ts</x:v>
      </x:c>
      <x:c r="J286" s="6" t="str">
        <x:v>NOT_EXECUTED_BY_INVENTORY. SOURCE_LITERAL_OR_TRANSITIVE_HELPER_UNION</x:v>
      </x:c>
    </x:row>
    <x:row r="287" ht="42" customHeight="1">
      <x:c r="A287" s="15" t="str">
        <x:v>API-83</x:v>
      </x:c>
      <x:c r="B287" s="13" t="str">
        <x:v>GET</x:v>
      </x:c>
      <x:c r="C287" s="13" t="str">
        <x:v>/api/v1/capital-planning/allocation-plans/{plan_id}</x:v>
      </x:c>
      <x:c r="D287" s="13" t="str">
        <x:v>READ-ONLY SHARED CONTEXT</x:v>
      </x:c>
      <x:c r="E287" s="13" t="str">
        <x:v>capital_planning</x:v>
      </x:c>
      <x:c r="F287" s="13" t="str">
        <x:v>allocation plan</x:v>
      </x:c>
      <x:c r="G287" s="13" t="str">
        <x:v>capital_planning.allocation.read</x:v>
      </x:c>
      <x:c r="H287" s="13" t="str">
        <x:v>LIVE_ROUTER_REGISTERED</x:v>
      </x:c>
      <x:c r="I287" s="13" t="str">
        <x:v>frontend/src/features/capital-allocation/api.ts</x:v>
      </x:c>
      <x:c r="J287" s="13" t="str">
        <x:v>NOT_EXECUTED_BY_INVENTORY. SOURCE_LITERAL_OR_TRANSITIVE_HELPER_UNION</x:v>
      </x:c>
    </x:row>
    <x:row r="288" ht="42" customHeight="1">
      <x:c r="A288" s="14" t="str">
        <x:v>API-84</x:v>
      </x:c>
      <x:c r="B288" s="6" t="str">
        <x:v>PUT</x:v>
      </x:c>
      <x:c r="C288" s="6" t="str">
        <x:v>/api/v1/capital-planning/allocation-plans/{plan_id}</x:v>
      </x:c>
      <x:c r="D288" s="6" t="str">
        <x:v>USER MODE</x:v>
      </x:c>
      <x:c r="E288" s="6" t="str">
        <x:v>capital_planning</x:v>
      </x:c>
      <x:c r="F288" s="6" t="str">
        <x:v>update allocation plan</x:v>
      </x:c>
      <x:c r="G288" s="6" t="str">
        <x:v>capital_planning.allocation.edit</x:v>
      </x:c>
      <x:c r="H288" s="6" t="str">
        <x:v>LIVE_ROUTER_REGISTERED</x:v>
      </x:c>
      <x:c r="I288" s="6" t="str">
        <x:v>frontend/src/features/capital-allocation/api.ts</x:v>
      </x:c>
      <x:c r="J288" s="6" t="str">
        <x:v>NOT_EXECUTED_BY_INVENTORY. SOURCE_LITERAL_OR_TRANSITIVE_HELPER_UNION</x:v>
      </x:c>
    </x:row>
    <x:row r="289" ht="42" customHeight="1">
      <x:c r="A289" s="15" t="str">
        <x:v>API-85</x:v>
      </x:c>
      <x:c r="B289" s="13" t="str">
        <x:v>POST</x:v>
      </x:c>
      <x:c r="C289" s="13" t="str">
        <x:v>/api/v1/capital-planning/allocation-plans/{plan_id}/classifications</x:v>
      </x:c>
      <x:c r="D289" s="13" t="str">
        <x:v>USER MODE</x:v>
      </x:c>
      <x:c r="E289" s="13" t="str">
        <x:v>capital_planning</x:v>
      </x:c>
      <x:c r="F289" s="13" t="str">
        <x:v>classify bucket</x:v>
      </x:c>
      <x:c r="G289" s="13" t="str">
        <x:v>capital_planning.bucket.classify</x:v>
      </x:c>
      <x:c r="H289" s="13" t="str">
        <x:v>LIVE_ROUTER_REGISTERED</x:v>
      </x:c>
      <x:c r="I289" s="13" t="str">
        <x:v>frontend/src/features/capital-allocation/api.ts</x:v>
      </x:c>
      <x:c r="J289" s="13" t="str">
        <x:v>NOT_EXECUTED_BY_INVENTORY. SOURCE_LITERAL_OR_TRANSITIVE_HELPER_UNION</x:v>
      </x:c>
    </x:row>
    <x:row r="290" ht="42" customHeight="1">
      <x:c r="A290" s="14" t="str">
        <x:v>API-86</x:v>
      </x:c>
      <x:c r="B290" s="6" t="str">
        <x:v>PUT</x:v>
      </x:c>
      <x:c r="C290" s="6" t="str">
        <x:v>/api/v1/capital-planning/allocation-plans/{plan_id}/classifications</x:v>
      </x:c>
      <x:c r="D290" s="6" t="str">
        <x:v>USER MODE</x:v>
      </x:c>
      <x:c r="E290" s="6" t="str">
        <x:v>capital_planning</x:v>
      </x:c>
      <x:c r="F290" s="6" t="str">
        <x:v>replace bucket classifications</x:v>
      </x:c>
      <x:c r="G290" s="6" t="str">
        <x:v>capital_planning.bucket.classify</x:v>
      </x:c>
      <x:c r="H290" s="6" t="str">
        <x:v>LIVE_ROUTER_REGISTERED</x:v>
      </x:c>
      <x:c r="I290" s="6" t="str">
        <x:v>frontend/src/features/capital-allocation/api.ts</x:v>
      </x:c>
      <x:c r="J290" s="6" t="str">
        <x:v>NOT_EXECUTED_BY_INVENTORY. SOURCE_LITERAL_OR_TRANSITIVE_HELPER_UNION</x:v>
      </x:c>
    </x:row>
    <x:row r="291" ht="42" customHeight="1">
      <x:c r="A291" s="15" t="str">
        <x:v>API-87</x:v>
      </x:c>
      <x:c r="B291" s="13" t="str">
        <x:v>GET</x:v>
      </x:c>
      <x:c r="C291" s="13" t="str">
        <x:v>/api/v1/capital-planning/allocation-plans/{plan_id}/comparison</x:v>
      </x:c>
      <x:c r="D291" s="13" t="str">
        <x:v>READ-ONLY SHARED CONTEXT</x:v>
      </x:c>
      <x:c r="E291" s="13" t="str">
        <x:v>capital_planning</x:v>
      </x:c>
      <x:c r="F291" s="13" t="str">
        <x:v>allocation comparison</x:v>
      </x:c>
      <x:c r="G291" s="13" t="str">
        <x:v>capital_planning.allocation.read</x:v>
      </x:c>
      <x:c r="H291" s="13" t="str">
        <x:v>LIVE_ROUTER_REGISTERED</x:v>
      </x:c>
      <x:c r="I291" s="13" t="str">
        <x:v>frontend/src/features/capital-allocation/api.ts</x:v>
      </x:c>
      <x:c r="J291" s="13" t="str">
        <x:v>NOT_EXECUTED_BY_INVENTORY. SOURCE_LITERAL_OR_TRANSITIVE_HELPER_UNION</x:v>
      </x:c>
    </x:row>
    <x:row r="292" ht="42" customHeight="1">
      <x:c r="A292" s="14" t="str">
        <x:v>API-88</x:v>
      </x:c>
      <x:c r="B292" s="6" t="str">
        <x:v>GET</x:v>
      </x:c>
      <x:c r="C292" s="6" t="str">
        <x:v>/api/v1/capital-planning/allocation-plans/{plan_id}/history</x:v>
      </x:c>
      <x:c r="D292" s="6" t="str">
        <x:v>READ-ONLY SHARED CONTEXT</x:v>
      </x:c>
      <x:c r="E292" s="6" t="str">
        <x:v>capital_planning</x:v>
      </x:c>
      <x:c r="F292" s="6" t="str">
        <x:v>allocation plan history</x:v>
      </x:c>
      <x:c r="G292" s="6" t="str">
        <x:v>capital_planning.allocation.read</x:v>
      </x:c>
      <x:c r="H292" s="6" t="str">
        <x:v>LIVE_ROUTER_REGISTERED</x:v>
      </x:c>
      <x:c r="I292" s="6" t="str">
        <x:v>frontend/src/features/capital-allocation/api.ts</x:v>
      </x:c>
      <x:c r="J292" s="6" t="str">
        <x:v>NOT_EXECUTED_BY_INVENTORY. SOURCE_LITERAL_OR_TRANSITIVE_HELPER_UNION</x:v>
      </x:c>
    </x:row>
    <x:row r="293" ht="42" customHeight="1">
      <x:c r="A293" s="15" t="str">
        <x:v>API-89</x:v>
      </x:c>
      <x:c r="B293" s="13" t="str">
        <x:v>PUT</x:v>
      </x:c>
      <x:c r="C293" s="13" t="str">
        <x:v>/api/v1/capital-planning/allocation-plans/{plan_id}/lines</x:v>
      </x:c>
      <x:c r="D293" s="13" t="str">
        <x:v>USER MODE</x:v>
      </x:c>
      <x:c r="E293" s="13" t="str">
        <x:v>capital_planning</x:v>
      </x:c>
      <x:c r="F293" s="13" t="str">
        <x:v>replace allocation lines</x:v>
      </x:c>
      <x:c r="G293" s="13" t="str">
        <x:v>capital_planning.allocation.edit</x:v>
      </x:c>
      <x:c r="H293" s="13" t="str">
        <x:v>LIVE_ROUTER_REGISTERED</x:v>
      </x:c>
      <x:c r="I293" s="13" t="str">
        <x:v>frontend/src/features/capital-allocation/api.ts</x:v>
      </x:c>
      <x:c r="J293" s="13" t="str">
        <x:v>NOT_EXECUTED_BY_INVENTORY. SOURCE_LITERAL_OR_TRANSITIVE_HELPER_UNION</x:v>
      </x:c>
    </x:row>
    <x:row r="294" ht="42" customHeight="1">
      <x:c r="A294" s="14" t="str">
        <x:v>API-90</x:v>
      </x:c>
      <x:c r="B294" s="6" t="str">
        <x:v>POST</x:v>
      </x:c>
      <x:c r="C294" s="6" t="str">
        <x:v>/api/v1/capital-planning/allocation-plans/{plan_id}/revisions</x:v>
      </x:c>
      <x:c r="D294" s="6" t="str">
        <x:v>USER MODE</x:v>
      </x:c>
      <x:c r="E294" s="6" t="str">
        <x:v>capital_planning</x:v>
      </x:c>
      <x:c r="F294" s="6" t="str">
        <x:v>create allocation plan revision</x:v>
      </x:c>
      <x:c r="G294" s="6" t="str">
        <x:v>capital_planning.allocation.create</x:v>
      </x:c>
      <x:c r="H294" s="6" t="str">
        <x:v>LIVE_ROUTER_REGISTERED</x:v>
      </x:c>
      <x:c r="I294" s="6" t="str">
        <x:v>frontend/src/features/capital-allocation/api.ts</x:v>
      </x:c>
      <x:c r="J294" s="6" t="str">
        <x:v>NOT_EXECUTED_BY_INVENTORY. SOURCE_LITERAL_OR_TRANSITIVE_HELPER_UNION</x:v>
      </x:c>
    </x:row>
    <x:row r="295" ht="42" customHeight="1">
      <x:c r="A295" s="15" t="str">
        <x:v>API-91</x:v>
      </x:c>
      <x:c r="B295" s="13" t="str">
        <x:v>GET</x:v>
      </x:c>
      <x:c r="C295" s="13" t="str">
        <x:v>/api/v1/capital-planning/cycles</x:v>
      </x:c>
      <x:c r="D295" s="13" t="str">
        <x:v>READ-ONLY SHARED CONTEXT</x:v>
      </x:c>
      <x:c r="E295" s="13" t="str">
        <x:v>capital_planning</x:v>
      </x:c>
      <x:c r="F295" s="13" t="str">
        <x:v>list cycles</x:v>
      </x:c>
      <x:c r="G295" s="13" t="str">
        <x:v>capital_planning.read</x:v>
      </x:c>
      <x:c r="H295" s="13" t="str">
        <x:v>LIVE_ROUTER_REGISTERED</x:v>
      </x:c>
      <x:c r="I295" s="13" t="str">
        <x:v>frontend/src/features/capital-planning/api.ts</x:v>
      </x:c>
      <x:c r="J295" s="13" t="str">
        <x:v>NOT_EXECUTED_BY_INVENTORY. SOURCE_LITERAL_OR_TRANSITIVE_HELPER_UNION</x:v>
      </x:c>
    </x:row>
    <x:row r="296" ht="42" customHeight="1">
      <x:c r="A296" s="14" t="str">
        <x:v>API-92</x:v>
      </x:c>
      <x:c r="B296" s="6" t="str">
        <x:v>POST</x:v>
      </x:c>
      <x:c r="C296" s="6" t="str">
        <x:v>/api/v1/capital-planning/cycles</x:v>
      </x:c>
      <x:c r="D296" s="6" t="str">
        <x:v>USER MODE</x:v>
      </x:c>
      <x:c r="E296" s="6" t="str">
        <x:v>capital_planning</x:v>
      </x:c>
      <x:c r="F296" s="6" t="str">
        <x:v>create cycle</x:v>
      </x:c>
      <x:c r="G296" s="6" t="str">
        <x:v>capital_planning.cycle.create</x:v>
      </x:c>
      <x:c r="H296" s="6" t="str">
        <x:v>LIVE_ROUTER_REGISTERED</x:v>
      </x:c>
      <x:c r="I296" s="6" t="str">
        <x:v>frontend/src/features/capital-planning/api.ts</x:v>
      </x:c>
      <x:c r="J296" s="6" t="str">
        <x:v>NOT_EXECUTED_BY_INVENTORY. SOURCE_LITERAL_OR_TRANSITIVE_HELPER_UNION</x:v>
      </x:c>
    </x:row>
    <x:row r="297" ht="42" customHeight="1">
      <x:c r="A297" s="15" t="str">
        <x:v>API-93</x:v>
      </x:c>
      <x:c r="B297" s="13" t="str">
        <x:v>GET</x:v>
      </x:c>
      <x:c r="C297" s="13" t="str">
        <x:v>/api/v1/capital-planning/cycles/{cycle_id}</x:v>
      </x:c>
      <x:c r="D297" s="13" t="str">
        <x:v>READ-ONLY SHARED CONTEXT</x:v>
      </x:c>
      <x:c r="E297" s="13" t="str">
        <x:v>capital_planning</x:v>
      </x:c>
      <x:c r="F297" s="13" t="str">
        <x:v>get cycle</x:v>
      </x:c>
      <x:c r="G297" s="13" t="str">
        <x:v>capital_planning.read</x:v>
      </x:c>
      <x:c r="H297" s="13" t="str">
        <x:v>LIVE_ROUTER_REGISTERED</x:v>
      </x:c>
      <x:c r="I297" s="13" t="str">
        <x:v>frontend/src/features/capital-planning/api.ts</x:v>
      </x:c>
      <x:c r="J297" s="13" t="str">
        <x:v>NOT_EXECUTED_BY_INVENTORY. SOURCE_LITERAL_OR_TRANSITIVE_HELPER_UNION</x:v>
      </x:c>
    </x:row>
    <x:row r="298" ht="42" customHeight="1">
      <x:c r="A298" s="14" t="str">
        <x:v>API-94</x:v>
      </x:c>
      <x:c r="B298" s="6" t="str">
        <x:v>PUT</x:v>
      </x:c>
      <x:c r="C298" s="6" t="str">
        <x:v>/api/v1/capital-planning/cycles/{cycle_id}</x:v>
      </x:c>
      <x:c r="D298" s="6" t="str">
        <x:v>USER MODE</x:v>
      </x:c>
      <x:c r="E298" s="6" t="str">
        <x:v>capital_planning</x:v>
      </x:c>
      <x:c r="F298" s="6" t="str">
        <x:v>update cycle</x:v>
      </x:c>
      <x:c r="G298" s="6" t="str">
        <x:v>capital_planning.cycle.create</x:v>
      </x:c>
      <x:c r="H298" s="6" t="str">
        <x:v>LIVE_ROUTER_REGISTERED</x:v>
      </x:c>
      <x:c r="I298" s="6" t="str">
        <x:v>frontend/src/features/capital-planning/api.ts</x:v>
      </x:c>
      <x:c r="J298" s="6" t="str">
        <x:v>NOT_EXECUTED_BY_INVENTORY. SOURCE_LITERAL_OR_TRANSITIVE_HELPER_UNION</x:v>
      </x:c>
    </x:row>
    <x:row r="299" ht="42" customHeight="1">
      <x:c r="A299" s="15" t="str">
        <x:v>API-95</x:v>
      </x:c>
      <x:c r="B299" s="13" t="str">
        <x:v>POST</x:v>
      </x:c>
      <x:c r="C299" s="13" t="str">
        <x:v>/api/v1/capital-planning/cycles/{cycle_id}/close</x:v>
      </x:c>
      <x:c r="D299" s="13" t="str">
        <x:v>USER MODE</x:v>
      </x:c>
      <x:c r="E299" s="13" t="str">
        <x:v>capital_planning</x:v>
      </x:c>
      <x:c r="F299" s="13" t="str">
        <x:v>close cycle</x:v>
      </x:c>
      <x:c r="G299" s="13" t="str">
        <x:v>HELPER_OR_SERVICE_AUTHORIZATION_REQUIRES_REVIEW</x:v>
      </x:c>
      <x:c r="H299" s="13" t="str">
        <x:v>LIVE_ROUTER_REGISTERED</x:v>
      </x:c>
      <x:c r="I299" s="13" t="str">
        <x:v>frontend/src/features/capital-planning/api.ts</x:v>
      </x:c>
      <x:c r="J299" s="13" t="str">
        <x:v>NOT_EXECUTED_BY_INVENTORY. SOURCE_LITERAL_OR_TRANSITIVE_HELPER_UNION</x:v>
      </x:c>
    </x:row>
    <x:row r="300" ht="42" customHeight="1">
      <x:c r="A300" s="14" t="str">
        <x:v>API-96</x:v>
      </x:c>
      <x:c r="B300" s="6" t="str">
        <x:v>POST</x:v>
      </x:c>
      <x:c r="C300" s="6" t="str">
        <x:v>/api/v1/capital-planning/cycles/{cycle_id}/open</x:v>
      </x:c>
      <x:c r="D300" s="6" t="str">
        <x:v>USER MODE</x:v>
      </x:c>
      <x:c r="E300" s="6" t="str">
        <x:v>capital_planning</x:v>
      </x:c>
      <x:c r="F300" s="6" t="str">
        <x:v>open cycle</x:v>
      </x:c>
      <x:c r="G300" s="6" t="str">
        <x:v>HELPER_OR_SERVICE_AUTHORIZATION_REQUIRES_REVIEW</x:v>
      </x:c>
      <x:c r="H300" s="6" t="str">
        <x:v>LIVE_ROUTER_REGISTERED</x:v>
      </x:c>
      <x:c r="I300" s="6" t="str">
        <x:v>frontend/src/features/capital-planning/api.ts</x:v>
      </x:c>
      <x:c r="J300" s="6" t="str">
        <x:v>NOT_EXECUTED_BY_INVENTORY. SOURCE_LITERAL_OR_TRANSITIVE_HELPER_UNION</x:v>
      </x:c>
    </x:row>
    <x:row r="301" ht="42" customHeight="1">
      <x:c r="A301" s="15" t="str">
        <x:v>API-97</x:v>
      </x:c>
      <x:c r="B301" s="13" t="str">
        <x:v>POST</x:v>
      </x:c>
      <x:c r="C301" s="13" t="str">
        <x:v>/api/v1/capital-planning/cycles/{cycle_id}/review/start</x:v>
      </x:c>
      <x:c r="D301" s="13" t="str">
        <x:v>USER MODE</x:v>
      </x:c>
      <x:c r="E301" s="13" t="str">
        <x:v>capital_planning</x:v>
      </x:c>
      <x:c r="F301" s="13" t="str">
        <x:v>review cycle</x:v>
      </x:c>
      <x:c r="G301" s="13" t="str">
        <x:v>HELPER_OR_SERVICE_AUTHORIZATION_REQUIRES_REVIEW</x:v>
      </x:c>
      <x:c r="H301" s="13" t="str">
        <x:v>LIVE_ROUTER_REGISTERED</x:v>
      </x:c>
      <x:c r="I301" s="13" t="str">
        <x:v>frontend/src/features/capital-planning/api.ts</x:v>
      </x:c>
      <x:c r="J301" s="13" t="str">
        <x:v>NOT_EXECUTED_BY_INVENTORY. SOURCE_LITERAL_OR_TRANSITIVE_HELPER_UNION</x:v>
      </x:c>
    </x:row>
    <x:row r="302" ht="42" customHeight="1">
      <x:c r="A302" s="14" t="str">
        <x:v>API-98</x:v>
      </x:c>
      <x:c r="B302" s="6" t="str">
        <x:v>GET</x:v>
      </x:c>
      <x:c r="C302" s="6" t="str">
        <x:v>/api/v1/capital-planning/cycles/{cycle_id}/summary</x:v>
      </x:c>
      <x:c r="D302" s="6" t="str">
        <x:v>READ-ONLY SHARED CONTEXT</x:v>
      </x:c>
      <x:c r="E302" s="6" t="str">
        <x:v>capital_planning</x:v>
      </x:c>
      <x:c r="F302" s="6" t="str">
        <x:v>cycle summary</x:v>
      </x:c>
      <x:c r="G302" s="6" t="str">
        <x:v>capital_planning.read</x:v>
      </x:c>
      <x:c r="H302" s="6" t="str">
        <x:v>LIVE_ROUTER_REGISTERED</x:v>
      </x:c>
      <x:c r="I302" s="6" t="str">
        <x:v>frontend/src/features/capital-planning/api.ts</x:v>
      </x:c>
      <x:c r="J302" s="6" t="str">
        <x:v>NOT_EXECUTED_BY_INVENTORY. SOURCE_LITERAL_OR_TRANSITIVE_HELPER_UNION</x:v>
      </x:c>
    </x:row>
    <x:row r="303" ht="42" customHeight="1">
      <x:c r="A303" s="15" t="str">
        <x:v>API-99</x:v>
      </x:c>
      <x:c r="B303" s="13" t="str">
        <x:v>GET</x:v>
      </x:c>
      <x:c r="C303" s="13" t="str">
        <x:v>/api/v1/capital-planning/demands</x:v>
      </x:c>
      <x:c r="D303" s="13" t="str">
        <x:v>READ-ONLY SHARED CONTEXT</x:v>
      </x:c>
      <x:c r="E303" s="13" t="str">
        <x:v>capital_planning</x:v>
      </x:c>
      <x:c r="F303" s="13" t="str">
        <x:v>list demands</x:v>
      </x:c>
      <x:c r="G303" s="13" t="str">
        <x:v>capital_planning.read</x:v>
      </x:c>
      <x:c r="H303" s="13" t="str">
        <x:v>LIVE_ROUTER_REGISTERED</x:v>
      </x:c>
      <x:c r="I303" s="13" t="str">
        <x:v>frontend/src/features/capital-planning/api.ts</x:v>
      </x:c>
      <x:c r="J303" s="13" t="str">
        <x:v>NOT_EXECUTED_BY_INVENTORY. SOURCE_LITERAL_OR_TRANSITIVE_HELPER_UNION</x:v>
      </x:c>
    </x:row>
    <x:row r="304" ht="42" customHeight="1">
      <x:c r="A304" s="14" t="str">
        <x:v>API-100</x:v>
      </x:c>
      <x:c r="B304" s="6" t="str">
        <x:v>POST</x:v>
      </x:c>
      <x:c r="C304" s="6" t="str">
        <x:v>/api/v1/capital-planning/demands</x:v>
      </x:c>
      <x:c r="D304" s="6" t="str">
        <x:v>USER MODE</x:v>
      </x:c>
      <x:c r="E304" s="6" t="str">
        <x:v>capital_planning</x:v>
      </x:c>
      <x:c r="F304" s="6" t="str">
        <x:v>create demand</x:v>
      </x:c>
      <x:c r="G304" s="6" t="str">
        <x:v>capital_planning.demand.create</x:v>
      </x:c>
      <x:c r="H304" s="6" t="str">
        <x:v>LIVE_ROUTER_REGISTERED</x:v>
      </x:c>
      <x:c r="I304" s="6" t="str">
        <x:v>frontend/src/features/capital-planning/api.ts</x:v>
      </x:c>
      <x:c r="J304" s="6" t="str">
        <x:v>NOT_EXECUTED_BY_INVENTORY. SOURCE_LITERAL_OR_TRANSITIVE_HELPER_UNION</x:v>
      </x:c>
    </x:row>
    <x:row r="305" ht="42" customHeight="1">
      <x:c r="A305" s="15" t="str">
        <x:v>API-101</x:v>
      </x:c>
      <x:c r="B305" s="13" t="str">
        <x:v>GET</x:v>
      </x:c>
      <x:c r="C305" s="13" t="str">
        <x:v>/api/v1/capital-planning/demands/summary</x:v>
      </x:c>
      <x:c r="D305" s="13" t="str">
        <x:v>READ-ONLY SHARED CONTEXT</x:v>
      </x:c>
      <x:c r="E305" s="13" t="str">
        <x:v>capital_planning</x:v>
      </x:c>
      <x:c r="F305" s="13" t="str">
        <x:v>demand summary</x:v>
      </x:c>
      <x:c r="G305" s="13" t="str">
        <x:v>capital_planning.read</x:v>
      </x:c>
      <x:c r="H305" s="13" t="str">
        <x:v>LIVE_ROUTER_REGISTERED</x:v>
      </x:c>
      <x:c r="I305" s="13" t="str">
        <x:v>frontend/src/features/capital-planning/api.ts</x:v>
      </x:c>
      <x:c r="J305" s="13" t="str">
        <x:v>NOT_EXECUTED_BY_INVENTORY. SOURCE_LITERAL_OR_TRANSITIVE_HELPER_UNION</x:v>
      </x:c>
    </x:row>
    <x:row r="306" ht="42" customHeight="1">
      <x:c r="A306" s="14" t="str">
        <x:v>API-102</x:v>
      </x:c>
      <x:c r="B306" s="6" t="str">
        <x:v>GET</x:v>
      </x:c>
      <x:c r="C306" s="6" t="str">
        <x:v>/api/v1/capital-planning/demands/{demand_id}</x:v>
      </x:c>
      <x:c r="D306" s="6" t="str">
        <x:v>READ-ONLY SHARED CONTEXT</x:v>
      </x:c>
      <x:c r="E306" s="6" t="str">
        <x:v>capital_planning</x:v>
      </x:c>
      <x:c r="F306" s="6" t="str">
        <x:v>get demand</x:v>
      </x:c>
      <x:c r="G306" s="6" t="str">
        <x:v>capital_planning.read</x:v>
      </x:c>
      <x:c r="H306" s="6" t="str">
        <x:v>LIVE_ROUTER_REGISTERED</x:v>
      </x:c>
      <x:c r="I306" s="6" t="str">
        <x:v>frontend/src/features/capital-planning/api.ts</x:v>
      </x:c>
      <x:c r="J306" s="6" t="str">
        <x:v>NOT_EXECUTED_BY_INVENTORY. SOURCE_LITERAL_OR_TRANSITIVE_HELPER_UNION</x:v>
      </x:c>
    </x:row>
    <x:row r="307" ht="42" customHeight="1">
      <x:c r="A307" s="15" t="str">
        <x:v>API-103</x:v>
      </x:c>
      <x:c r="B307" s="13" t="str">
        <x:v>PUT</x:v>
      </x:c>
      <x:c r="C307" s="13" t="str">
        <x:v>/api/v1/capital-planning/demands/{demand_id}</x:v>
      </x:c>
      <x:c r="D307" s="13" t="str">
        <x:v>USER MODE</x:v>
      </x:c>
      <x:c r="E307" s="13" t="str">
        <x:v>capital_planning</x:v>
      </x:c>
      <x:c r="F307" s="13" t="str">
        <x:v>update demand</x:v>
      </x:c>
      <x:c r="G307" s="13" t="str">
        <x:v>capital_planning.demand.edit</x:v>
      </x:c>
      <x:c r="H307" s="13" t="str">
        <x:v>LIVE_ROUTER_REGISTERED</x:v>
      </x:c>
      <x:c r="I307" s="13" t="str">
        <x:v>frontend/src/features/capital-planning/api.ts</x:v>
      </x:c>
      <x:c r="J307" s="13" t="str">
        <x:v>NOT_EXECUTED_BY_INVENTORY. SOURCE_LITERAL_OR_TRANSITIVE_HELPER_UNION</x:v>
      </x:c>
    </x:row>
    <x:row r="308" ht="42" customHeight="1">
      <x:c r="A308" s="14" t="str">
        <x:v>API-104</x:v>
      </x:c>
      <x:c r="B308" s="6" t="str">
        <x:v>GET</x:v>
      </x:c>
      <x:c r="C308" s="6" t="str">
        <x:v>/api/v1/capital-planning/demands/{demand_id}/history</x:v>
      </x:c>
      <x:c r="D308" s="6" t="str">
        <x:v>READ-ONLY SHARED CONTEXT</x:v>
      </x:c>
      <x:c r="E308" s="6" t="str">
        <x:v>capital_planning</x:v>
      </x:c>
      <x:c r="F308" s="6" t="str">
        <x:v>demand history</x:v>
      </x:c>
      <x:c r="G308" s="6" t="str">
        <x:v>capital_planning.read</x:v>
      </x:c>
      <x:c r="H308" s="6" t="str">
        <x:v>LIVE_ROUTER_REGISTERED</x:v>
      </x:c>
      <x:c r="I308" s="6" t="str">
        <x:v>frontend/src/features/capital-planning/api.ts</x:v>
      </x:c>
      <x:c r="J308" s="6" t="str">
        <x:v>NOT_EXECUTED_BY_INVENTORY. SOURCE_LITERAL_OR_TRANSITIVE_HELPER_UNION</x:v>
      </x:c>
    </x:row>
    <x:row r="309" ht="42" customHeight="1">
      <x:c r="A309" s="15" t="str">
        <x:v>API-105</x:v>
      </x:c>
      <x:c r="B309" s="13" t="str">
        <x:v>POST</x:v>
      </x:c>
      <x:c r="C309" s="13" t="str">
        <x:v>/api/v1/capital-planning/demands/{demand_id}/originate-idea</x:v>
      </x:c>
      <x:c r="D309" s="13" t="str">
        <x:v>USER MODE</x:v>
      </x:c>
      <x:c r="E309" s="13" t="str">
        <x:v>capital_planning</x:v>
      </x:c>
      <x:c r="F309" s="13" t="str">
        <x:v>originate idea</x:v>
      </x:c>
      <x:c r="G309" s="13" t="str">
        <x:v>capital_planning.idea.originate</x:v>
      </x:c>
      <x:c r="H309" s="13" t="str">
        <x:v>LIVE_ROUTER_REGISTERED</x:v>
      </x:c>
      <x:c r="I309" s="13" t="str">
        <x:v>frontend/src/features/capital-planning/api.ts</x:v>
      </x:c>
      <x:c r="J309" s="13" t="str">
        <x:v>NOT_EXECUTED_BY_INVENTORY. SOURCE_LITERAL_OR_TRANSITIVE_HELPER_UNION</x:v>
      </x:c>
    </x:row>
    <x:row r="310" ht="42" customHeight="1">
      <x:c r="A310" s="14" t="str">
        <x:v>API-106</x:v>
      </x:c>
      <x:c r="B310" s="6" t="str">
        <x:v>GET</x:v>
      </x:c>
      <x:c r="C310" s="6" t="str">
        <x:v>/api/v1/capital-planning/demands/{demand_id}/originated-ideas</x:v>
      </x:c>
      <x:c r="D310" s="6" t="str">
        <x:v>READ-ONLY SHARED CONTEXT</x:v>
      </x:c>
      <x:c r="E310" s="6" t="str">
        <x:v>capital_planning</x:v>
      </x:c>
      <x:c r="F310" s="6" t="str">
        <x:v>originated ideas</x:v>
      </x:c>
      <x:c r="G310" s="6" t="str">
        <x:v>capital_planning.read</x:v>
      </x:c>
      <x:c r="H310" s="6" t="str">
        <x:v>LIVE_ROUTER_REGISTERED</x:v>
      </x:c>
      <x:c r="I310" s="6" t="str">
        <x:v>frontend/src/features/capital-planning/api.ts</x:v>
      </x:c>
      <x:c r="J310" s="6" t="str">
        <x:v>NOT_EXECUTED_BY_INVENTORY. SOURCE_LITERAL_OR_TRANSITIVE_HELPER_UNION</x:v>
      </x:c>
    </x:row>
    <x:row r="311" ht="42" customHeight="1">
      <x:c r="A311" s="15" t="str">
        <x:v>API-107</x:v>
      </x:c>
      <x:c r="B311" s="13" t="str">
        <x:v>GET</x:v>
      </x:c>
      <x:c r="C311" s="13" t="str">
        <x:v>/api/v1/capital-planning/options</x:v>
      </x:c>
      <x:c r="D311" s="13" t="str">
        <x:v>READ-ONLY SHARED CONTEXT</x:v>
      </x:c>
      <x:c r="E311" s="13" t="str">
        <x:v>capital_planning</x:v>
      </x:c>
      <x:c r="F311" s="13" t="str">
        <x:v>options</x:v>
      </x:c>
      <x:c r="G311" s="13" t="str">
        <x:v>capital_planning.read</x:v>
      </x:c>
      <x:c r="H311" s="13" t="str">
        <x:v>LIVE_ROUTER_REGISTERED</x:v>
      </x:c>
      <x:c r="I311" s="13" t="str">
        <x:v>NO_DIRECT_LITERAL_MATCH_NOT_PROOF_UNUSED</x:v>
      </x:c>
      <x:c r="J311" s="13" t="str">
        <x:v>NOT_EXECUTED_BY_INVENTORY. SOURCE_LITERAL_OR_TRANSITIVE_HELPER_UNION</x:v>
      </x:c>
    </x:row>
    <x:row r="312" ht="42" customHeight="1">
      <x:c r="A312" s="14" t="str">
        <x:v>API-108</x:v>
      </x:c>
      <x:c r="B312" s="6" t="str">
        <x:v>GET</x:v>
      </x:c>
      <x:c r="C312" s="6" t="str">
        <x:v>/api/v1/commercial-strategies</x:v>
      </x:c>
      <x:c r="D312" s="6" t="str">
        <x:v>READ-ONLY SHARED CONTEXT</x:v>
      </x:c>
      <x:c r="E312" s="6" t="str">
        <x:v>commercial_strategy</x:v>
      </x:c>
      <x:c r="F312" s="6" t="str">
        <x:v>list strategies</x:v>
      </x:c>
      <x:c r="G312" s="6" t="str">
        <x:v>commercial_strategy.read</x:v>
      </x:c>
      <x:c r="H312" s="6" t="str">
        <x:v>LIVE_ROUTER_REGISTERED</x:v>
      </x:c>
      <x:c r="I312" s="6" t="str">
        <x:v>frontend/src/features/commercial-strategy/api.ts</x:v>
      </x:c>
      <x:c r="J312" s="6" t="str">
        <x:v>NOT_EXECUTED_BY_INVENTORY. SOURCE_LITERAL_OR_TRANSITIVE_HELPER_UNION</x:v>
      </x:c>
    </x:row>
    <x:row r="313" ht="42" customHeight="1">
      <x:c r="A313" s="15" t="str">
        <x:v>API-109</x:v>
      </x:c>
      <x:c r="B313" s="13" t="str">
        <x:v>POST</x:v>
      </x:c>
      <x:c r="C313" s="13" t="str">
        <x:v>/api/v1/commercial-strategies</x:v>
      </x:c>
      <x:c r="D313" s="13" t="str">
        <x:v>USER MODE</x:v>
      </x:c>
      <x:c r="E313" s="13" t="str">
        <x:v>commercial_strategy</x:v>
      </x:c>
      <x:c r="F313" s="13" t="str">
        <x:v>create strategy</x:v>
      </x:c>
      <x:c r="G313" s="13" t="str">
        <x:v>commercial_strategy.create</x:v>
      </x:c>
      <x:c r="H313" s="13" t="str">
        <x:v>LIVE_ROUTER_REGISTERED</x:v>
      </x:c>
      <x:c r="I313" s="13" t="str">
        <x:v>frontend/src/features/commercial-strategy/api.ts</x:v>
      </x:c>
      <x:c r="J313" s="13" t="str">
        <x:v>NOT_EXECUTED_BY_INVENTORY. SOURCE_LITERAL_OR_TRANSITIVE_HELPER_UNION</x:v>
      </x:c>
    </x:row>
    <x:row r="314" ht="42" customHeight="1">
      <x:c r="A314" s="14" t="str">
        <x:v>API-110</x:v>
      </x:c>
      <x:c r="B314" s="6" t="str">
        <x:v>GET</x:v>
      </x:c>
      <x:c r="C314" s="6" t="str">
        <x:v>/api/v1/commercial-strategies/admin/configurations</x:v>
      </x:c>
      <x:c r="D314" s="6" t="str">
        <x:v>ADMIN MODE</x:v>
      </x:c>
      <x:c r="E314" s="6" t="str">
        <x:v>commercial_strategy</x:v>
      </x:c>
      <x:c r="F314" s="6" t="str">
        <x:v>configurations</x:v>
      </x:c>
      <x:c r="G314" s="6" t="str">
        <x:v>commercial_strategy.admin.configure</x:v>
      </x:c>
      <x:c r="H314" s="6" t="str">
        <x:v>LIVE_ROUTER_REGISTERED</x:v>
      </x:c>
      <x:c r="I314" s="6" t="str">
        <x:v>frontend/src/features/commercial-strategy/api.ts</x:v>
      </x:c>
      <x:c r="J314" s="6" t="str">
        <x:v>NOT_EXECUTED_BY_INVENTORY. SOURCE_LITERAL_OR_TRANSITIVE_HELPER_UNION</x:v>
      </x:c>
    </x:row>
    <x:row r="315" ht="42" customHeight="1">
      <x:c r="A315" s="15" t="str">
        <x:v>API-111</x:v>
      </x:c>
      <x:c r="B315" s="13" t="str">
        <x:v>POST</x:v>
      </x:c>
      <x:c r="C315" s="13" t="str">
        <x:v>/api/v1/commercial-strategies/admin/configurations/effective-preview</x:v>
      </x:c>
      <x:c r="D315" s="13" t="str">
        <x:v>ADMIN MODE</x:v>
      </x:c>
      <x:c r="E315" s="13" t="str">
        <x:v>commercial_strategy</x:v>
      </x:c>
      <x:c r="F315" s="13" t="str">
        <x:v>configuration preview</x:v>
      </x:c>
      <x:c r="G315" s="13" t="str">
        <x:v>commercial_strategy.admin.configure</x:v>
      </x:c>
      <x:c r="H315" s="13" t="str">
        <x:v>LIVE_ROUTER_REGISTERED</x:v>
      </x:c>
      <x:c r="I315" s="13" t="str">
        <x:v>frontend/src/features/commercial-strategy/api.ts</x:v>
      </x:c>
      <x:c r="J315" s="13" t="str">
        <x:v>NOT_EXECUTED_BY_INVENTORY. SOURCE_LITERAL_OR_TRANSITIVE_HELPER_UNION</x:v>
      </x:c>
    </x:row>
    <x:row r="316" ht="42" customHeight="1">
      <x:c r="A316" s="14" t="str">
        <x:v>API-112</x:v>
      </x:c>
      <x:c r="B316" s="6" t="str">
        <x:v>PUT</x:v>
      </x:c>
      <x:c r="C316" s="6" t="str">
        <x:v>/api/v1/commercial-strategies/admin/configurations/{configuration_id}</x:v>
      </x:c>
      <x:c r="D316" s="6" t="str">
        <x:v>ADMIN MODE</x:v>
      </x:c>
      <x:c r="E316" s="6" t="str">
        <x:v>commercial_strategy</x:v>
      </x:c>
      <x:c r="F316" s="6" t="str">
        <x:v>update configuration</x:v>
      </x:c>
      <x:c r="G316" s="6" t="str">
        <x:v>commercial_strategy.admin.configure</x:v>
      </x:c>
      <x:c r="H316" s="6" t="str">
        <x:v>LIVE_ROUTER_REGISTERED</x:v>
      </x:c>
      <x:c r="I316" s="6" t="str">
        <x:v>frontend/src/features/commercial-strategy/api.ts</x:v>
      </x:c>
      <x:c r="J316" s="6" t="str">
        <x:v>NOT_EXECUTED_BY_INVENTORY. SOURCE_LITERAL_OR_TRANSITIVE_HELPER_UNION</x:v>
      </x:c>
    </x:row>
    <x:row r="317" ht="42" customHeight="1">
      <x:c r="A317" s="15" t="str">
        <x:v>API-113</x:v>
      </x:c>
      <x:c r="B317" s="13" t="str">
        <x:v>POST</x:v>
      </x:c>
      <x:c r="C317" s="13" t="str">
        <x:v>/api/v1/commercial-strategies/admin/configurations/{configuration_id}/archive</x:v>
      </x:c>
      <x:c r="D317" s="13" t="str">
        <x:v>ADMIN MODE</x:v>
      </x:c>
      <x:c r="E317" s="13" t="str">
        <x:v>commercial_strategy</x:v>
      </x:c>
      <x:c r="F317" s="13" t="str">
        <x:v>archive configuration</x:v>
      </x:c>
      <x:c r="G317" s="13" t="str">
        <x:v>commercial_strategy.admin.publish</x:v>
      </x:c>
      <x:c r="H317" s="13" t="str">
        <x:v>LIVE_ROUTER_REGISTERED</x:v>
      </x:c>
      <x:c r="I317" s="13" t="str">
        <x:v>frontend/src/features/commercial-strategy/api.ts</x:v>
      </x:c>
      <x:c r="J317" s="13" t="str">
        <x:v>NOT_EXECUTED_BY_INVENTORY. SOURCE_LITERAL_OR_TRANSITIVE_HELPER_UNION</x:v>
      </x:c>
    </x:row>
    <x:row r="318" ht="42" customHeight="1">
      <x:c r="A318" s="14" t="str">
        <x:v>API-114</x:v>
      </x:c>
      <x:c r="B318" s="6" t="str">
        <x:v>POST</x:v>
      </x:c>
      <x:c r="C318" s="6" t="str">
        <x:v>/api/v1/commercial-strategies/admin/configurations/{configuration_id}/clone</x:v>
      </x:c>
      <x:c r="D318" s="6" t="str">
        <x:v>ADMIN MODE</x:v>
      </x:c>
      <x:c r="E318" s="6" t="str">
        <x:v>commercial_strategy</x:v>
      </x:c>
      <x:c r="F318" s="6" t="str">
        <x:v>clone configuration</x:v>
      </x:c>
      <x:c r="G318" s="6" t="str">
        <x:v>commercial_strategy.admin.configure</x:v>
      </x:c>
      <x:c r="H318" s="6" t="str">
        <x:v>LIVE_ROUTER_REGISTERED</x:v>
      </x:c>
      <x:c r="I318" s="6" t="str">
        <x:v>frontend/src/features/commercial-strategy/api.ts</x:v>
      </x:c>
      <x:c r="J318" s="6" t="str">
        <x:v>NOT_EXECUTED_BY_INVENTORY. SOURCE_LITERAL_OR_TRANSITIVE_HELPER_UNION</x:v>
      </x:c>
    </x:row>
    <x:row r="319" ht="42" customHeight="1">
      <x:c r="A319" s="15" t="str">
        <x:v>API-115</x:v>
      </x:c>
      <x:c r="B319" s="13" t="str">
        <x:v>POST</x:v>
      </x:c>
      <x:c r="C319" s="13" t="str">
        <x:v>/api/v1/commercial-strategies/admin/configurations/{configuration_id}/publish</x:v>
      </x:c>
      <x:c r="D319" s="13" t="str">
        <x:v>ADMIN MODE</x:v>
      </x:c>
      <x:c r="E319" s="13" t="str">
        <x:v>commercial_strategy</x:v>
      </x:c>
      <x:c r="F319" s="13" t="str">
        <x:v>publish configuration</x:v>
      </x:c>
      <x:c r="G319" s="13" t="str">
        <x:v>commercial_strategy.admin.publish</x:v>
      </x:c>
      <x:c r="H319" s="13" t="str">
        <x:v>LIVE_ROUTER_REGISTERED</x:v>
      </x:c>
      <x:c r="I319" s="13" t="str">
        <x:v>frontend/src/features/commercial-strategy/api.ts</x:v>
      </x:c>
      <x:c r="J319" s="13" t="str">
        <x:v>NOT_EXECUTED_BY_INVENTORY. SOURCE_LITERAL_OR_TRANSITIVE_HELPER_UNION</x:v>
      </x:c>
    </x:row>
    <x:row r="320" ht="42" customHeight="1">
      <x:c r="A320" s="14" t="str">
        <x:v>API-116</x:v>
      </x:c>
      <x:c r="B320" s="6" t="str">
        <x:v>GET</x:v>
      </x:c>
      <x:c r="C320" s="6" t="str">
        <x:v>/api/v1/commercial-strategies/options</x:v>
      </x:c>
      <x:c r="D320" s="6" t="str">
        <x:v>READ-ONLY SHARED CONTEXT</x:v>
      </x:c>
      <x:c r="E320" s="6" t="str">
        <x:v>commercial_strategy</x:v>
      </x:c>
      <x:c r="F320" s="6" t="str">
        <x:v>options</x:v>
      </x:c>
      <x:c r="G320" s="6" t="str">
        <x:v>commercial_strategy.read</x:v>
      </x:c>
      <x:c r="H320" s="6" t="str">
        <x:v>LIVE_ROUTER_REGISTERED</x:v>
      </x:c>
      <x:c r="I320" s="6" t="str">
        <x:v>NO_DIRECT_LITERAL_MATCH_NOT_PROOF_UNUSED</x:v>
      </x:c>
      <x:c r="J320" s="6" t="str">
        <x:v>NOT_EXECUTED_BY_INVENTORY. SOURCE_LITERAL_OR_TRANSITIVE_HELPER_UNION</x:v>
      </x:c>
    </x:row>
    <x:row r="321" ht="42" customHeight="1">
      <x:c r="A321" s="15" t="str">
        <x:v>API-117</x:v>
      </x:c>
      <x:c r="B321" s="13" t="str">
        <x:v>GET</x:v>
      </x:c>
      <x:c r="C321" s="13" t="str">
        <x:v>/api/v1/commercial-strategies/{strategy_id}</x:v>
      </x:c>
      <x:c r="D321" s="13" t="str">
        <x:v>READ-ONLY SHARED CONTEXT</x:v>
      </x:c>
      <x:c r="E321" s="13" t="str">
        <x:v>commercial_strategy</x:v>
      </x:c>
      <x:c r="F321" s="13" t="str">
        <x:v>get strategy</x:v>
      </x:c>
      <x:c r="G321" s="13" t="str">
        <x:v>commercial_strategy.read</x:v>
      </x:c>
      <x:c r="H321" s="13" t="str">
        <x:v>LIVE_ROUTER_REGISTERED</x:v>
      </x:c>
      <x:c r="I321" s="13" t="str">
        <x:v>frontend/src/features/commercial-strategy/api.ts</x:v>
      </x:c>
      <x:c r="J321" s="13" t="str">
        <x:v>NOT_EXECUTED_BY_INVENTORY. SOURCE_LITERAL_OR_TRANSITIVE_HELPER_UNION</x:v>
      </x:c>
    </x:row>
    <x:row r="322" ht="42" customHeight="1">
      <x:c r="A322" s="14" t="str">
        <x:v>API-118</x:v>
      </x:c>
      <x:c r="B322" s="6" t="str">
        <x:v>GET</x:v>
      </x:c>
      <x:c r="C322" s="6" t="str">
        <x:v>/api/v1/commercial-strategies/{strategy_id}/history</x:v>
      </x:c>
      <x:c r="D322" s="6" t="str">
        <x:v>READ-ONLY SHARED CONTEXT</x:v>
      </x:c>
      <x:c r="E322" s="6" t="str">
        <x:v>commercial_strategy</x:v>
      </x:c>
      <x:c r="F322" s="6" t="str">
        <x:v>history</x:v>
      </x:c>
      <x:c r="G322" s="6" t="str">
        <x:v>commercial_strategy.read</x:v>
      </x:c>
      <x:c r="H322" s="6" t="str">
        <x:v>LIVE_ROUTER_REGISTERED</x:v>
      </x:c>
      <x:c r="I322" s="6" t="str">
        <x:v>frontend/src/features/commercial-strategy/api.ts</x:v>
      </x:c>
      <x:c r="J322" s="6" t="str">
        <x:v>NOT_EXECUTED_BY_INVENTORY. SOURCE_LITERAL_OR_TRANSITIVE_HELPER_UNION</x:v>
      </x:c>
    </x:row>
    <x:row r="323" ht="42" customHeight="1">
      <x:c r="A323" s="15" t="str">
        <x:v>API-119</x:v>
      </x:c>
      <x:c r="B323" s="13" t="str">
        <x:v>POST</x:v>
      </x:c>
      <x:c r="C323" s="13" t="str">
        <x:v>/api/v1/commercial-strategies/{strategy_id}/new-revision</x:v>
      </x:c>
      <x:c r="D323" s="13" t="str">
        <x:v>USER MODE</x:v>
      </x:c>
      <x:c r="E323" s="13" t="str">
        <x:v>commercial_strategy</x:v>
      </x:c>
      <x:c r="F323" s="13" t="str">
        <x:v>new revision</x:v>
      </x:c>
      <x:c r="G323" s="13" t="str">
        <x:v>commercial_strategy.create_revision</x:v>
      </x:c>
      <x:c r="H323" s="13" t="str">
        <x:v>LIVE_ROUTER_REGISTERED</x:v>
      </x:c>
      <x:c r="I323" s="13" t="str">
        <x:v>frontend/src/features/commercial-strategy/api.ts</x:v>
      </x:c>
      <x:c r="J323" s="13" t="str">
        <x:v>NOT_EXECUTED_BY_INVENTORY. SOURCE_LITERAL_OR_TRANSITIVE_HELPER_UNION</x:v>
      </x:c>
    </x:row>
    <x:row r="324" ht="42" customHeight="1">
      <x:c r="A324" s="14" t="str">
        <x:v>API-120</x:v>
      </x:c>
      <x:c r="B324" s="6" t="str">
        <x:v>GET</x:v>
      </x:c>
      <x:c r="C324" s="6" t="str">
        <x:v>/api/v1/commercial-strategies/{strategy_id}/readiness</x:v>
      </x:c>
      <x:c r="D324" s="6" t="str">
        <x:v>READ-ONLY SHARED CONTEXT</x:v>
      </x:c>
      <x:c r="E324" s="6" t="str">
        <x:v>commercial_strategy</x:v>
      </x:c>
      <x:c r="F324" s="6" t="str">
        <x:v>readiness</x:v>
      </x:c>
      <x:c r="G324" s="6" t="str">
        <x:v>commercial_strategy.read</x:v>
      </x:c>
      <x:c r="H324" s="6" t="str">
        <x:v>LIVE_ROUTER_REGISTERED</x:v>
      </x:c>
      <x:c r="I324" s="6" t="str">
        <x:v>frontend/src/features/commercial-strategy/api.ts</x:v>
      </x:c>
      <x:c r="J324" s="6" t="str">
        <x:v>NOT_EXECUTED_BY_INVENTORY. SOURCE_LITERAL_OR_TRANSITIVE_HELPER_UNION</x:v>
      </x:c>
    </x:row>
    <x:row r="325" ht="42" customHeight="1">
      <x:c r="A325" s="15" t="str">
        <x:v>API-121</x:v>
      </x:c>
      <x:c r="B325" s="13" t="str">
        <x:v>POST</x:v>
      </x:c>
      <x:c r="C325" s="13" t="str">
        <x:v>/api/v1/commercial-strategies/{strategy_id}/refresh-apply</x:v>
      </x:c>
      <x:c r="D325" s="13" t="str">
        <x:v>USER MODE</x:v>
      </x:c>
      <x:c r="E325" s="13" t="str">
        <x:v>commercial_strategy</x:v>
      </x:c>
      <x:c r="F325" s="13" t="str">
        <x:v>refresh apply</x:v>
      </x:c>
      <x:c r="G325" s="13" t="str">
        <x:v>commercial_strategy.refresh</x:v>
      </x:c>
      <x:c r="H325" s="13" t="str">
        <x:v>LIVE_ROUTER_REGISTERED</x:v>
      </x:c>
      <x:c r="I325" s="13" t="str">
        <x:v>frontend/src/features/commercial-strategy/api.ts</x:v>
      </x:c>
      <x:c r="J325" s="13" t="str">
        <x:v>NOT_EXECUTED_BY_INVENTORY. SOURCE_LITERAL_OR_TRANSITIVE_HELPER_UNION</x:v>
      </x:c>
    </x:row>
    <x:row r="326" ht="42" customHeight="1">
      <x:c r="A326" s="14" t="str">
        <x:v>API-122</x:v>
      </x:c>
      <x:c r="B326" s="6" t="str">
        <x:v>POST</x:v>
      </x:c>
      <x:c r="C326" s="6" t="str">
        <x:v>/api/v1/commercial-strategies/{strategy_id}/refresh-preview</x:v>
      </x:c>
      <x:c r="D326" s="6" t="str">
        <x:v>USER MODE</x:v>
      </x:c>
      <x:c r="E326" s="6" t="str">
        <x:v>commercial_strategy</x:v>
      </x:c>
      <x:c r="F326" s="6" t="str">
        <x:v>refresh preview</x:v>
      </x:c>
      <x:c r="G326" s="6" t="str">
        <x:v>commercial_strategy.refresh</x:v>
      </x:c>
      <x:c r="H326" s="6" t="str">
        <x:v>LIVE_ROUTER_REGISTERED</x:v>
      </x:c>
      <x:c r="I326" s="6" t="str">
        <x:v>frontend/src/features/commercial-strategy/api.ts</x:v>
      </x:c>
      <x:c r="J326" s="6" t="str">
        <x:v>NOT_EXECUTED_BY_INVENTORY. SOURCE_LITERAL_OR_TRANSITIVE_HELPER_UNION</x:v>
      </x:c>
    </x:row>
    <x:row r="327" ht="42" customHeight="1">
      <x:c r="A327" s="15" t="str">
        <x:v>API-123</x:v>
      </x:c>
      <x:c r="B327" s="13" t="str">
        <x:v>PUT</x:v>
      </x:c>
      <x:c r="C327" s="13" t="str">
        <x:v>/api/v1/commercial-strategies/{strategy_id}/versions/{version_id}</x:v>
      </x:c>
      <x:c r="D327" s="13" t="str">
        <x:v>USER MODE</x:v>
      </x:c>
      <x:c r="E327" s="13" t="str">
        <x:v>commercial_strategy</x:v>
      </x:c>
      <x:c r="F327" s="13" t="str">
        <x:v>update version</x:v>
      </x:c>
      <x:c r="G327" s="13" t="str">
        <x:v>commercial_strategy.edit</x:v>
      </x:c>
      <x:c r="H327" s="13" t="str">
        <x:v>LIVE_ROUTER_REGISTERED</x:v>
      </x:c>
      <x:c r="I327" s="13" t="str">
        <x:v>frontend/src/features/commercial-strategy/api.ts</x:v>
      </x:c>
      <x:c r="J327" s="13" t="str">
        <x:v>NOT_EXECUTED_BY_INVENTORY. SOURCE_LITERAL_OR_TRANSITIVE_HELPER_UNION</x:v>
      </x:c>
    </x:row>
    <x:row r="328" ht="42" customHeight="1">
      <x:c r="A328" s="14" t="str">
        <x:v>API-124</x:v>
      </x:c>
      <x:c r="B328" s="6" t="str">
        <x:v>POST</x:v>
      </x:c>
      <x:c r="C328" s="6" t="str">
        <x:v>/api/v1/commercial-strategies/{strategy_id}/versions/{version_id}/return</x:v>
      </x:c>
      <x:c r="D328" s="6" t="str">
        <x:v>USER MODE</x:v>
      </x:c>
      <x:c r="E328" s="6" t="str">
        <x:v>commercial_strategy</x:v>
      </x:c>
      <x:c r="F328" s="6" t="str">
        <x:v>return version</x:v>
      </x:c>
      <x:c r="G328" s="6" t="str">
        <x:v>commercial_strategy.review</x:v>
      </x:c>
      <x:c r="H328" s="6" t="str">
        <x:v>LIVE_ROUTER_REGISTERED</x:v>
      </x:c>
      <x:c r="I328" s="6" t="str">
        <x:v>NO_DIRECT_LITERAL_MATCH_NOT_PROOF_UNUSED</x:v>
      </x:c>
      <x:c r="J328" s="6" t="str">
        <x:v>NOT_EXECUTED_BY_INVENTORY. SOURCE_LITERAL_OR_TRANSITIVE_HELPER_UNION</x:v>
      </x:c>
    </x:row>
    <x:row r="329" ht="42" customHeight="1">
      <x:c r="A329" s="15" t="str">
        <x:v>API-125</x:v>
      </x:c>
      <x:c r="B329" s="13" t="str">
        <x:v>POST</x:v>
      </x:c>
      <x:c r="C329" s="13" t="str">
        <x:v>/api/v1/commercial-strategies/{strategy_id}/versions/{version_id}/void</x:v>
      </x:c>
      <x:c r="D329" s="13" t="str">
        <x:v>USER MODE</x:v>
      </x:c>
      <x:c r="E329" s="13" t="str">
        <x:v>commercial_strategy</x:v>
      </x:c>
      <x:c r="F329" s="13" t="str">
        <x:v>void version</x:v>
      </x:c>
      <x:c r="G329" s="13" t="str">
        <x:v>commercial_strategy.edit</x:v>
      </x:c>
      <x:c r="H329" s="13" t="str">
        <x:v>LIVE_ROUTER_REGISTERED</x:v>
      </x:c>
      <x:c r="I329" s="13" t="str">
        <x:v>NO_DIRECT_LITERAL_MATCH_NOT_PROOF_UNUSED</x:v>
      </x:c>
      <x:c r="J329" s="13" t="str">
        <x:v>NOT_EXECUTED_BY_INVENTORY. SOURCE_LITERAL_OR_TRANSITIVE_HELPER_UNION</x:v>
      </x:c>
    </x:row>
    <x:row r="330" ht="42" customHeight="1">
      <x:c r="A330" s="14" t="str">
        <x:v>API-126</x:v>
      </x:c>
      <x:c r="B330" s="6" t="str">
        <x:v>GET</x:v>
      </x:c>
      <x:c r="C330" s="6" t="str">
        <x:v>/api/v1/projects/{project_id}/commercial-readiness-evidence</x:v>
      </x:c>
      <x:c r="D330" s="6" t="str">
        <x:v>READ-ONLY SHARED CONTEXT</x:v>
      </x:c>
      <x:c r="E330" s="6" t="str">
        <x:v>commercial_strategy</x:v>
      </x:c>
      <x:c r="F330" s="6" t="str">
        <x:v>project commercial evidence</x:v>
      </x:c>
      <x:c r="G330" s="6" t="str">
        <x:v>commercial_strategy.read</x:v>
      </x:c>
      <x:c r="H330" s="6" t="str">
        <x:v>LIVE_ROUTER_REGISTERED</x:v>
      </x:c>
      <x:c r="I330" s="6" t="str">
        <x:v>frontend/src/features/commercial-strategy/api.ts</x:v>
      </x:c>
      <x:c r="J330" s="6" t="str">
        <x:v>NOT_EXECUTED_BY_INVENTORY. SOURCE_LITERAL_OR_TRANSITIVE_HELPER_UNION</x:v>
      </x:c>
    </x:row>
    <x:row r="331" ht="42" customHeight="1">
      <x:c r="A331" s="15" t="str">
        <x:v>API-127</x:v>
      </x:c>
      <x:c r="B331" s="13" t="str">
        <x:v>GET</x:v>
      </x:c>
      <x:c r="C331" s="13" t="str">
        <x:v>/api/v1/projects/{project_id}/commercial-strategy</x:v>
      </x:c>
      <x:c r="D331" s="13" t="str">
        <x:v>READ-ONLY SHARED CONTEXT</x:v>
      </x:c>
      <x:c r="E331" s="13" t="str">
        <x:v>commercial_strategy</x:v>
      </x:c>
      <x:c r="F331" s="13" t="str">
        <x:v>project strategy</x:v>
      </x:c>
      <x:c r="G331" s="13" t="str">
        <x:v>commercial_strategy.read</x:v>
      </x:c>
      <x:c r="H331" s="13" t="str">
        <x:v>LIVE_ROUTER_REGISTERED</x:v>
      </x:c>
      <x:c r="I331" s="13" t="str">
        <x:v>frontend/src/features/commercial-strategy/api.ts</x:v>
      </x:c>
      <x:c r="J331" s="13" t="str">
        <x:v>NOT_EXECUTED_BY_INVENTORY. SOURCE_LITERAL_OR_TRANSITIVE_HELPER_UNION</x:v>
      </x:c>
    </x:row>
    <x:row r="332" ht="42" customHeight="1">
      <x:c r="A332" s="14" t="str">
        <x:v>API-128</x:v>
      </x:c>
      <x:c r="B332" s="6" t="str">
        <x:v>GET</x:v>
      </x:c>
      <x:c r="C332" s="6" t="str">
        <x:v>/api/v1/economic-financial-model-versions/{version_id}</x:v>
      </x:c>
      <x:c r="D332" s="6" t="str">
        <x:v>READ-ONLY SHARED CONTEXT</x:v>
      </x:c>
      <x:c r="E332" s="6" t="str">
        <x:v>economic_financial_model</x:v>
      </x:c>
      <x:c r="F332" s="6" t="str">
        <x:v>version</x:v>
      </x:c>
      <x:c r="G332" s="6" t="str">
        <x:v>economic_financial_model.read</x:v>
      </x:c>
      <x:c r="H332" s="6" t="str">
        <x:v>LIVE_ROUTER_REGISTERED</x:v>
      </x:c>
      <x:c r="I332" s="6" t="str">
        <x:v>NO_DIRECT_LITERAL_MATCH_NOT_PROOF_UNUSED</x:v>
      </x:c>
      <x:c r="J332" s="6" t="str">
        <x:v>NOT_EXECUTED_BY_INVENTORY. SOURCE_LITERAL_OR_TRANSITIVE_HELPER_UNION</x:v>
      </x:c>
    </x:row>
    <x:row r="333" ht="42" customHeight="1">
      <x:c r="A333" s="15" t="str">
        <x:v>API-129</x:v>
      </x:c>
      <x:c r="B333" s="13" t="str">
        <x:v>PUT</x:v>
      </x:c>
      <x:c r="C333" s="13" t="str">
        <x:v>/api/v1/economic-financial-model-versions/{version_id}</x:v>
      </x:c>
      <x:c r="D333" s="13" t="str">
        <x:v>USER MODE</x:v>
      </x:c>
      <x:c r="E333" s="13" t="str">
        <x:v>economic_financial_model</x:v>
      </x:c>
      <x:c r="F333" s="13" t="str">
        <x:v>update version</x:v>
      </x:c>
      <x:c r="G333" s="13" t="str">
        <x:v>economic_financial_model.edit</x:v>
      </x:c>
      <x:c r="H333" s="13" t="str">
        <x:v>LIVE_ROUTER_REGISTERED</x:v>
      </x:c>
      <x:c r="I333" s="13" t="str">
        <x:v>NO_DIRECT_LITERAL_MATCH_NOT_PROOF_UNUSED</x:v>
      </x:c>
      <x:c r="J333" s="13" t="str">
        <x:v>NOT_EXECUTED_BY_INVENTORY. SOURCE_LITERAL_OR_TRANSITIVE_HELPER_UNION</x:v>
      </x:c>
    </x:row>
    <x:row r="334" ht="42" customHeight="1">
      <x:c r="A334" s="14" t="str">
        <x:v>API-130</x:v>
      </x:c>
      <x:c r="B334" s="6" t="str">
        <x:v>GET</x:v>
      </x:c>
      <x:c r="C334" s="6" t="str">
        <x:v>/api/v1/economic-financial-model-versions/{version_id}/assumptions</x:v>
      </x:c>
      <x:c r="D334" s="6" t="str">
        <x:v>READ-ONLY SHARED CONTEXT</x:v>
      </x:c>
      <x:c r="E334" s="6" t="str">
        <x:v>economic_financial_model</x:v>
      </x:c>
      <x:c r="F334" s="6" t="str">
        <x:v>assumptions</x:v>
      </x:c>
      <x:c r="G334" s="6" t="str">
        <x:v>economic_financial_model.read</x:v>
      </x:c>
      <x:c r="H334" s="6" t="str">
        <x:v>LIVE_ROUTER_REGISTERED</x:v>
      </x:c>
      <x:c r="I334" s="6" t="str">
        <x:v>frontend/src/features/economic-financial-model/api.ts</x:v>
      </x:c>
      <x:c r="J334" s="6" t="str">
        <x:v>NOT_EXECUTED_BY_INVENTORY. SOURCE_LITERAL_OR_TRANSITIVE_HELPER_UNION</x:v>
      </x:c>
    </x:row>
    <x:row r="335" ht="42" customHeight="1">
      <x:c r="A335" s="15" t="str">
        <x:v>API-131</x:v>
      </x:c>
      <x:c r="B335" s="13" t="str">
        <x:v>PUT</x:v>
      </x:c>
      <x:c r="C335" s="13" t="str">
        <x:v>/api/v1/economic-financial-model-versions/{version_id}/assumptions</x:v>
      </x:c>
      <x:c r="D335" s="13" t="str">
        <x:v>USER MODE</x:v>
      </x:c>
      <x:c r="E335" s="13" t="str">
        <x:v>economic_financial_model</x:v>
      </x:c>
      <x:c r="F335" s="13" t="str">
        <x:v>upsert assumption</x:v>
      </x:c>
      <x:c r="G335" s="13" t="str">
        <x:v>economic_financial_model.edit</x:v>
      </x:c>
      <x:c r="H335" s="13" t="str">
        <x:v>LIVE_ROUTER_REGISTERED</x:v>
      </x:c>
      <x:c r="I335" s="13" t="str">
        <x:v>frontend/src/features/economic-financial-model/api.ts</x:v>
      </x:c>
      <x:c r="J335" s="13" t="str">
        <x:v>NOT_EXECUTED_BY_INVENTORY. SOURCE_LITERAL_OR_TRANSITIVE_HELPER_UNION</x:v>
      </x:c>
    </x:row>
    <x:row r="336" ht="42" customHeight="1">
      <x:c r="A336" s="14" t="str">
        <x:v>API-132</x:v>
      </x:c>
      <x:c r="B336" s="6" t="str">
        <x:v>POST</x:v>
      </x:c>
      <x:c r="C336" s="6" t="str">
        <x:v>/api/v1/economic-financial-model-versions/{version_id}/calculate</x:v>
      </x:c>
      <x:c r="D336" s="6" t="str">
        <x:v>USER MODE</x:v>
      </x:c>
      <x:c r="E336" s="6" t="str">
        <x:v>economic_financial_model</x:v>
      </x:c>
      <x:c r="F336" s="6" t="str">
        <x:v>calculate</x:v>
      </x:c>
      <x:c r="G336" s="6" t="str">
        <x:v>economic_financial_model.calculate</x:v>
      </x:c>
      <x:c r="H336" s="6" t="str">
        <x:v>LIVE_ROUTER_REGISTERED</x:v>
      </x:c>
      <x:c r="I336" s="6" t="str">
        <x:v>frontend/src/features/economic-financial-model/api.ts</x:v>
      </x:c>
      <x:c r="J336" s="6" t="str">
        <x:v>NOT_EXECUTED_BY_INVENTORY. SOURCE_LITERAL_OR_TRANSITIVE_HELPER_UNION</x:v>
      </x:c>
    </x:row>
    <x:row r="337" ht="42" customHeight="1">
      <x:c r="A337" s="15" t="str">
        <x:v>API-133</x:v>
      </x:c>
      <x:c r="B337" s="13" t="str">
        <x:v>GET</x:v>
      </x:c>
      <x:c r="C337" s="13" t="str">
        <x:v>/api/v1/economic-financial-model-versions/{version_id}/cash-flows</x:v>
      </x:c>
      <x:c r="D337" s="13" t="str">
        <x:v>READ-ONLY SHARED CONTEXT</x:v>
      </x:c>
      <x:c r="E337" s="13" t="str">
        <x:v>economic_financial_model</x:v>
      </x:c>
      <x:c r="F337" s="13" t="str">
        <x:v>cash flows</x:v>
      </x:c>
      <x:c r="G337" s="13" t="str">
        <x:v>economic_financial_model.read</x:v>
      </x:c>
      <x:c r="H337" s="13" t="str">
        <x:v>LIVE_ROUTER_REGISTERED</x:v>
      </x:c>
      <x:c r="I337" s="13" t="str">
        <x:v>frontend/src/features/economic-financial-model/api.ts</x:v>
      </x:c>
      <x:c r="J337" s="13" t="str">
        <x:v>NOT_EXECUTED_BY_INVENTORY. SOURCE_LITERAL_OR_TRANSITIVE_HELPER_UNION</x:v>
      </x:c>
    </x:row>
    <x:row r="338" ht="42" customHeight="1">
      <x:c r="A338" s="14" t="str">
        <x:v>API-134</x:v>
      </x:c>
      <x:c r="B338" s="6" t="str">
        <x:v>POST</x:v>
      </x:c>
      <x:c r="C338" s="6" t="str">
        <x:v>/api/v1/economic-financial-model-versions/{version_id}/complete</x:v>
      </x:c>
      <x:c r="D338" s="6" t="str">
        <x:v>USER MODE</x:v>
      </x:c>
      <x:c r="E338" s="6" t="str">
        <x:v>economic_financial_model</x:v>
      </x:c>
      <x:c r="F338" s="6" t="str">
        <x:v>complete</x:v>
      </x:c>
      <x:c r="G338" s="6" t="str">
        <x:v>economic_financial_model.complete</x:v>
      </x:c>
      <x:c r="H338" s="6" t="str">
        <x:v>LIVE_ROUTER_REGISTERED</x:v>
      </x:c>
      <x:c r="I338" s="6" t="str">
        <x:v>frontend/src/features/economic-financial-model/api.ts</x:v>
      </x:c>
      <x:c r="J338" s="6" t="str">
        <x:v>NOT_EXECUTED_BY_INVENTORY. SOURCE_LITERAL_OR_TRANSITIVE_HELPER_UNION</x:v>
      </x:c>
    </x:row>
    <x:row r="339" ht="42" customHeight="1">
      <x:c r="A339" s="15" t="str">
        <x:v>API-135</x:v>
      </x:c>
      <x:c r="B339" s="13" t="str">
        <x:v>GET</x:v>
      </x:c>
      <x:c r="C339" s="13" t="str">
        <x:v>/api/v1/economic-financial-model-versions/{version_id}/financing-instruments</x:v>
      </x:c>
      <x:c r="D339" s="13" t="str">
        <x:v>READ-ONLY SHARED CONTEXT</x:v>
      </x:c>
      <x:c r="E339" s="13" t="str">
        <x:v>economic_financial_model</x:v>
      </x:c>
      <x:c r="F339" s="13" t="str">
        <x:v>instruments</x:v>
      </x:c>
      <x:c r="G339" s="13" t="str">
        <x:v>economic_financial_model.read</x:v>
      </x:c>
      <x:c r="H339" s="13" t="str">
        <x:v>LIVE_ROUTER_REGISTERED</x:v>
      </x:c>
      <x:c r="I339" s="13" t="str">
        <x:v>frontend/src/features/economic-financial-model/api.ts</x:v>
      </x:c>
      <x:c r="J339" s="13" t="str">
        <x:v>NOT_EXECUTED_BY_INVENTORY. SOURCE_LITERAL_OR_TRANSITIVE_HELPER_UNION</x:v>
      </x:c>
    </x:row>
    <x:row r="340" ht="42" customHeight="1">
      <x:c r="A340" s="14" t="str">
        <x:v>API-136</x:v>
      </x:c>
      <x:c r="B340" s="6" t="str">
        <x:v>POST</x:v>
      </x:c>
      <x:c r="C340" s="6" t="str">
        <x:v>/api/v1/economic-financial-model-versions/{version_id}/financing-instruments</x:v>
      </x:c>
      <x:c r="D340" s="6" t="str">
        <x:v>USER MODE</x:v>
      </x:c>
      <x:c r="E340" s="6" t="str">
        <x:v>economic_financial_model</x:v>
      </x:c>
      <x:c r="F340" s="6" t="str">
        <x:v>create instrument</x:v>
      </x:c>
      <x:c r="G340" s="6" t="str">
        <x:v>economic_financial_model.edit</x:v>
      </x:c>
      <x:c r="H340" s="6" t="str">
        <x:v>LIVE_ROUTER_REGISTERED</x:v>
      </x:c>
      <x:c r="I340" s="6" t="str">
        <x:v>frontend/src/features/economic-financial-model/api.ts</x:v>
      </x:c>
      <x:c r="J340" s="6" t="str">
        <x:v>NOT_EXECUTED_BY_INVENTORY. SOURCE_LITERAL_OR_TRANSITIVE_HELPER_UNION</x:v>
      </x:c>
    </x:row>
    <x:row r="341" ht="42" customHeight="1">
      <x:c r="A341" s="15" t="str">
        <x:v>API-137</x:v>
      </x:c>
      <x:c r="B341" s="13" t="str">
        <x:v>GET</x:v>
      </x:c>
      <x:c r="C341" s="13" t="str">
        <x:v>/api/v1/economic-financial-model-versions/{version_id}/investors</x:v>
      </x:c>
      <x:c r="D341" s="13" t="str">
        <x:v>READ-ONLY SHARED CONTEXT</x:v>
      </x:c>
      <x:c r="E341" s="13" t="str">
        <x:v>economic_financial_model</x:v>
      </x:c>
      <x:c r="F341" s="13" t="str">
        <x:v>investors</x:v>
      </x:c>
      <x:c r="G341" s="13" t="str">
        <x:v>economic_financial_model.read</x:v>
      </x:c>
      <x:c r="H341" s="13" t="str">
        <x:v>LIVE_ROUTER_REGISTERED</x:v>
      </x:c>
      <x:c r="I341" s="13" t="str">
        <x:v>frontend/src/features/economic-financial-model/api.ts</x:v>
      </x:c>
      <x:c r="J341" s="13" t="str">
        <x:v>NOT_EXECUTED_BY_INVENTORY. SOURCE_LITERAL_OR_TRANSITIVE_HELPER_UNION</x:v>
      </x:c>
    </x:row>
    <x:row r="342" ht="42" customHeight="1">
      <x:c r="A342" s="14" t="str">
        <x:v>API-138</x:v>
      </x:c>
      <x:c r="B342" s="6" t="str">
        <x:v>POST</x:v>
      </x:c>
      <x:c r="C342" s="6" t="str">
        <x:v>/api/v1/economic-financial-model-versions/{version_id}/investors</x:v>
      </x:c>
      <x:c r="D342" s="6" t="str">
        <x:v>USER MODE</x:v>
      </x:c>
      <x:c r="E342" s="6" t="str">
        <x:v>economic_financial_model</x:v>
      </x:c>
      <x:c r="F342" s="6" t="str">
        <x:v>create investor</x:v>
      </x:c>
      <x:c r="G342" s="6" t="str">
        <x:v>economic_financial_model.edit</x:v>
      </x:c>
      <x:c r="H342" s="6" t="str">
        <x:v>LIVE_ROUTER_REGISTERED</x:v>
      </x:c>
      <x:c r="I342" s="6" t="str">
        <x:v>frontend/src/features/economic-financial-model/api.ts</x:v>
      </x:c>
      <x:c r="J342" s="6" t="str">
        <x:v>NOT_EXECUTED_BY_INVENTORY. SOURCE_LITERAL_OR_TRANSITIVE_HELPER_UNION</x:v>
      </x:c>
    </x:row>
    <x:row r="343" ht="42" customHeight="1">
      <x:c r="A343" s="15" t="str">
        <x:v>API-139</x:v>
      </x:c>
      <x:c r="B343" s="13" t="str">
        <x:v>GET</x:v>
      </x:c>
      <x:c r="C343" s="13" t="str">
        <x:v>/api/v1/economic-financial-model-versions/{version_id}/metrics</x:v>
      </x:c>
      <x:c r="D343" s="13" t="str">
        <x:v>READ-ONLY SHARED CONTEXT</x:v>
      </x:c>
      <x:c r="E343" s="13" t="str">
        <x:v>economic_financial_model</x:v>
      </x:c>
      <x:c r="F343" s="13" t="str">
        <x:v>metrics</x:v>
      </x:c>
      <x:c r="G343" s="13" t="str">
        <x:v>economic_financial_model.read</x:v>
      </x:c>
      <x:c r="H343" s="13" t="str">
        <x:v>LIVE_ROUTER_REGISTERED</x:v>
      </x:c>
      <x:c r="I343" s="13" t="str">
        <x:v>frontend/src/features/economic-financial-model/api.ts</x:v>
      </x:c>
      <x:c r="J343" s="13" t="str">
        <x:v>NOT_EXECUTED_BY_INVENTORY. SOURCE_LITERAL_OR_TRANSITIVE_HELPER_UNION</x:v>
      </x:c>
    </x:row>
    <x:row r="344" ht="42" customHeight="1">
      <x:c r="A344" s="14" t="str">
        <x:v>API-140</x:v>
      </x:c>
      <x:c r="B344" s="6" t="str">
        <x:v>GET</x:v>
      </x:c>
      <x:c r="C344" s="6" t="str">
        <x:v>/api/v1/economic-financial-model-versions/{version_id}/periods</x:v>
      </x:c>
      <x:c r="D344" s="6" t="str">
        <x:v>READ-ONLY SHARED CONTEXT</x:v>
      </x:c>
      <x:c r="E344" s="6" t="str">
        <x:v>economic_financial_model</x:v>
      </x:c>
      <x:c r="F344" s="6" t="str">
        <x:v>periods</x:v>
      </x:c>
      <x:c r="G344" s="6" t="str">
        <x:v>economic_financial_model.read</x:v>
      </x:c>
      <x:c r="H344" s="6" t="str">
        <x:v>LIVE_ROUTER_REGISTERED</x:v>
      </x:c>
      <x:c r="I344" s="6" t="str">
        <x:v>frontend/src/features/economic-financial-model/api.ts</x:v>
      </x:c>
      <x:c r="J344" s="6" t="str">
        <x:v>NOT_EXECUTED_BY_INVENTORY. SOURCE_LITERAL_OR_TRANSITIVE_HELPER_UNION</x:v>
      </x:c>
    </x:row>
    <x:row r="345" ht="42" customHeight="1">
      <x:c r="A345" s="15" t="str">
        <x:v>API-141</x:v>
      </x:c>
      <x:c r="B345" s="13" t="str">
        <x:v>PUT</x:v>
      </x:c>
      <x:c r="C345" s="13" t="str">
        <x:v>/api/v1/economic-financial-model-versions/{version_id}/periods</x:v>
      </x:c>
      <x:c r="D345" s="13" t="str">
        <x:v>USER MODE</x:v>
      </x:c>
      <x:c r="E345" s="13" t="str">
        <x:v>economic_financial_model</x:v>
      </x:c>
      <x:c r="F345" s="13" t="str">
        <x:v>upsert period</x:v>
      </x:c>
      <x:c r="G345" s="13" t="str">
        <x:v>economic_financial_model.edit</x:v>
      </x:c>
      <x:c r="H345" s="13" t="str">
        <x:v>LIVE_ROUTER_REGISTERED</x:v>
      </x:c>
      <x:c r="I345" s="13" t="str">
        <x:v>frontend/src/features/economic-financial-model/api.ts</x:v>
      </x:c>
      <x:c r="J345" s="13" t="str">
        <x:v>NOT_EXECUTED_BY_INVENTORY. SOURCE_LITERAL_OR_TRANSITIVE_HELPER_UNION</x:v>
      </x:c>
    </x:row>
    <x:row r="346" ht="42" customHeight="1">
      <x:c r="A346" s="14" t="str">
        <x:v>API-142</x:v>
      </x:c>
      <x:c r="B346" s="6" t="str">
        <x:v>GET</x:v>
      </x:c>
      <x:c r="C346" s="6" t="str">
        <x:v>/api/v1/economic-financial-model-versions/{version_id}/scenarios</x:v>
      </x:c>
      <x:c r="D346" s="6" t="str">
        <x:v>READ-ONLY SHARED CONTEXT</x:v>
      </x:c>
      <x:c r="E346" s="6" t="str">
        <x:v>economic_financial_model</x:v>
      </x:c>
      <x:c r="F346" s="6" t="str">
        <x:v>scenarios</x:v>
      </x:c>
      <x:c r="G346" s="6" t="str">
        <x:v>economic_financial_model.read</x:v>
      </x:c>
      <x:c r="H346" s="6" t="str">
        <x:v>LIVE_ROUTER_REGISTERED</x:v>
      </x:c>
      <x:c r="I346" s="6" t="str">
        <x:v>frontend/src/features/economic-financial-model/api.ts</x:v>
      </x:c>
      <x:c r="J346" s="6" t="str">
        <x:v>NOT_EXECUTED_BY_INVENTORY. SOURCE_LITERAL_OR_TRANSITIVE_HELPER_UNION</x:v>
      </x:c>
    </x:row>
    <x:row r="347" ht="42" customHeight="1">
      <x:c r="A347" s="15" t="str">
        <x:v>API-143</x:v>
      </x:c>
      <x:c r="B347" s="13" t="str">
        <x:v>POST</x:v>
      </x:c>
      <x:c r="C347" s="13" t="str">
        <x:v>/api/v1/economic-financial-model-versions/{version_id}/scenarios</x:v>
      </x:c>
      <x:c r="D347" s="13" t="str">
        <x:v>USER MODE</x:v>
      </x:c>
      <x:c r="E347" s="13" t="str">
        <x:v>economic_financial_model</x:v>
      </x:c>
      <x:c r="F347" s="13" t="str">
        <x:v>create scenario</x:v>
      </x:c>
      <x:c r="G347" s="13" t="str">
        <x:v>economic_financial_model.scenario.manage</x:v>
      </x:c>
      <x:c r="H347" s="13" t="str">
        <x:v>LIVE_ROUTER_REGISTERED</x:v>
      </x:c>
      <x:c r="I347" s="13" t="str">
        <x:v>frontend/src/features/economic-financial-model/api.ts</x:v>
      </x:c>
      <x:c r="J347" s="13" t="str">
        <x:v>NOT_EXECUTED_BY_INVENTORY. SOURCE_LITERAL_OR_TRANSITIVE_HELPER_UNION</x:v>
      </x:c>
    </x:row>
    <x:row r="348" ht="42" customHeight="1">
      <x:c r="A348" s="14" t="str">
        <x:v>API-144</x:v>
      </x:c>
      <x:c r="B348" s="6" t="str">
        <x:v>POST</x:v>
      </x:c>
      <x:c r="C348" s="6" t="str">
        <x:v>/api/v1/economic-financial-model-versions/{version_id}/sensitivities/run</x:v>
      </x:c>
      <x:c r="D348" s="6" t="str">
        <x:v>USER MODE</x:v>
      </x:c>
      <x:c r="E348" s="6" t="str">
        <x:v>economic_financial_model</x:v>
      </x:c>
      <x:c r="F348" s="6" t="str">
        <x:v>sensitivity</x:v>
      </x:c>
      <x:c r="G348" s="6" t="str">
        <x:v>economic_financial_model.sensitivity.run</x:v>
      </x:c>
      <x:c r="H348" s="6" t="str">
        <x:v>LIVE_ROUTER_REGISTERED</x:v>
      </x:c>
      <x:c r="I348" s="6" t="str">
        <x:v>NO_DIRECT_LITERAL_MATCH_NOT_PROOF_UNUSED</x:v>
      </x:c>
      <x:c r="J348" s="6" t="str">
        <x:v>NOT_EXECUTED_BY_INVENTORY. SOURCE_LITERAL_OR_TRANSITIVE_HELPER_UNION</x:v>
      </x:c>
    </x:row>
    <x:row r="349" ht="42" customHeight="1">
      <x:c r="A349" s="15" t="str">
        <x:v>API-145</x:v>
      </x:c>
      <x:c r="B349" s="13" t="str">
        <x:v>POST</x:v>
      </x:c>
      <x:c r="C349" s="13" t="str">
        <x:v>/api/v1/economic-financial-model-versions/{version_id}/submit-review</x:v>
      </x:c>
      <x:c r="D349" s="13" t="str">
        <x:v>USER MODE</x:v>
      </x:c>
      <x:c r="E349" s="13" t="str">
        <x:v>economic_financial_model</x:v>
      </x:c>
      <x:c r="F349" s="13" t="str">
        <x:v>submit review</x:v>
      </x:c>
      <x:c r="G349" s="13" t="str">
        <x:v>economic_financial_model.submit_review</x:v>
      </x:c>
      <x:c r="H349" s="13" t="str">
        <x:v>LIVE_ROUTER_REGISTERED</x:v>
      </x:c>
      <x:c r="I349" s="13" t="str">
        <x:v>frontend/src/features/economic-financial-model/api.ts</x:v>
      </x:c>
      <x:c r="J349" s="13" t="str">
        <x:v>NOT_EXECUTED_BY_INVENTORY. SOURCE_LITERAL_OR_TRANSITIVE_HELPER_UNION</x:v>
      </x:c>
    </x:row>
    <x:row r="350" ht="42" customHeight="1">
      <x:c r="A350" s="14" t="str">
        <x:v>API-146</x:v>
      </x:c>
      <x:c r="B350" s="6" t="str">
        <x:v>GET</x:v>
      </x:c>
      <x:c r="C350" s="6" t="str">
        <x:v>/api/v1/economic-financial-models</x:v>
      </x:c>
      <x:c r="D350" s="6" t="str">
        <x:v>READ-ONLY SHARED CONTEXT</x:v>
      </x:c>
      <x:c r="E350" s="6" t="str">
        <x:v>economic_financial_model</x:v>
      </x:c>
      <x:c r="F350" s="6" t="str">
        <x:v>models</x:v>
      </x:c>
      <x:c r="G350" s="6" t="str">
        <x:v>economic_financial_model.read</x:v>
      </x:c>
      <x:c r="H350" s="6" t="str">
        <x:v>LIVE_ROUTER_REGISTERED</x:v>
      </x:c>
      <x:c r="I350" s="6" t="str">
        <x:v>frontend/src/features/economic-financial-model/api.ts</x:v>
      </x:c>
      <x:c r="J350" s="6" t="str">
        <x:v>NOT_EXECUTED_BY_INVENTORY. SOURCE_LITERAL_OR_TRANSITIVE_HELPER_UNION</x:v>
      </x:c>
    </x:row>
    <x:row r="351" ht="42" customHeight="1">
      <x:c r="A351" s="15" t="str">
        <x:v>API-147</x:v>
      </x:c>
      <x:c r="B351" s="13" t="str">
        <x:v>POST</x:v>
      </x:c>
      <x:c r="C351" s="13" t="str">
        <x:v>/api/v1/economic-financial-models</x:v>
      </x:c>
      <x:c r="D351" s="13" t="str">
        <x:v>USER MODE</x:v>
      </x:c>
      <x:c r="E351" s="13" t="str">
        <x:v>economic_financial_model</x:v>
      </x:c>
      <x:c r="F351" s="13" t="str">
        <x:v>create model</x:v>
      </x:c>
      <x:c r="G351" s="13" t="str">
        <x:v>economic_financial_model.create</x:v>
      </x:c>
      <x:c r="H351" s="13" t="str">
        <x:v>LIVE_ROUTER_REGISTERED</x:v>
      </x:c>
      <x:c r="I351" s="13" t="str">
        <x:v>frontend/src/features/economic-financial-model/api.ts</x:v>
      </x:c>
      <x:c r="J351" s="13" t="str">
        <x:v>NOT_EXECUTED_BY_INVENTORY. SOURCE_LITERAL_OR_TRANSITIVE_HELPER_UNION</x:v>
      </x:c>
    </x:row>
    <x:row r="352" ht="42" customHeight="1">
      <x:c r="A352" s="14" t="str">
        <x:v>API-148</x:v>
      </x:c>
      <x:c r="B352" s="6" t="str">
        <x:v>GET</x:v>
      </x:c>
      <x:c r="C352" s="6" t="str">
        <x:v>/api/v1/economic-financial-models/admin/configurations</x:v>
      </x:c>
      <x:c r="D352" s="6" t="str">
        <x:v>ADMIN MODE</x:v>
      </x:c>
      <x:c r="E352" s="6" t="str">
        <x:v>economic_financial_model</x:v>
      </x:c>
      <x:c r="F352" s="6" t="str">
        <x:v>configurations</x:v>
      </x:c>
      <x:c r="G352" s="6" t="str">
        <x:v>economic_financial_model.admin.configure</x:v>
      </x:c>
      <x:c r="H352" s="6" t="str">
        <x:v>LIVE_ROUTER_REGISTERED</x:v>
      </x:c>
      <x:c r="I352" s="6" t="str">
        <x:v>frontend/src/features/economic-financial-model/api.ts</x:v>
      </x:c>
      <x:c r="J352" s="6" t="str">
        <x:v>NOT_EXECUTED_BY_INVENTORY. SOURCE_LITERAL_OR_TRANSITIVE_HELPER_UNION</x:v>
      </x:c>
    </x:row>
    <x:row r="353" ht="42" customHeight="1">
      <x:c r="A353" s="15" t="str">
        <x:v>API-149</x:v>
      </x:c>
      <x:c r="B353" s="13" t="str">
        <x:v>POST</x:v>
      </x:c>
      <x:c r="C353" s="13" t="str">
        <x:v>/api/v1/economic-financial-models/admin/configurations/preview</x:v>
      </x:c>
      <x:c r="D353" s="13" t="str">
        <x:v>ADMIN MODE</x:v>
      </x:c>
      <x:c r="E353" s="13" t="str">
        <x:v>economic_financial_model</x:v>
      </x:c>
      <x:c r="F353" s="13" t="str">
        <x:v>configuration preview</x:v>
      </x:c>
      <x:c r="G353" s="13" t="str">
        <x:v>economic_financial_model.admin.configure</x:v>
      </x:c>
      <x:c r="H353" s="13" t="str">
        <x:v>LIVE_ROUTER_REGISTERED</x:v>
      </x:c>
      <x:c r="I353" s="13" t="str">
        <x:v>frontend/src/features/economic-financial-model/api.ts</x:v>
      </x:c>
      <x:c r="J353" s="13" t="str">
        <x:v>NOT_EXECUTED_BY_INVENTORY. SOURCE_LITERAL_OR_TRANSITIVE_HELPER_UNION</x:v>
      </x:c>
    </x:row>
    <x:row r="354" ht="42" customHeight="1">
      <x:c r="A354" s="14" t="str">
        <x:v>API-150</x:v>
      </x:c>
      <x:c r="B354" s="6" t="str">
        <x:v>PUT</x:v>
      </x:c>
      <x:c r="C354" s="6" t="str">
        <x:v>/api/v1/economic-financial-models/admin/configurations/{configuration_id}</x:v>
      </x:c>
      <x:c r="D354" s="6" t="str">
        <x:v>ADMIN MODE</x:v>
      </x:c>
      <x:c r="E354" s="6" t="str">
        <x:v>economic_financial_model</x:v>
      </x:c>
      <x:c r="F354" s="6" t="str">
        <x:v>update configuration</x:v>
      </x:c>
      <x:c r="G354" s="6" t="str">
        <x:v>economic_financial_model.admin.configure</x:v>
      </x:c>
      <x:c r="H354" s="6" t="str">
        <x:v>LIVE_ROUTER_REGISTERED</x:v>
      </x:c>
      <x:c r="I354" s="6" t="str">
        <x:v>frontend/src/features/economic-financial-model/api.ts</x:v>
      </x:c>
      <x:c r="J354" s="6" t="str">
        <x:v>NOT_EXECUTED_BY_INVENTORY. SOURCE_LITERAL_OR_TRANSITIVE_HELPER_UNION</x:v>
      </x:c>
    </x:row>
    <x:row r="355" ht="42" customHeight="1">
      <x:c r="A355" s="15" t="str">
        <x:v>API-151</x:v>
      </x:c>
      <x:c r="B355" s="13" t="str">
        <x:v>POST</x:v>
      </x:c>
      <x:c r="C355" s="13" t="str">
        <x:v>/api/v1/economic-financial-models/admin/configurations/{configuration_id}/clone</x:v>
      </x:c>
      <x:c r="D355" s="13" t="str">
        <x:v>ADMIN MODE</x:v>
      </x:c>
      <x:c r="E355" s="13" t="str">
        <x:v>economic_financial_model</x:v>
      </x:c>
      <x:c r="F355" s="13" t="str">
        <x:v>clone configuration</x:v>
      </x:c>
      <x:c r="G355" s="13" t="str">
        <x:v>economic_financial_model.admin.configure</x:v>
      </x:c>
      <x:c r="H355" s="13" t="str">
        <x:v>LIVE_ROUTER_REGISTERED</x:v>
      </x:c>
      <x:c r="I355" s="13" t="str">
        <x:v>frontend/src/features/economic-financial-model/api.ts</x:v>
      </x:c>
      <x:c r="J355" s="13" t="str">
        <x:v>NOT_EXECUTED_BY_INVENTORY. SOURCE_LITERAL_OR_TRANSITIVE_HELPER_UNION</x:v>
      </x:c>
    </x:row>
    <x:row r="356" ht="42" customHeight="1">
      <x:c r="A356" s="14" t="str">
        <x:v>API-152</x:v>
      </x:c>
      <x:c r="B356" s="6" t="str">
        <x:v>POST</x:v>
      </x:c>
      <x:c r="C356" s="6" t="str">
        <x:v>/api/v1/economic-financial-models/admin/configurations/{configuration_id}/publish</x:v>
      </x:c>
      <x:c r="D356" s="6" t="str">
        <x:v>ADMIN MODE</x:v>
      </x:c>
      <x:c r="E356" s="6" t="str">
        <x:v>economic_financial_model</x:v>
      </x:c>
      <x:c r="F356" s="6" t="str">
        <x:v>publish configuration</x:v>
      </x:c>
      <x:c r="G356" s="6" t="str">
        <x:v>economic_financial_model.admin.publish</x:v>
      </x:c>
      <x:c r="H356" s="6" t="str">
        <x:v>LIVE_ROUTER_REGISTERED</x:v>
      </x:c>
      <x:c r="I356" s="6" t="str">
        <x:v>frontend/src/features/economic-financial-model/api.ts</x:v>
      </x:c>
      <x:c r="J356" s="6" t="str">
        <x:v>NOT_EXECUTED_BY_INVENTORY. SOURCE_LITERAL_OR_TRANSITIVE_HELPER_UNION</x:v>
      </x:c>
    </x:row>
    <x:row r="357" ht="42" customHeight="1">
      <x:c r="A357" s="15" t="str">
        <x:v>API-153</x:v>
      </x:c>
      <x:c r="B357" s="13" t="str">
        <x:v>GET</x:v>
      </x:c>
      <x:c r="C357" s="13" t="str">
        <x:v>/api/v1/economic-financial-models/{model_id}</x:v>
      </x:c>
      <x:c r="D357" s="13" t="str">
        <x:v>READ-ONLY SHARED CONTEXT</x:v>
      </x:c>
      <x:c r="E357" s="13" t="str">
        <x:v>economic_financial_model</x:v>
      </x:c>
      <x:c r="F357" s="13" t="str">
        <x:v>model</x:v>
      </x:c>
      <x:c r="G357" s="13" t="str">
        <x:v>economic_financial_model.read</x:v>
      </x:c>
      <x:c r="H357" s="13" t="str">
        <x:v>LIVE_ROUTER_REGISTERED</x:v>
      </x:c>
      <x:c r="I357" s="13" t="str">
        <x:v>NO_DIRECT_LITERAL_MATCH_NOT_PROOF_UNUSED</x:v>
      </x:c>
      <x:c r="J357" s="13" t="str">
        <x:v>NOT_EXECUTED_BY_INVENTORY. SOURCE_LITERAL_OR_TRANSITIVE_HELPER_UNION</x:v>
      </x:c>
    </x:row>
    <x:row r="358" ht="42" customHeight="1">
      <x:c r="A358" s="14" t="str">
        <x:v>API-154</x:v>
      </x:c>
      <x:c r="B358" s="6" t="str">
        <x:v>GET</x:v>
      </x:c>
      <x:c r="C358" s="6" t="str">
        <x:v>/api/v1/economic-financial-models/{model_id}/investment-gate-evidence</x:v>
      </x:c>
      <x:c r="D358" s="6" t="str">
        <x:v>READ-ONLY SHARED CONTEXT</x:v>
      </x:c>
      <x:c r="E358" s="6" t="str">
        <x:v>economic_financial_model</x:v>
      </x:c>
      <x:c r="F358" s="6" t="str">
        <x:v>provider evidence</x:v>
      </x:c>
      <x:c r="G358" s="6" t="str">
        <x:v>economic_financial_model.read</x:v>
      </x:c>
      <x:c r="H358" s="6" t="str">
        <x:v>LIVE_ROUTER_REGISTERED</x:v>
      </x:c>
      <x:c r="I358" s="6" t="str">
        <x:v>NO_DIRECT_LITERAL_MATCH_NOT_PROOF_UNUSED</x:v>
      </x:c>
      <x:c r="J358" s="6" t="str">
        <x:v>NOT_EXECUTED_BY_INVENTORY. SOURCE_LITERAL_OR_TRANSITIVE_HELPER_UNION</x:v>
      </x:c>
    </x:row>
    <x:row r="359" ht="42" customHeight="1">
      <x:c r="A359" s="15" t="str">
        <x:v>API-155</x:v>
      </x:c>
      <x:c r="B359" s="13" t="str">
        <x:v>GET</x:v>
      </x:c>
      <x:c r="C359" s="13" t="str">
        <x:v>/api/v1/economic-financial-models/{model_id}/readiness</x:v>
      </x:c>
      <x:c r="D359" s="13" t="str">
        <x:v>READ-ONLY SHARED CONTEXT</x:v>
      </x:c>
      <x:c r="E359" s="13" t="str">
        <x:v>economic_financial_model</x:v>
      </x:c>
      <x:c r="F359" s="13" t="str">
        <x:v>readiness</x:v>
      </x:c>
      <x:c r="G359" s="13" t="str">
        <x:v>economic_financial_model.read</x:v>
      </x:c>
      <x:c r="H359" s="13" t="str">
        <x:v>LIVE_ROUTER_REGISTERED</x:v>
      </x:c>
      <x:c r="I359" s="13" t="str">
        <x:v>frontend/src/features/economic-financial-model/api.ts</x:v>
      </x:c>
      <x:c r="J359" s="13" t="str">
        <x:v>NOT_EXECUTED_BY_INVENTORY. SOURCE_LITERAL_OR_TRANSITIVE_HELPER_UNION</x:v>
      </x:c>
    </x:row>
    <x:row r="360" ht="42" customHeight="1">
      <x:c r="A360" s="14" t="str">
        <x:v>API-156</x:v>
      </x:c>
      <x:c r="B360" s="6" t="str">
        <x:v>POST</x:v>
      </x:c>
      <x:c r="C360" s="6" t="str">
        <x:v>/api/v1/economic-financial-models/{model_id}/refresh</x:v>
      </x:c>
      <x:c r="D360" s="6" t="str">
        <x:v>USER MODE</x:v>
      </x:c>
      <x:c r="E360" s="6" t="str">
        <x:v>economic_financial_model</x:v>
      </x:c>
      <x:c r="F360" s="6" t="str">
        <x:v>refresh</x:v>
      </x:c>
      <x:c r="G360" s="6" t="str">
        <x:v>economic_financial_model.refresh</x:v>
      </x:c>
      <x:c r="H360" s="6" t="str">
        <x:v>LIVE_ROUTER_REGISTERED</x:v>
      </x:c>
      <x:c r="I360" s="6" t="str">
        <x:v>NO_DIRECT_LITERAL_MATCH_NOT_PROOF_UNUSED</x:v>
      </x:c>
      <x:c r="J360" s="6" t="str">
        <x:v>NOT_EXECUTED_BY_INVENTORY. SOURCE_LITERAL_OR_TRANSITIVE_HELPER_UNION</x:v>
      </x:c>
    </x:row>
    <x:row r="361" ht="42" customHeight="1">
      <x:c r="A361" s="15" t="str">
        <x:v>API-157</x:v>
      </x:c>
      <x:c r="B361" s="13" t="str">
        <x:v>POST</x:v>
      </x:c>
      <x:c r="C361" s="13" t="str">
        <x:v>/api/v1/economic-financial-models/{model_id}/refresh/preview</x:v>
      </x:c>
      <x:c r="D361" s="13" t="str">
        <x:v>USER MODE</x:v>
      </x:c>
      <x:c r="E361" s="13" t="str">
        <x:v>economic_financial_model</x:v>
      </x:c>
      <x:c r="F361" s="13" t="str">
        <x:v>refresh preview</x:v>
      </x:c>
      <x:c r="G361" s="13" t="str">
        <x:v>economic_financial_model.refresh</x:v>
      </x:c>
      <x:c r="H361" s="13" t="str">
        <x:v>LIVE_ROUTER_REGISTERED</x:v>
      </x:c>
      <x:c r="I361" s="13" t="str">
        <x:v>NO_DIRECT_LITERAL_MATCH_NOT_PROOF_UNUSED</x:v>
      </x:c>
      <x:c r="J361" s="13" t="str">
        <x:v>NOT_EXECUTED_BY_INVENTORY. SOURCE_LITERAL_OR_TRANSITIVE_HELPER_UNION</x:v>
      </x:c>
    </x:row>
    <x:row r="362" ht="42" customHeight="1">
      <x:c r="A362" s="14" t="str">
        <x:v>API-158</x:v>
      </x:c>
      <x:c r="B362" s="6" t="str">
        <x:v>GET</x:v>
      </x:c>
      <x:c r="C362" s="6" t="str">
        <x:v>/api/v1/economic-financial-models/{model_id}/versions</x:v>
      </x:c>
      <x:c r="D362" s="6" t="str">
        <x:v>READ-ONLY SHARED CONTEXT</x:v>
      </x:c>
      <x:c r="E362" s="6" t="str">
        <x:v>economic_financial_model</x:v>
      </x:c>
      <x:c r="F362" s="6" t="str">
        <x:v>versions</x:v>
      </x:c>
      <x:c r="G362" s="6" t="str">
        <x:v>economic_financial_model.read</x:v>
      </x:c>
      <x:c r="H362" s="6" t="str">
        <x:v>LIVE_ROUTER_REGISTERED</x:v>
      </x:c>
      <x:c r="I362" s="6" t="str">
        <x:v>NO_DIRECT_LITERAL_MATCH_NOT_PROOF_UNUSED</x:v>
      </x:c>
      <x:c r="J362" s="6" t="str">
        <x:v>NOT_EXECUTED_BY_INVENTORY. SOURCE_LITERAL_OR_TRANSITIVE_HELPER_UNION</x:v>
      </x:c>
    </x:row>
    <x:row r="363" ht="42" customHeight="1">
      <x:c r="A363" s="15" t="str">
        <x:v>API-159</x:v>
      </x:c>
      <x:c r="B363" s="13" t="str">
        <x:v>POST</x:v>
      </x:c>
      <x:c r="C363" s="13" t="str">
        <x:v>/api/v1/economic-financial-models/{model_id}/versions</x:v>
      </x:c>
      <x:c r="D363" s="13" t="str">
        <x:v>USER MODE</x:v>
      </x:c>
      <x:c r="E363" s="13" t="str">
        <x:v>economic_financial_model</x:v>
      </x:c>
      <x:c r="F363" s="13" t="str">
        <x:v>create version</x:v>
      </x:c>
      <x:c r="G363" s="13" t="str">
        <x:v>economic_financial_model.create_version</x:v>
      </x:c>
      <x:c r="H363" s="13" t="str">
        <x:v>LIVE_ROUTER_REGISTERED</x:v>
      </x:c>
      <x:c r="I363" s="13" t="str">
        <x:v>NO_DIRECT_LITERAL_MATCH_NOT_PROOF_UNUSED</x:v>
      </x:c>
      <x:c r="J363" s="13" t="str">
        <x:v>NOT_EXECUTED_BY_INVENTORY. SOURCE_LITERAL_OR_TRANSITIVE_HELPER_UNION</x:v>
      </x:c>
    </x:row>
    <x:row r="364" ht="42" customHeight="1">
      <x:c r="A364" s="14" t="str">
        <x:v>API-160</x:v>
      </x:c>
      <x:c r="B364" s="6" t="str">
        <x:v>GET</x:v>
      </x:c>
      <x:c r="C364" s="6" t="str">
        <x:v>/api/v1/projects/{project_id}/economic-financial-model</x:v>
      </x:c>
      <x:c r="D364" s="6" t="str">
        <x:v>READ-ONLY SHARED CONTEXT</x:v>
      </x:c>
      <x:c r="E364" s="6" t="str">
        <x:v>economic_financial_model</x:v>
      </x:c>
      <x:c r="F364" s="6" t="str">
        <x:v>project model</x:v>
      </x:c>
      <x:c r="G364" s="6" t="str">
        <x:v>economic_financial_model.read</x:v>
      </x:c>
      <x:c r="H364" s="6" t="str">
        <x:v>LIVE_ROUTER_REGISTERED</x:v>
      </x:c>
      <x:c r="I364" s="6" t="str">
        <x:v>NO_DIRECT_LITERAL_MATCH_NOT_PROOF_UNUSED</x:v>
      </x:c>
      <x:c r="J364" s="6" t="str">
        <x:v>NOT_EXECUTED_BY_INVENTORY. SOURCE_LITERAL_OR_TRANSITIVE_HELPER_UNION</x:v>
      </x:c>
    </x:row>
    <x:row r="365" ht="42" customHeight="1">
      <x:c r="A365" s="15" t="str">
        <x:v>API-161</x:v>
      </x:c>
      <x:c r="B365" s="13" t="str">
        <x:v>GET</x:v>
      </x:c>
      <x:c r="C365" s="13" t="str">
        <x:v>/api/v1/admin-configuration/enterprise-structure/categories</x:v>
      </x:c>
      <x:c r="D365" s="13" t="str">
        <x:v>ADMIN MODE</x:v>
      </x:c>
      <x:c r="E365" s="13" t="str">
        <x:v>enterprise_structure</x:v>
      </x:c>
      <x:c r="F365" s="13" t="str">
        <x:v>categories</x:v>
      </x:c>
      <x:c r="G365" s="13" t="str">
        <x:v>admin.enterprise_category.read</x:v>
      </x:c>
      <x:c r="H365" s="13" t="str">
        <x:v>LIVE_ROUTER_REGISTERED</x:v>
      </x:c>
      <x:c r="I365" s="13" t="str">
        <x:v>NO_DIRECT_LITERAL_MATCH_NOT_PROOF_UNUSED</x:v>
      </x:c>
      <x:c r="J365" s="13" t="str">
        <x:v>NOT_EXECUTED_BY_INVENTORY. SOURCE_LITERAL_OR_TRANSITIVE_HELPER_UNION</x:v>
      </x:c>
    </x:row>
    <x:row r="366" ht="42" customHeight="1">
      <x:c r="A366" s="14" t="str">
        <x:v>API-162</x:v>
      </x:c>
      <x:c r="B366" s="6" t="str">
        <x:v>POST</x:v>
      </x:c>
      <x:c r="C366" s="6" t="str">
        <x:v>/api/v1/admin-configuration/enterprise-structure/categories/{category_code}/clone</x:v>
      </x:c>
      <x:c r="D366" s="6" t="str">
        <x:v>ADMIN MODE</x:v>
      </x:c>
      <x:c r="E366" s="6" t="str">
        <x:v>enterprise_structure</x:v>
      </x:c>
      <x:c r="F366" s="6" t="str">
        <x:v>clone category</x:v>
      </x:c>
      <x:c r="G366" s="6" t="str">
        <x:v>admin.enterprise_category.manage</x:v>
      </x:c>
      <x:c r="H366" s="6" t="str">
        <x:v>LIVE_ROUTER_REGISTERED</x:v>
      </x:c>
      <x:c r="I366" s="6" t="str">
        <x:v>frontend/src/features/enterprise-structure/api/index.ts</x:v>
      </x:c>
      <x:c r="J366" s="6" t="str">
        <x:v>NOT_EXECUTED_BY_INVENTORY. SOURCE_LITERAL_OR_TRANSITIVE_HELPER_UNION</x:v>
      </x:c>
    </x:row>
    <x:row r="367" ht="42" customHeight="1">
      <x:c r="A367" s="15" t="str">
        <x:v>API-163</x:v>
      </x:c>
      <x:c r="B367" s="13" t="str">
        <x:v>PUT</x:v>
      </x:c>
      <x:c r="C367" s="13" t="str">
        <x:v>/api/v1/admin-configuration/enterprise-structure/categories/{configuration_id}</x:v>
      </x:c>
      <x:c r="D367" s="13" t="str">
        <x:v>ADMIN MODE</x:v>
      </x:c>
      <x:c r="E367" s="13" t="str">
        <x:v>enterprise_structure</x:v>
      </x:c>
      <x:c r="F367" s="13" t="str">
        <x:v>update category</x:v>
      </x:c>
      <x:c r="G367" s="13" t="str">
        <x:v>admin.enterprise_category.manage</x:v>
      </x:c>
      <x:c r="H367" s="13" t="str">
        <x:v>LIVE_ROUTER_REGISTERED</x:v>
      </x:c>
      <x:c r="I367" s="13" t="str">
        <x:v>frontend/src/features/enterprise-structure/api/index.ts</x:v>
      </x:c>
      <x:c r="J367" s="13" t="str">
        <x:v>NOT_EXECUTED_BY_INVENTORY. SOURCE_LITERAL_OR_TRANSITIVE_HELPER_UNION</x:v>
      </x:c>
    </x:row>
    <x:row r="368" ht="42" customHeight="1">
      <x:c r="A368" s="14" t="str">
        <x:v>API-164</x:v>
      </x:c>
      <x:c r="B368" s="6" t="str">
        <x:v>DELETE</x:v>
      </x:c>
      <x:c r="C368" s="6" t="str">
        <x:v>/api/v1/admin-configuration/enterprise-structure/classifications/{classification_id}</x:v>
      </x:c>
      <x:c r="D368" s="6" t="str">
        <x:v>ADMIN MODE</x:v>
      </x:c>
      <x:c r="E368" s="6" t="str">
        <x:v>enterprise_structure</x:v>
      </x:c>
      <x:c r="F368" s="6" t="str">
        <x:v>remove classification</x:v>
      </x:c>
      <x:c r="G368" s="6" t="str">
        <x:v>admin.enterprise_category.manage</x:v>
      </x:c>
      <x:c r="H368" s="6" t="str">
        <x:v>LIVE_ROUTER_REGISTERED</x:v>
      </x:c>
      <x:c r="I368" s="6" t="str">
        <x:v>frontend/src/features/enterprise-structure/api/index.ts</x:v>
      </x:c>
      <x:c r="J368" s="6" t="str">
        <x:v>NOT_EXECUTED_BY_INVENTORY. SOURCE_LITERAL_OR_TRANSITIVE_HELPER_UNION</x:v>
      </x:c>
    </x:row>
    <x:row r="369" ht="42" customHeight="1">
      <x:c r="A369" s="15" t="str">
        <x:v>API-165</x:v>
      </x:c>
      <x:c r="B369" s="13" t="str">
        <x:v>POST</x:v>
      </x:c>
      <x:c r="C369" s="13" t="str">
        <x:v>/api/v1/admin-configuration/enterprise-structure/clone</x:v>
      </x:c>
      <x:c r="D369" s="13" t="str">
        <x:v>ADMIN MODE</x:v>
      </x:c>
      <x:c r="E369" s="13" t="str">
        <x:v>enterprise_structure</x:v>
      </x:c>
      <x:c r="F369" s="13" t="str">
        <x:v>clone release</x:v>
      </x:c>
      <x:c r="G369" s="13" t="str">
        <x:v>admin.enterprise_structure.manage</x:v>
      </x:c>
      <x:c r="H369" s="13" t="str">
        <x:v>LIVE_ROUTER_REGISTERED</x:v>
      </x:c>
      <x:c r="I369" s="13" t="str">
        <x:v>frontend/src/features/enterprise-structure/api/index.ts</x:v>
      </x:c>
      <x:c r="J369" s="13" t="str">
        <x:v>NOT_EXECUTED_BY_INVENTORY. SOURCE_LITERAL_OR_TRANSITIVE_HELPER_UNION</x:v>
      </x:c>
    </x:row>
    <x:row r="370" ht="42" customHeight="1">
      <x:c r="A370" s="14" t="str">
        <x:v>API-166</x:v>
      </x:c>
      <x:c r="B370" s="6" t="str">
        <x:v>GET</x:v>
      </x:c>
      <x:c r="C370" s="6" t="str">
        <x:v>/api/v1/admin-configuration/enterprise-structure/composition-rules</x:v>
      </x:c>
      <x:c r="D370" s="6" t="str">
        <x:v>ADMIN MODE</x:v>
      </x:c>
      <x:c r="E370" s="6" t="str">
        <x:v>enterprise_structure</x:v>
      </x:c>
      <x:c r="F370" s="6" t="str">
        <x:v>composition rules</x:v>
      </x:c>
      <x:c r="G370" s="6" t="str">
        <x:v>admin.composition_rule.read</x:v>
      </x:c>
      <x:c r="H370" s="6" t="str">
        <x:v>LIVE_ROUTER_REGISTERED</x:v>
      </x:c>
      <x:c r="I370" s="6" t="str">
        <x:v>NO_DIRECT_LITERAL_MATCH_NOT_PROOF_UNUSED</x:v>
      </x:c>
      <x:c r="J370" s="6" t="str">
        <x:v>NOT_EXECUTED_BY_INVENTORY. SOURCE_LITERAL_OR_TRANSITIVE_HELPER_UNION</x:v>
      </x:c>
    </x:row>
    <x:row r="371" ht="42" customHeight="1">
      <x:c r="A371" s="15" t="str">
        <x:v>API-167</x:v>
      </x:c>
      <x:c r="B371" s="13" t="str">
        <x:v>PUT</x:v>
      </x:c>
      <x:c r="C371" s="13" t="str">
        <x:v>/api/v1/admin-configuration/enterprise-structure/composition-rules/{parent_type_code}</x:v>
      </x:c>
      <x:c r="D371" s="13" t="str">
        <x:v>ADMIN MODE</x:v>
      </x:c>
      <x:c r="E371" s="13" t="str">
        <x:v>enterprise_structure</x:v>
      </x:c>
      <x:c r="F371" s="13" t="str">
        <x:v>update composition rule</x:v>
      </x:c>
      <x:c r="G371" s="13" t="str">
        <x:v>admin.composition_rule.manage</x:v>
      </x:c>
      <x:c r="H371" s="13" t="str">
        <x:v>LIVE_ROUTER_REGISTERED</x:v>
      </x:c>
      <x:c r="I371" s="13" t="str">
        <x:v>frontend/src/features/enterprise-structure/api/index.ts</x:v>
      </x:c>
      <x:c r="J371" s="13" t="str">
        <x:v>NOT_EXECUTED_BY_INVENTORY. SOURCE_LITERAL_OR_TRANSITIVE_HELPER_UNION</x:v>
      </x:c>
    </x:row>
    <x:row r="372" ht="42" customHeight="1">
      <x:c r="A372" s="14" t="str">
        <x:v>API-168</x:v>
      </x:c>
      <x:c r="B372" s="6" t="str">
        <x:v>GET</x:v>
      </x:c>
      <x:c r="C372" s="6" t="str">
        <x:v>/api/v1/admin-configuration/enterprise-structure/configuration</x:v>
      </x:c>
      <x:c r="D372" s="6" t="str">
        <x:v>ADMIN MODE</x:v>
      </x:c>
      <x:c r="E372" s="6" t="str">
        <x:v>enterprise_structure</x:v>
      </x:c>
      <x:c r="F372" s="6" t="str">
        <x:v>configuration</x:v>
      </x:c>
      <x:c r="G372" s="6" t="str">
        <x:v>admin.enterprise_structure.read</x:v>
      </x:c>
      <x:c r="H372" s="6" t="str">
        <x:v>LIVE_ROUTER_REGISTERED</x:v>
      </x:c>
      <x:c r="I372" s="6" t="str">
        <x:v>frontend/src/features/enterprise-structure/api/index.ts</x:v>
      </x:c>
      <x:c r="J372" s="6" t="str">
        <x:v>NOT_EXECUTED_BY_INVENTORY. SOURCE_LITERAL_OR_TRANSITIVE_HELPER_UNION</x:v>
      </x:c>
    </x:row>
    <x:row r="373" ht="42" customHeight="1">
      <x:c r="A373" s="15" t="str">
        <x:v>API-169</x:v>
      </x:c>
      <x:c r="B373" s="13" t="str">
        <x:v>POST</x:v>
      </x:c>
      <x:c r="C373" s="13" t="str">
        <x:v>/api/v1/admin-configuration/enterprise-structure/enterprise-core-releases/{published_id}/clone</x:v>
      </x:c>
      <x:c r="D373" s="13" t="str">
        <x:v>ADMIN MODE</x:v>
      </x:c>
      <x:c r="E373" s="13" t="str">
        <x:v>enterprise_structure</x:v>
      </x:c>
      <x:c r="F373" s="13" t="str">
        <x:v>create core revision</x:v>
      </x:c>
      <x:c r="G373" s="13" t="str">
        <x:v>HELPER_OR_SERVICE_AUTHORIZATION_REQUIRES_REVIEW</x:v>
      </x:c>
      <x:c r="H373" s="13" t="str">
        <x:v>LIVE_ROUTER_REGISTERED</x:v>
      </x:c>
      <x:c r="I373" s="13" t="str">
        <x:v>frontend/src/features/enterprise-structure/api/index.ts</x:v>
      </x:c>
      <x:c r="J373" s="13" t="str">
        <x:v>NOT_EXECUTED_BY_INVENTORY. SOURCE_LITERAL_OR_TRANSITIVE_HELPER_UNION</x:v>
      </x:c>
    </x:row>
    <x:row r="374" ht="42" customHeight="1">
      <x:c r="A374" s="14" t="str">
        <x:v>API-170</x:v>
      </x:c>
      <x:c r="B374" s="6" t="str">
        <x:v>GET</x:v>
      </x:c>
      <x:c r="C374" s="6" t="str">
        <x:v>/api/v1/admin-configuration/enterprise-structure/enterprise-core-releases/{release_id}</x:v>
      </x:c>
      <x:c r="D374" s="6" t="str">
        <x:v>ADMIN MODE</x:v>
      </x:c>
      <x:c r="E374" s="6" t="str">
        <x:v>enterprise_structure</x:v>
      </x:c>
      <x:c r="F374" s="6" t="str">
        <x:v>core revision</x:v>
      </x:c>
      <x:c r="G374" s="6" t="str">
        <x:v>HELPER_OR_SERVICE_AUTHORIZATION_REQUIRES_REVIEW</x:v>
      </x:c>
      <x:c r="H374" s="6" t="str">
        <x:v>LIVE_ROUTER_REGISTERED</x:v>
      </x:c>
      <x:c r="I374" s="6" t="str">
        <x:v>frontend/src/features/enterprise-structure/api/index.ts</x:v>
      </x:c>
      <x:c r="J374" s="6" t="str">
        <x:v>NOT_EXECUTED_BY_INVENTORY. SOURCE_LITERAL_OR_TRANSITIVE_HELPER_UNION</x:v>
      </x:c>
    </x:row>
    <x:row r="375" ht="42" customHeight="1">
      <x:c r="A375" s="15" t="str">
        <x:v>API-171</x:v>
      </x:c>
      <x:c r="B375" s="13" t="str">
        <x:v>PATCH</x:v>
      </x:c>
      <x:c r="C375" s="13" t="str">
        <x:v>/api/v1/admin-configuration/enterprise-structure/enterprise-core-releases/{release_id}</x:v>
      </x:c>
      <x:c r="D375" s="13" t="str">
        <x:v>ADMIN MODE</x:v>
      </x:c>
      <x:c r="E375" s="13" t="str">
        <x:v>enterprise_structure</x:v>
      </x:c>
      <x:c r="F375" s="13" t="str">
        <x:v>update core revision</x:v>
      </x:c>
      <x:c r="G375" s="13" t="str">
        <x:v>HELPER_OR_SERVICE_AUTHORIZATION_REQUIRES_REVIEW</x:v>
      </x:c>
      <x:c r="H375" s="13" t="str">
        <x:v>LIVE_ROUTER_REGISTERED</x:v>
      </x:c>
      <x:c r="I375" s="13" t="str">
        <x:v>frontend/src/features/enterprise-structure/api/index.ts</x:v>
      </x:c>
      <x:c r="J375" s="13" t="str">
        <x:v>NOT_EXECUTED_BY_INVENTORY. SOURCE_LITERAL_OR_TRANSITIVE_HELPER_UNION</x:v>
      </x:c>
    </x:row>
    <x:row r="376" ht="42" customHeight="1">
      <x:c r="A376" s="14" t="str">
        <x:v>API-172</x:v>
      </x:c>
      <x:c r="B376" s="6" t="str">
        <x:v>POST</x:v>
      </x:c>
      <x:c r="C376" s="6" t="str">
        <x:v>/api/v1/admin-configuration/enterprise-structure/enterprise-core-releases/{release_id}/approve</x:v>
      </x:c>
      <x:c r="D376" s="6" t="str">
        <x:v>ADMIN MODE</x:v>
      </x:c>
      <x:c r="E376" s="6" t="str">
        <x:v>enterprise_structure</x:v>
      </x:c>
      <x:c r="F376" s="6" t="str">
        <x:v>approve core revision</x:v>
      </x:c>
      <x:c r="G376" s="6" t="str">
        <x:v>HELPER_OR_SERVICE_AUTHORIZATION_REQUIRES_REVIEW</x:v>
      </x:c>
      <x:c r="H376" s="6" t="str">
        <x:v>LIVE_ROUTER_REGISTERED</x:v>
      </x:c>
      <x:c r="I376" s="6" t="str">
        <x:v>frontend/src/features/enterprise-structure/api/index.ts</x:v>
      </x:c>
      <x:c r="J376" s="6" t="str">
        <x:v>NOT_EXECUTED_BY_INVENTORY. SOURCE_LITERAL_OR_TRANSITIVE_HELPER_UNION</x:v>
      </x:c>
    </x:row>
    <x:row r="377" ht="42" customHeight="1">
      <x:c r="A377" s="15" t="str">
        <x:v>API-173</x:v>
      </x:c>
      <x:c r="B377" s="13" t="str">
        <x:v>GET</x:v>
      </x:c>
      <x:c r="C377" s="13" t="str">
        <x:v>/api/v1/admin-configuration/enterprise-structure/enterprise-core-releases/{release_id}/diff</x:v>
      </x:c>
      <x:c r="D377" s="13" t="str">
        <x:v>ADMIN MODE</x:v>
      </x:c>
      <x:c r="E377" s="13" t="str">
        <x:v>enterprise_structure</x:v>
      </x:c>
      <x:c r="F377" s="13" t="str">
        <x:v>compare core revision</x:v>
      </x:c>
      <x:c r="G377" s="13" t="str">
        <x:v>HELPER_OR_SERVICE_AUTHORIZATION_REQUIRES_REVIEW</x:v>
      </x:c>
      <x:c r="H377" s="13" t="str">
        <x:v>LIVE_ROUTER_REGISTERED</x:v>
      </x:c>
      <x:c r="I377" s="13" t="str">
        <x:v>frontend/src/features/enterprise-structure/api/index.ts</x:v>
      </x:c>
      <x:c r="J377" s="13" t="str">
        <x:v>NOT_EXECUTED_BY_INVENTORY. SOURCE_LITERAL_OR_TRANSITIVE_HELPER_UNION</x:v>
      </x:c>
    </x:row>
    <x:row r="378" ht="42" customHeight="1">
      <x:c r="A378" s="14" t="str">
        <x:v>API-174</x:v>
      </x:c>
      <x:c r="B378" s="6" t="str">
        <x:v>POST</x:v>
      </x:c>
      <x:c r="C378" s="6" t="str">
        <x:v>/api/v1/admin-configuration/enterprise-structure/enterprise-core-releases/{release_id}/publish</x:v>
      </x:c>
      <x:c r="D378" s="6" t="str">
        <x:v>ADMIN MODE</x:v>
      </x:c>
      <x:c r="E378" s="6" t="str">
        <x:v>enterprise_structure</x:v>
      </x:c>
      <x:c r="F378" s="6" t="str">
        <x:v>publish core revision</x:v>
      </x:c>
      <x:c r="G378" s="6" t="str">
        <x:v>HELPER_OR_SERVICE_AUTHORIZATION_REQUIRES_REVIEW</x:v>
      </x:c>
      <x:c r="H378" s="6" t="str">
        <x:v>LIVE_ROUTER_REGISTERED</x:v>
      </x:c>
      <x:c r="I378" s="6" t="str">
        <x:v>frontend/src/features/enterprise-structure/api/index.ts</x:v>
      </x:c>
      <x:c r="J378" s="6" t="str">
        <x:v>NOT_EXECUTED_BY_INVENTORY. SOURCE_LITERAL_OR_TRANSITIVE_HELPER_UNION</x:v>
      </x:c>
    </x:row>
    <x:row r="379" ht="42" customHeight="1">
      <x:c r="A379" s="15" t="str">
        <x:v>API-175</x:v>
      </x:c>
      <x:c r="B379" s="13" t="str">
        <x:v>POST</x:v>
      </x:c>
      <x:c r="C379" s="13" t="str">
        <x:v>/api/v1/admin-configuration/enterprise-structure/enterprise-core-releases/{release_id}/record-code-preview</x:v>
      </x:c>
      <x:c r="D379" s="13" t="str">
        <x:v>ADMIN MODE</x:v>
      </x:c>
      <x:c r="E379" s="13" t="str">
        <x:v>enterprise_structure</x:v>
      </x:c>
      <x:c r="F379" s="13" t="str">
        <x:v>preview revision record code</x:v>
      </x:c>
      <x:c r="G379" s="13" t="str">
        <x:v>HELPER_OR_SERVICE_AUTHORIZATION_REQUIRES_REVIEW</x:v>
      </x:c>
      <x:c r="H379" s="13" t="str">
        <x:v>LIVE_ROUTER_REGISTERED</x:v>
      </x:c>
      <x:c r="I379" s="13" t="str">
        <x:v>frontend/src/features/enterprise-structure/api/index.ts</x:v>
      </x:c>
      <x:c r="J379" s="13" t="str">
        <x:v>NOT_EXECUTED_BY_INVENTORY. SOURCE_LITERAL_OR_TRANSITIVE_HELPER_UNION</x:v>
      </x:c>
    </x:row>
    <x:row r="380" ht="42" customHeight="1">
      <x:c r="A380" s="14" t="str">
        <x:v>API-176</x:v>
      </x:c>
      <x:c r="B380" s="6" t="str">
        <x:v>POST</x:v>
      </x:c>
      <x:c r="C380" s="6" t="str">
        <x:v>/api/v1/admin-configuration/enterprise-structure/enterprise-core-releases/{release_id}/rollback</x:v>
      </x:c>
      <x:c r="D380" s="6" t="str">
        <x:v>ADMIN MODE</x:v>
      </x:c>
      <x:c r="E380" s="6" t="str">
        <x:v>enterprise_structure</x:v>
      </x:c>
      <x:c r="F380" s="6" t="str">
        <x:v>rollback core revision</x:v>
      </x:c>
      <x:c r="G380" s="6" t="str">
        <x:v>HELPER_OR_SERVICE_AUTHORIZATION_REQUIRES_REVIEW</x:v>
      </x:c>
      <x:c r="H380" s="6" t="str">
        <x:v>LIVE_ROUTER_REGISTERED</x:v>
      </x:c>
      <x:c r="I380" s="6" t="str">
        <x:v>NO_DIRECT_LITERAL_MATCH_NOT_PROOF_UNUSED</x:v>
      </x:c>
      <x:c r="J380" s="6" t="str">
        <x:v>NOT_EXECUTED_BY_INVENTORY. SOURCE_LITERAL_OR_TRANSITIVE_HELPER_UNION</x:v>
      </x:c>
    </x:row>
    <x:row r="381" ht="42" customHeight="1">
      <x:c r="A381" s="15" t="str">
        <x:v>API-177</x:v>
      </x:c>
      <x:c r="B381" s="13" t="str">
        <x:v>POST</x:v>
      </x:c>
      <x:c r="C381" s="13" t="str">
        <x:v>/api/v1/admin-configuration/enterprise-structure/enterprise-core-releases/{release_id}/validate</x:v>
      </x:c>
      <x:c r="D381" s="13" t="str">
        <x:v>ADMIN MODE</x:v>
      </x:c>
      <x:c r="E381" s="13" t="str">
        <x:v>enterprise_structure</x:v>
      </x:c>
      <x:c r="F381" s="13" t="str">
        <x:v>validate core revision</x:v>
      </x:c>
      <x:c r="G381" s="13" t="str">
        <x:v>HELPER_OR_SERVICE_AUTHORIZATION_REQUIRES_REVIEW</x:v>
      </x:c>
      <x:c r="H381" s="13" t="str">
        <x:v>LIVE_ROUTER_REGISTERED</x:v>
      </x:c>
      <x:c r="I381" s="13" t="str">
        <x:v>frontend/src/features/enterprise-structure/api/index.ts</x:v>
      </x:c>
      <x:c r="J381" s="13" t="str">
        <x:v>NOT_EXECUTED_BY_INVENTORY. SOURCE_LITERAL_OR_TRANSITIVE_HELPER_UNION</x:v>
      </x:c>
    </x:row>
    <x:row r="382" ht="42" customHeight="1">
      <x:c r="A382" s="14" t="str">
        <x:v>API-178</x:v>
      </x:c>
      <x:c r="B382" s="6" t="str">
        <x:v>POST</x:v>
      </x:c>
      <x:c r="C382" s="6" t="str">
        <x:v>/api/v1/admin-configuration/enterprise-structure/enterprise-core-releases/{release_id}/workspaces</x:v>
      </x:c>
      <x:c r="D382" s="6" t="str">
        <x:v>ADMIN MODE</x:v>
      </x:c>
      <x:c r="E382" s="6" t="str">
        <x:v>enterprise_structure</x:v>
      </x:c>
      <x:c r="F382" s="6" t="str">
        <x:v>add revision workspace</x:v>
      </x:c>
      <x:c r="G382" s="6" t="str">
        <x:v>HELPER_OR_SERVICE_AUTHORIZATION_REQUIRES_REVIEW</x:v>
      </x:c>
      <x:c r="H382" s="6" t="str">
        <x:v>LIVE_ROUTER_REGISTERED</x:v>
      </x:c>
      <x:c r="I382" s="6" t="str">
        <x:v>frontend/src/features/enterprise-structure/api/index.ts</x:v>
      </x:c>
      <x:c r="J382" s="6" t="str">
        <x:v>NOT_EXECUTED_BY_INVENTORY. SOURCE_LITERAL_OR_TRANSITIVE_HELPER_UNION</x:v>
      </x:c>
    </x:row>
    <x:row r="383" ht="42" customHeight="1">
      <x:c r="A383" s="15" t="str">
        <x:v>API-179</x:v>
      </x:c>
      <x:c r="B383" s="13" t="str">
        <x:v>PATCH</x:v>
      </x:c>
      <x:c r="C383" s="13" t="str">
        <x:v>/api/v1/admin-configuration/enterprise-structure/enterprise-core-releases/{release_id}/workspaces/{workspace_key}</x:v>
      </x:c>
      <x:c r="D383" s="13" t="str">
        <x:v>ADMIN MODE</x:v>
      </x:c>
      <x:c r="E383" s="13" t="str">
        <x:v>enterprise_structure</x:v>
      </x:c>
      <x:c r="F383" s="13" t="str">
        <x:v>edit revision workspace</x:v>
      </x:c>
      <x:c r="G383" s="13" t="str">
        <x:v>HELPER_OR_SERVICE_AUTHORIZATION_REQUIRES_REVIEW</x:v>
      </x:c>
      <x:c r="H383" s="13" t="str">
        <x:v>LIVE_ROUTER_REGISTERED</x:v>
      </x:c>
      <x:c r="I383" s="13" t="str">
        <x:v>frontend/src/features/enterprise-structure/api/index.ts</x:v>
      </x:c>
      <x:c r="J383" s="13" t="str">
        <x:v>NOT_EXECUTED_BY_INVENTORY. SOURCE_LITERAL_OR_TRANSITIVE_HELPER_UNION</x:v>
      </x:c>
    </x:row>
    <x:row r="384" ht="53" customHeight="1">
      <x:c r="A384" s="14" t="str">
        <x:v>API-180</x:v>
      </x:c>
      <x:c r="B384" s="6" t="str">
        <x:v>POST</x:v>
      </x:c>
      <x:c r="C384" s="6" t="str">
        <x:v>/api/v1/admin-configuration/enterprise-structure/enterprise-core-releases/{release_id}/workspaces/{workspace_key}/archive</x:v>
      </x:c>
      <x:c r="D384" s="6" t="str">
        <x:v>ADMIN MODE</x:v>
      </x:c>
      <x:c r="E384" s="6" t="str">
        <x:v>enterprise_structure</x:v>
      </x:c>
      <x:c r="F384" s="6" t="str">
        <x:v>archive revision workspace</x:v>
      </x:c>
      <x:c r="G384" s="6" t="str">
        <x:v>HELPER_OR_SERVICE_AUTHORIZATION_REQUIRES_REVIEW</x:v>
      </x:c>
      <x:c r="H384" s="6" t="str">
        <x:v>LIVE_ROUTER_REGISTERED</x:v>
      </x:c>
      <x:c r="I384" s="6" t="str">
        <x:v>frontend/src/features/enterprise-structure/api/index.ts</x:v>
      </x:c>
      <x:c r="J384" s="6" t="str">
        <x:v>NOT_EXECUTED_BY_INVENTORY. SOURCE_LITERAL_OR_TRANSITIVE_HELPER_UNION</x:v>
      </x:c>
    </x:row>
    <x:row r="385" ht="53" customHeight="1">
      <x:c r="A385" s="15" t="str">
        <x:v>API-181</x:v>
      </x:c>
      <x:c r="B385" s="13" t="str">
        <x:v>PUT</x:v>
      </x:c>
      <x:c r="C385" s="13" t="str">
        <x:v>/api/v1/admin-configuration/enterprise-structure/enterprise-core-releases/{release_id}/workspaces/{workspace_key}/classifications</x:v>
      </x:c>
      <x:c r="D385" s="13" t="str">
        <x:v>ADMIN MODE</x:v>
      </x:c>
      <x:c r="E385" s="13" t="str">
        <x:v>enterprise_structure</x:v>
      </x:c>
      <x:c r="F385" s="13" t="str">
        <x:v>classify revision workspace</x:v>
      </x:c>
      <x:c r="G385" s="13" t="str">
        <x:v>HELPER_OR_SERVICE_AUTHORIZATION_REQUIRES_REVIEW</x:v>
      </x:c>
      <x:c r="H385" s="13" t="str">
        <x:v>LIVE_ROUTER_REGISTERED</x:v>
      </x:c>
      <x:c r="I385" s="13" t="str">
        <x:v>frontend/src/features/enterprise-structure/api/index.ts</x:v>
      </x:c>
      <x:c r="J385" s="13" t="str">
        <x:v>NOT_EXECUTED_BY_INVENTORY. SOURCE_LITERAL_OR_TRANSITIVE_HELPER_UNION</x:v>
      </x:c>
    </x:row>
    <x:row r="386" ht="53" customHeight="1">
      <x:c r="A386" s="14" t="str">
        <x:v>API-182</x:v>
      </x:c>
      <x:c r="B386" s="6" t="str">
        <x:v>POST</x:v>
      </x:c>
      <x:c r="C386" s="6" t="str">
        <x:v>/api/v1/admin-configuration/enterprise-structure/enterprise-core-releases/{release_id}/workspaces/{workspace_key}/move</x:v>
      </x:c>
      <x:c r="D386" s="6" t="str">
        <x:v>ADMIN MODE</x:v>
      </x:c>
      <x:c r="E386" s="6" t="str">
        <x:v>enterprise_structure</x:v>
      </x:c>
      <x:c r="F386" s="6" t="str">
        <x:v>move revision workspace</x:v>
      </x:c>
      <x:c r="G386" s="6" t="str">
        <x:v>HELPER_OR_SERVICE_AUTHORIZATION_REQUIRES_REVIEW</x:v>
      </x:c>
      <x:c r="H386" s="6" t="str">
        <x:v>LIVE_ROUTER_REGISTERED</x:v>
      </x:c>
      <x:c r="I386" s="6" t="str">
        <x:v>frontend/src/features/enterprise-structure/api/index.ts</x:v>
      </x:c>
      <x:c r="J386" s="6" t="str">
        <x:v>NOT_EXECUTED_BY_INVENTORY. SOURCE_LITERAL_OR_TRANSITIVE_HELPER_UNION</x:v>
      </x:c>
    </x:row>
    <x:row r="387" ht="42" customHeight="1">
      <x:c r="A387" s="15" t="str">
        <x:v>API-183</x:v>
      </x:c>
      <x:c r="B387" s="13" t="str">
        <x:v>POST</x:v>
      </x:c>
      <x:c r="C387" s="13" t="str">
        <x:v>/api/v1/admin-configuration/enterprise-structure/links</x:v>
      </x:c>
      <x:c r="D387" s="13" t="str">
        <x:v>ADMIN MODE</x:v>
      </x:c>
      <x:c r="E387" s="13" t="str">
        <x:v>enterprise_structure</x:v>
      </x:c>
      <x:c r="F387" s="13" t="str">
        <x:v>add link</x:v>
      </x:c>
      <x:c r="G387" s="13" t="str">
        <x:v>admin.enterprise_structure.manage</x:v>
      </x:c>
      <x:c r="H387" s="13" t="str">
        <x:v>LIVE_ROUTER_REGISTERED</x:v>
      </x:c>
      <x:c r="I387" s="13" t="str">
        <x:v>frontend/src/features/enterprise-structure/api/index.ts</x:v>
      </x:c>
      <x:c r="J387" s="13" t="str">
        <x:v>NOT_EXECUTED_BY_INVENTORY. SOURCE_LITERAL_OR_TRANSITIVE_HELPER_UNION</x:v>
      </x:c>
    </x:row>
    <x:row r="388" ht="42" customHeight="1">
      <x:c r="A388" s="14" t="str">
        <x:v>API-184</x:v>
      </x:c>
      <x:c r="B388" s="6" t="str">
        <x:v>DELETE</x:v>
      </x:c>
      <x:c r="C388" s="6" t="str">
        <x:v>/api/v1/admin-configuration/enterprise-structure/links/{link_id}</x:v>
      </x:c>
      <x:c r="D388" s="6" t="str">
        <x:v>ADMIN MODE</x:v>
      </x:c>
      <x:c r="E388" s="6" t="str">
        <x:v>enterprise_structure</x:v>
      </x:c>
      <x:c r="F388" s="6" t="str">
        <x:v>remove link</x:v>
      </x:c>
      <x:c r="G388" s="6" t="str">
        <x:v>admin.enterprise_structure.manage</x:v>
      </x:c>
      <x:c r="H388" s="6" t="str">
        <x:v>LIVE_ROUTER_REGISTERED</x:v>
      </x:c>
      <x:c r="I388" s="6" t="str">
        <x:v>frontend/src/features/enterprise-structure/api/index.ts</x:v>
      </x:c>
      <x:c r="J388" s="6" t="str">
        <x:v>NOT_EXECUTED_BY_INVENTORY. SOURCE_LITERAL_OR_TRANSITIVE_HELPER_UNION</x:v>
      </x:c>
    </x:row>
    <x:row r="389" ht="42" customHeight="1">
      <x:c r="A389" s="15" t="str">
        <x:v>API-185</x:v>
      </x:c>
      <x:c r="B389" s="13" t="str">
        <x:v>POST</x:v>
      </x:c>
      <x:c r="C389" s="13" t="str">
        <x:v>/api/v1/admin-configuration/enterprise-structure/nodes</x:v>
      </x:c>
      <x:c r="D389" s="13" t="str">
        <x:v>ADMIN MODE</x:v>
      </x:c>
      <x:c r="E389" s="13" t="str">
        <x:v>enterprise_structure</x:v>
      </x:c>
      <x:c r="F389" s="13" t="str">
        <x:v>create node</x:v>
      </x:c>
      <x:c r="G389" s="13" t="str">
        <x:v>admin.enterprise_structure.manage</x:v>
      </x:c>
      <x:c r="H389" s="13" t="str">
        <x:v>LIVE_ROUTER_REGISTERED</x:v>
      </x:c>
      <x:c r="I389" s="13" t="str">
        <x:v>frontend/src/features/enterprise-structure/api/index.ts</x:v>
      </x:c>
      <x:c r="J389" s="13" t="str">
        <x:v>NOT_EXECUTED_BY_INVENTORY. SOURCE_LITERAL_OR_TRANSITIVE_HELPER_UNION</x:v>
      </x:c>
    </x:row>
    <x:row r="390" ht="42" customHeight="1">
      <x:c r="A390" s="14" t="str">
        <x:v>API-186</x:v>
      </x:c>
      <x:c r="B390" s="6" t="str">
        <x:v>DELETE</x:v>
      </x:c>
      <x:c r="C390" s="6" t="str">
        <x:v>/api/v1/admin-configuration/enterprise-structure/nodes/{workspace_id}</x:v>
      </x:c>
      <x:c r="D390" s="6" t="str">
        <x:v>ADMIN MODE</x:v>
      </x:c>
      <x:c r="E390" s="6" t="str">
        <x:v>enterprise_structure</x:v>
      </x:c>
      <x:c r="F390" s="6" t="str">
        <x:v>archive node</x:v>
      </x:c>
      <x:c r="G390" s="6" t="str">
        <x:v>admin.enterprise_structure.manage</x:v>
      </x:c>
      <x:c r="H390" s="6" t="str">
        <x:v>LIVE_ROUTER_REGISTERED</x:v>
      </x:c>
      <x:c r="I390" s="6" t="str">
        <x:v>frontend/src/features/enterprise-structure/api/index.ts</x:v>
      </x:c>
      <x:c r="J390" s="6" t="str">
        <x:v>NOT_EXECUTED_BY_INVENTORY. SOURCE_LITERAL_OR_TRANSITIVE_HELPER_UNION</x:v>
      </x:c>
    </x:row>
    <x:row r="391" ht="42" customHeight="1">
      <x:c r="A391" s="15" t="str">
        <x:v>API-187</x:v>
      </x:c>
      <x:c r="B391" s="13" t="str">
        <x:v>PATCH</x:v>
      </x:c>
      <x:c r="C391" s="13" t="str">
        <x:v>/api/v1/admin-configuration/enterprise-structure/nodes/{workspace_id}</x:v>
      </x:c>
      <x:c r="D391" s="13" t="str">
        <x:v>ADMIN MODE</x:v>
      </x:c>
      <x:c r="E391" s="13" t="str">
        <x:v>enterprise_structure</x:v>
      </x:c>
      <x:c r="F391" s="13" t="str">
        <x:v>update node</x:v>
      </x:c>
      <x:c r="G391" s="13" t="str">
        <x:v>admin.enterprise_structure.manage</x:v>
      </x:c>
      <x:c r="H391" s="13" t="str">
        <x:v>LIVE_ROUTER_REGISTERED</x:v>
      </x:c>
      <x:c r="I391" s="13" t="str">
        <x:v>frontend/src/features/enterprise-structure/api/index.ts</x:v>
      </x:c>
      <x:c r="J391" s="13" t="str">
        <x:v>NOT_EXECUTED_BY_INVENTORY. SOURCE_LITERAL_OR_TRANSITIVE_HELPER_UNION</x:v>
      </x:c>
    </x:row>
    <x:row r="392" ht="42" customHeight="1">
      <x:c r="A392" s="14" t="str">
        <x:v>API-188</x:v>
      </x:c>
      <x:c r="B392" s="6" t="str">
        <x:v>POST</x:v>
      </x:c>
      <x:c r="C392" s="6" t="str">
        <x:v>/api/v1/admin-configuration/enterprise-structure/nodes/{workspace_id}/classifications</x:v>
      </x:c>
      <x:c r="D392" s="6" t="str">
        <x:v>ADMIN MODE</x:v>
      </x:c>
      <x:c r="E392" s="6" t="str">
        <x:v>enterprise_structure</x:v>
      </x:c>
      <x:c r="F392" s="6" t="str">
        <x:v>add classification</x:v>
      </x:c>
      <x:c r="G392" s="6" t="str">
        <x:v>admin.enterprise_category.manage</x:v>
      </x:c>
      <x:c r="H392" s="6" t="str">
        <x:v>LIVE_ROUTER_REGISTERED</x:v>
      </x:c>
      <x:c r="I392" s="6" t="str">
        <x:v>frontend/src/features/enterprise-structure/api/index.ts</x:v>
      </x:c>
      <x:c r="J392" s="6" t="str">
        <x:v>NOT_EXECUTED_BY_INVENTORY. SOURCE_LITERAL_OR_TRANSITIVE_HELPER_UNION</x:v>
      </x:c>
    </x:row>
    <x:row r="393" ht="42" customHeight="1">
      <x:c r="A393" s="15" t="str">
        <x:v>API-189</x:v>
      </x:c>
      <x:c r="B393" s="13" t="str">
        <x:v>PUT</x:v>
      </x:c>
      <x:c r="C393" s="13" t="str">
        <x:v>/api/v1/admin-configuration/enterprise-structure/physical-composition/{parent_type_code}</x:v>
      </x:c>
      <x:c r="D393" s="13" t="str">
        <x:v>ADMIN MODE</x:v>
      </x:c>
      <x:c r="E393" s="13" t="str">
        <x:v>enterprise_structure</x:v>
      </x:c>
      <x:c r="F393" s="13" t="str">
        <x:v>configure physical composition</x:v>
      </x:c>
      <x:c r="G393" s="13" t="str">
        <x:v>HELPER_OR_SERVICE_AUTHORIZATION_REQUIRES_REVIEW</x:v>
      </x:c>
      <x:c r="H393" s="13" t="str">
        <x:v>LIVE_ROUTER_REGISTERED</x:v>
      </x:c>
      <x:c r="I393" s="13" t="str">
        <x:v>frontend/src/features/enterprise-structure/api/index.ts</x:v>
      </x:c>
      <x:c r="J393" s="13" t="str">
        <x:v>NOT_EXECUTED_BY_INVENTORY. SOURCE_LITERAL_OR_TRANSITIVE_HELPER_UNION</x:v>
      </x:c>
    </x:row>
    <x:row r="394" ht="42" customHeight="1">
      <x:c r="A394" s="14" t="str">
        <x:v>API-190</x:v>
      </x:c>
      <x:c r="B394" s="6" t="str">
        <x:v>PUT</x:v>
      </x:c>
      <x:c r="C394" s="6" t="str">
        <x:v>/api/v1/admin-configuration/enterprise-structure/physical-creation-policies/{workspace_type_code}</x:v>
      </x:c>
      <x:c r="D394" s="6" t="str">
        <x:v>ADMIN MODE</x:v>
      </x:c>
      <x:c r="E394" s="6" t="str">
        <x:v>enterprise_structure</x:v>
      </x:c>
      <x:c r="F394" s="6" t="str">
        <x:v>configure physical creation policy</x:v>
      </x:c>
      <x:c r="G394" s="6" t="str">
        <x:v>HELPER_OR_SERVICE_AUTHORIZATION_REQUIRES_REVIEW</x:v>
      </x:c>
      <x:c r="H394" s="6" t="str">
        <x:v>LIVE_ROUTER_REGISTERED</x:v>
      </x:c>
      <x:c r="I394" s="6" t="str">
        <x:v>frontend/src/features/enterprise-structure/api/index.ts</x:v>
      </x:c>
      <x:c r="J394" s="6" t="str">
        <x:v>NOT_EXECUTED_BY_INVENTORY. SOURCE_LITERAL_OR_TRANSITIVE_HELPER_UNION</x:v>
      </x:c>
    </x:row>
    <x:row r="395" ht="42" customHeight="1">
      <x:c r="A395" s="15" t="str">
        <x:v>API-191</x:v>
      </x:c>
      <x:c r="B395" s="13" t="str">
        <x:v>PUT</x:v>
      </x:c>
      <x:c r="C395" s="13" t="str">
        <x:v>/api/v1/admin-configuration/enterprise-structure/physical-numbering/{workspace_type_code}</x:v>
      </x:c>
      <x:c r="D395" s="13" t="str">
        <x:v>ADMIN MODE</x:v>
      </x:c>
      <x:c r="E395" s="13" t="str">
        <x:v>enterprise_structure</x:v>
      </x:c>
      <x:c r="F395" s="13" t="str">
        <x:v>configure physical numbering</x:v>
      </x:c>
      <x:c r="G395" s="13" t="str">
        <x:v>HELPER_OR_SERVICE_AUTHORIZATION_REQUIRES_REVIEW</x:v>
      </x:c>
      <x:c r="H395" s="13" t="str">
        <x:v>LIVE_ROUTER_REGISTERED</x:v>
      </x:c>
      <x:c r="I395" s="13" t="str">
        <x:v>frontend/src/features/enterprise-structure/api/index.ts</x:v>
      </x:c>
      <x:c r="J395" s="13" t="str">
        <x:v>NOT_EXECUTED_BY_INVENTORY. SOURCE_LITERAL_OR_TRANSITIVE_HELPER_UNION</x:v>
      </x:c>
    </x:row>
    <x:row r="396" ht="42" customHeight="1">
      <x:c r="A396" s="14" t="str">
        <x:v>API-192</x:v>
      </x:c>
      <x:c r="B396" s="6" t="str">
        <x:v>POST</x:v>
      </x:c>
      <x:c r="C396" s="6" t="str">
        <x:v>/api/v1/admin-configuration/enterprise-structure/physical-templates</x:v>
      </x:c>
      <x:c r="D396" s="6" t="str">
        <x:v>ADMIN MODE</x:v>
      </x:c>
      <x:c r="E396" s="6" t="str">
        <x:v>enterprise_structure</x:v>
      </x:c>
      <x:c r="F396" s="6" t="str">
        <x:v>create physical template</x:v>
      </x:c>
      <x:c r="G396" s="6" t="str">
        <x:v>HELPER_OR_SERVICE_AUTHORIZATION_REQUIRES_REVIEW</x:v>
      </x:c>
      <x:c r="H396" s="6" t="str">
        <x:v>LIVE_ROUTER_REGISTERED</x:v>
      </x:c>
      <x:c r="I396" s="6" t="str">
        <x:v>NO_DIRECT_LITERAL_MATCH_NOT_PROOF_UNUSED</x:v>
      </x:c>
      <x:c r="J396" s="6" t="str">
        <x:v>NOT_EXECUTED_BY_INVENTORY. SOURCE_LITERAL_OR_TRANSITIVE_HELPER_UNION</x:v>
      </x:c>
    </x:row>
    <x:row r="397" ht="42" customHeight="1">
      <x:c r="A397" s="15" t="str">
        <x:v>API-193</x:v>
      </x:c>
      <x:c r="B397" s="13" t="str">
        <x:v>PUT</x:v>
      </x:c>
      <x:c r="C397" s="13" t="str">
        <x:v>/api/v1/admin-configuration/enterprise-structure/physical-templates/{configuration_id}</x:v>
      </x:c>
      <x:c r="D397" s="13" t="str">
        <x:v>ADMIN MODE</x:v>
      </x:c>
      <x:c r="E397" s="13" t="str">
        <x:v>enterprise_structure</x:v>
      </x:c>
      <x:c r="F397" s="13" t="str">
        <x:v>update physical template</x:v>
      </x:c>
      <x:c r="G397" s="13" t="str">
        <x:v>HELPER_OR_SERVICE_AUTHORIZATION_REQUIRES_REVIEW</x:v>
      </x:c>
      <x:c r="H397" s="13" t="str">
        <x:v>LIVE_ROUTER_REGISTERED</x:v>
      </x:c>
      <x:c r="I397" s="13" t="str">
        <x:v>NO_DIRECT_LITERAL_MATCH_NOT_PROOF_UNUSED</x:v>
      </x:c>
      <x:c r="J397" s="13" t="str">
        <x:v>NOT_EXECUTED_BY_INVENTORY. SOURCE_LITERAL_OR_TRANSITIVE_HELPER_UNION</x:v>
      </x:c>
    </x:row>
    <x:row r="398" ht="42" customHeight="1">
      <x:c r="A398" s="14" t="str">
        <x:v>API-194</x:v>
      </x:c>
      <x:c r="B398" s="6" t="str">
        <x:v>POST</x:v>
      </x:c>
      <x:c r="C398" s="6" t="str">
        <x:v>/api/v1/admin-configuration/enterprise-structure/physical-templates/{configuration_id}/archive</x:v>
      </x:c>
      <x:c r="D398" s="6" t="str">
        <x:v>ADMIN MODE</x:v>
      </x:c>
      <x:c r="E398" s="6" t="str">
        <x:v>enterprise_structure</x:v>
      </x:c>
      <x:c r="F398" s="6" t="str">
        <x:v>archive physical template</x:v>
      </x:c>
      <x:c r="G398" s="6" t="str">
        <x:v>HELPER_OR_SERVICE_AUTHORIZATION_REQUIRES_REVIEW</x:v>
      </x:c>
      <x:c r="H398" s="6" t="str">
        <x:v>LIVE_ROUTER_REGISTERED</x:v>
      </x:c>
      <x:c r="I398" s="6" t="str">
        <x:v>NO_DIRECT_LITERAL_MATCH_NOT_PROOF_UNUSED</x:v>
      </x:c>
      <x:c r="J398" s="6" t="str">
        <x:v>NOT_EXECUTED_BY_INVENTORY. SOURCE_LITERAL_OR_TRANSITIVE_HELPER_UNION</x:v>
      </x:c>
    </x:row>
    <x:row r="399" ht="42" customHeight="1">
      <x:c r="A399" s="15" t="str">
        <x:v>API-195</x:v>
      </x:c>
      <x:c r="B399" s="13" t="str">
        <x:v>POST</x:v>
      </x:c>
      <x:c r="C399" s="13" t="str">
        <x:v>/api/v1/admin-configuration/enterprise-structure/physical-templates/{configuration_id}/publish</x:v>
      </x:c>
      <x:c r="D399" s="13" t="str">
        <x:v>ADMIN MODE</x:v>
      </x:c>
      <x:c r="E399" s="13" t="str">
        <x:v>enterprise_structure</x:v>
      </x:c>
      <x:c r="F399" s="13" t="str">
        <x:v>publish physical template</x:v>
      </x:c>
      <x:c r="G399" s="13" t="str">
        <x:v>HELPER_OR_SERVICE_AUTHORIZATION_REQUIRES_REVIEW</x:v>
      </x:c>
      <x:c r="H399" s="13" t="str">
        <x:v>LIVE_ROUTER_REGISTERED</x:v>
      </x:c>
      <x:c r="I399" s="13" t="str">
        <x:v>NO_DIRECT_LITERAL_MATCH_NOT_PROOF_UNUSED</x:v>
      </x:c>
      <x:c r="J399" s="13" t="str">
        <x:v>NOT_EXECUTED_BY_INVENTORY. SOURCE_LITERAL_OR_TRANSITIVE_HELPER_UNION</x:v>
      </x:c>
    </x:row>
    <x:row r="400" ht="42" customHeight="1">
      <x:c r="A400" s="14" t="str">
        <x:v>API-196</x:v>
      </x:c>
      <x:c r="B400" s="6" t="str">
        <x:v>POST</x:v>
      </x:c>
      <x:c r="C400" s="6" t="str">
        <x:v>/api/v1/admin-configuration/enterprise-structure/physical-templates/{configuration_id}/validate</x:v>
      </x:c>
      <x:c r="D400" s="6" t="str">
        <x:v>ADMIN MODE</x:v>
      </x:c>
      <x:c r="E400" s="6" t="str">
        <x:v>enterprise_structure</x:v>
      </x:c>
      <x:c r="F400" s="6" t="str">
        <x:v>validate physical template</x:v>
      </x:c>
      <x:c r="G400" s="6" t="str">
        <x:v>HELPER_OR_SERVICE_AUTHORIZATION_REQUIRES_REVIEW</x:v>
      </x:c>
      <x:c r="H400" s="6" t="str">
        <x:v>LIVE_ROUTER_REGISTERED</x:v>
      </x:c>
      <x:c r="I400" s="6" t="str">
        <x:v>NO_DIRECT_LITERAL_MATCH_NOT_PROOF_UNUSED</x:v>
      </x:c>
      <x:c r="J400" s="6" t="str">
        <x:v>NOT_EXECUTED_BY_INVENTORY. SOURCE_LITERAL_OR_TRANSITIVE_HELPER_UNION</x:v>
      </x:c>
    </x:row>
    <x:row r="401" ht="42" customHeight="1">
      <x:c r="A401" s="15" t="str">
        <x:v>API-197</x:v>
      </x:c>
      <x:c r="B401" s="13" t="str">
        <x:v>GET</x:v>
      </x:c>
      <x:c r="C401" s="13" t="str">
        <x:v>/api/v1/admin-configuration/enterprise-structure/physical-workspaces</x:v>
      </x:c>
      <x:c r="D401" s="13" t="str">
        <x:v>ADMIN MODE</x:v>
      </x:c>
      <x:c r="E401" s="13" t="str">
        <x:v>enterprise_structure</x:v>
      </x:c>
      <x:c r="F401" s="13" t="str">
        <x:v>physical workspace configuration</x:v>
      </x:c>
      <x:c r="G401" s="13" t="str">
        <x:v>HELPER_OR_SERVICE_AUTHORIZATION_REQUIRES_REVIEW</x:v>
      </x:c>
      <x:c r="H401" s="13" t="str">
        <x:v>LIVE_ROUTER_REGISTERED</x:v>
      </x:c>
      <x:c r="I401" s="13" t="str">
        <x:v>frontend/src/features/enterprise-structure/api/index.ts</x:v>
      </x:c>
      <x:c r="J401" s="13" t="str">
        <x:v>NOT_EXECUTED_BY_INVENTORY. SOURCE_LITERAL_OR_TRANSITIVE_HELPER_UNION</x:v>
      </x:c>
    </x:row>
    <x:row r="402" ht="42" customHeight="1">
      <x:c r="A402" s="14" t="str">
        <x:v>API-198</x:v>
      </x:c>
      <x:c r="B402" s="6" t="str">
        <x:v>POST</x:v>
      </x:c>
      <x:c r="C402" s="6" t="str">
        <x:v>/api/v1/admin-configuration/enterprise-structure/physical-workspaces/preview</x:v>
      </x:c>
      <x:c r="D402" s="6" t="str">
        <x:v>ADMIN MODE</x:v>
      </x:c>
      <x:c r="E402" s="6" t="str">
        <x:v>enterprise_structure</x:v>
      </x:c>
      <x:c r="F402" s="6" t="str">
        <x:v>preview physical workspace</x:v>
      </x:c>
      <x:c r="G402" s="6" t="str">
        <x:v>HELPER_OR_SERVICE_AUTHORIZATION_REQUIRES_REVIEW</x:v>
      </x:c>
      <x:c r="H402" s="6" t="str">
        <x:v>LIVE_ROUTER_REGISTERED</x:v>
      </x:c>
      <x:c r="I402" s="6" t="str">
        <x:v>frontend/src/features/enterprise-structure/api/index.ts</x:v>
      </x:c>
      <x:c r="J402" s="6" t="str">
        <x:v>NOT_EXECUTED_BY_INVENTORY. SOURCE_LITERAL_OR_TRANSITIVE_HELPER_UNION</x:v>
      </x:c>
    </x:row>
    <x:row r="403" ht="42" customHeight="1">
      <x:c r="A403" s="15" t="str">
        <x:v>API-199</x:v>
      </x:c>
      <x:c r="B403" s="13" t="str">
        <x:v>POST</x:v>
      </x:c>
      <x:c r="C403" s="13" t="str">
        <x:v>/api/v1/admin-configuration/enterprise-structure/physical-workspaces/{workspace_type_code}/configure</x:v>
      </x:c>
      <x:c r="D403" s="13" t="str">
        <x:v>ADMIN MODE</x:v>
      </x:c>
      <x:c r="E403" s="13" t="str">
        <x:v>enterprise_structure</x:v>
      </x:c>
      <x:c r="F403" s="13" t="str">
        <x:v>configure physical workspace type</x:v>
      </x:c>
      <x:c r="G403" s="13" t="str">
        <x:v>HELPER_OR_SERVICE_AUTHORIZATION_REQUIRES_REVIEW</x:v>
      </x:c>
      <x:c r="H403" s="13" t="str">
        <x:v>LIVE_ROUTER_REGISTERED</x:v>
      </x:c>
      <x:c r="I403" s="13" t="str">
        <x:v>NO_DIRECT_LITERAL_MATCH_NOT_PROOF_UNUSED</x:v>
      </x:c>
      <x:c r="J403" s="13" t="str">
        <x:v>NOT_EXECUTED_BY_INVENTORY. SOURCE_LITERAL_OR_TRANSITIVE_HELPER_UNION</x:v>
      </x:c>
    </x:row>
    <x:row r="404" ht="42" customHeight="1">
      <x:c r="A404" s="14" t="str">
        <x:v>API-200</x:v>
      </x:c>
      <x:c r="B404" s="6" t="str">
        <x:v>PUT</x:v>
      </x:c>
      <x:c r="C404" s="6" t="str">
        <x:v>/api/v1/admin-configuration/enterprise-structure/project-creation-policy</x:v>
      </x:c>
      <x:c r="D404" s="6" t="str">
        <x:v>ADMIN MODE</x:v>
      </x:c>
      <x:c r="E404" s="6" t="str">
        <x:v>enterprise_structure</x:v>
      </x:c>
      <x:c r="F404" s="6" t="str">
        <x:v>configure project creation policy</x:v>
      </x:c>
      <x:c r="G404" s="6" t="str">
        <x:v>HELPER_OR_SERVICE_AUTHORIZATION_REQUIRES_REVIEW</x:v>
      </x:c>
      <x:c r="H404" s="6" t="str">
        <x:v>LIVE_ROUTER_REGISTERED</x:v>
      </x:c>
      <x:c r="I404" s="6" t="str">
        <x:v>frontend/src/features/enterprise-structure/api/index.ts</x:v>
      </x:c>
      <x:c r="J404" s="6" t="str">
        <x:v>NOT_EXECUTED_BY_INVENTORY. SOURCE_LITERAL_OR_TRANSITIVE_HELPER_UNION</x:v>
      </x:c>
    </x:row>
    <x:row r="405" ht="42" customHeight="1">
      <x:c r="A405" s="15" t="str">
        <x:v>API-201</x:v>
      </x:c>
      <x:c r="B405" s="13" t="str">
        <x:v>POST</x:v>
      </x:c>
      <x:c r="C405" s="13" t="str">
        <x:v>/api/v1/admin-configuration/enterprise-structure/project-governance-models/preview</x:v>
      </x:c>
      <x:c r="D405" s="13" t="str">
        <x:v>ADMIN MODE</x:v>
      </x:c>
      <x:c r="E405" s="13" t="str">
        <x:v>enterprise_structure</x:v>
      </x:c>
      <x:c r="F405" s="13" t="str">
        <x:v>preview project governance model</x:v>
      </x:c>
      <x:c r="G405" s="13" t="str">
        <x:v>HELPER_OR_SERVICE_AUTHORIZATION_REQUIRES_REVIEW</x:v>
      </x:c>
      <x:c r="H405" s="13" t="str">
        <x:v>LIVE_ROUTER_REGISTERED</x:v>
      </x:c>
      <x:c r="I405" s="13" t="str">
        <x:v>frontend/src/features/enterprise-structure/api/index.ts</x:v>
      </x:c>
      <x:c r="J405" s="13" t="str">
        <x:v>NOT_EXECUTED_BY_INVENTORY. SOURCE_LITERAL_OR_TRANSITIVE_HELPER_UNION</x:v>
      </x:c>
    </x:row>
    <x:row r="406" ht="42" customHeight="1">
      <x:c r="A406" s="14" t="str">
        <x:v>API-202</x:v>
      </x:c>
      <x:c r="B406" s="6" t="str">
        <x:v>PUT</x:v>
      </x:c>
      <x:c r="C406" s="6" t="str">
        <x:v>/api/v1/admin-configuration/enterprise-structure/project-governance-models/{governance_model}</x:v>
      </x:c>
      <x:c r="D406" s="6" t="str">
        <x:v>ADMIN MODE</x:v>
      </x:c>
      <x:c r="E406" s="6" t="str">
        <x:v>enterprise_structure</x:v>
      </x:c>
      <x:c r="F406" s="6" t="str">
        <x:v>configure project governance model</x:v>
      </x:c>
      <x:c r="G406" s="6" t="str">
        <x:v>HELPER_OR_SERVICE_AUTHORIZATION_REQUIRES_REVIEW</x:v>
      </x:c>
      <x:c r="H406" s="6" t="str">
        <x:v>LIVE_ROUTER_REGISTERED</x:v>
      </x:c>
      <x:c r="I406" s="6" t="str">
        <x:v>frontend/src/features/enterprise-structure/api/index.ts</x:v>
      </x:c>
      <x:c r="J406" s="6" t="str">
        <x:v>NOT_EXECUTED_BY_INVENTORY. SOURCE_LITERAL_OR_TRANSITIVE_HELPER_UNION</x:v>
      </x:c>
    </x:row>
    <x:row r="407" ht="42" customHeight="1">
      <x:c r="A407" s="15" t="str">
        <x:v>API-203</x:v>
      </x:c>
      <x:c r="B407" s="13" t="str">
        <x:v>PUT</x:v>
      </x:c>
      <x:c r="C407" s="13" t="str">
        <x:v>/api/v1/admin-configuration/enterprise-structure/project-numbering</x:v>
      </x:c>
      <x:c r="D407" s="13" t="str">
        <x:v>ADMIN MODE</x:v>
      </x:c>
      <x:c r="E407" s="13" t="str">
        <x:v>enterprise_structure</x:v>
      </x:c>
      <x:c r="F407" s="13" t="str">
        <x:v>configure project numbering</x:v>
      </x:c>
      <x:c r="G407" s="13" t="str">
        <x:v>HELPER_OR_SERVICE_AUTHORIZATION_REQUIRES_REVIEW</x:v>
      </x:c>
      <x:c r="H407" s="13" t="str">
        <x:v>LIVE_ROUTER_REGISTERED</x:v>
      </x:c>
      <x:c r="I407" s="13" t="str">
        <x:v>frontend/src/features/enterprise-structure/api/index.ts</x:v>
      </x:c>
      <x:c r="J407" s="13" t="str">
        <x:v>NOT_EXECUTED_BY_INVENTORY. SOURCE_LITERAL_OR_TRANSITIVE_HELPER_UNION</x:v>
      </x:c>
    </x:row>
    <x:row r="408" ht="42" customHeight="1">
      <x:c r="A408" s="14" t="str">
        <x:v>API-204</x:v>
      </x:c>
      <x:c r="B408" s="6" t="str">
        <x:v>POST</x:v>
      </x:c>
      <x:c r="C408" s="6" t="str">
        <x:v>/api/v1/admin-configuration/enterprise-structure/project-templates</x:v>
      </x:c>
      <x:c r="D408" s="6" t="str">
        <x:v>ADMIN MODE</x:v>
      </x:c>
      <x:c r="E408" s="6" t="str">
        <x:v>enterprise_structure</x:v>
      </x:c>
      <x:c r="F408" s="6" t="str">
        <x:v>create project template</x:v>
      </x:c>
      <x:c r="G408" s="6" t="str">
        <x:v>HELPER_OR_SERVICE_AUTHORIZATION_REQUIRES_REVIEW</x:v>
      </x:c>
      <x:c r="H408" s="6" t="str">
        <x:v>LIVE_ROUTER_REGISTERED</x:v>
      </x:c>
      <x:c r="I408" s="6" t="str">
        <x:v>frontend/src/features/enterprise-structure/api/index.ts</x:v>
      </x:c>
      <x:c r="J408" s="6" t="str">
        <x:v>NOT_EXECUTED_BY_INVENTORY. SOURCE_LITERAL_OR_TRANSITIVE_HELPER_UNION</x:v>
      </x:c>
    </x:row>
    <x:row r="409" ht="42" customHeight="1">
      <x:c r="A409" s="15" t="str">
        <x:v>API-205</x:v>
      </x:c>
      <x:c r="B409" s="13" t="str">
        <x:v>PUT</x:v>
      </x:c>
      <x:c r="C409" s="13" t="str">
        <x:v>/api/v1/admin-configuration/enterprise-structure/project-templates/{configuration_id}</x:v>
      </x:c>
      <x:c r="D409" s="13" t="str">
        <x:v>ADMIN MODE</x:v>
      </x:c>
      <x:c r="E409" s="13" t="str">
        <x:v>enterprise_structure</x:v>
      </x:c>
      <x:c r="F409" s="13" t="str">
        <x:v>update project template</x:v>
      </x:c>
      <x:c r="G409" s="13" t="str">
        <x:v>HELPER_OR_SERVICE_AUTHORIZATION_REQUIRES_REVIEW</x:v>
      </x:c>
      <x:c r="H409" s="13" t="str">
        <x:v>LIVE_ROUTER_REGISTERED</x:v>
      </x:c>
      <x:c r="I409" s="13" t="str">
        <x:v>frontend/src/features/enterprise-structure/api/index.ts</x:v>
      </x:c>
      <x:c r="J409" s="13" t="str">
        <x:v>NOT_EXECUTED_BY_INVENTORY. SOURCE_LITERAL_OR_TRANSITIVE_HELPER_UNION</x:v>
      </x:c>
    </x:row>
    <x:row r="410" ht="42" customHeight="1">
      <x:c r="A410" s="14" t="str">
        <x:v>API-206</x:v>
      </x:c>
      <x:c r="B410" s="6" t="str">
        <x:v>POST</x:v>
      </x:c>
      <x:c r="C410" s="6" t="str">
        <x:v>/api/v1/admin-configuration/enterprise-structure/project-templates/{configuration_id}/archive</x:v>
      </x:c>
      <x:c r="D410" s="6" t="str">
        <x:v>ADMIN MODE</x:v>
      </x:c>
      <x:c r="E410" s="6" t="str">
        <x:v>enterprise_structure</x:v>
      </x:c>
      <x:c r="F410" s="6" t="str">
        <x:v>archive project template</x:v>
      </x:c>
      <x:c r="G410" s="6" t="str">
        <x:v>HELPER_OR_SERVICE_AUTHORIZATION_REQUIRES_REVIEW</x:v>
      </x:c>
      <x:c r="H410" s="6" t="str">
        <x:v>LIVE_ROUTER_REGISTERED</x:v>
      </x:c>
      <x:c r="I410" s="6" t="str">
        <x:v>frontend/src/features/enterprise-structure/api/index.ts</x:v>
      </x:c>
      <x:c r="J410" s="6" t="str">
        <x:v>NOT_EXECUTED_BY_INVENTORY. SOURCE_LITERAL_OR_TRANSITIVE_HELPER_UNION</x:v>
      </x:c>
    </x:row>
    <x:row r="411" ht="42" customHeight="1">
      <x:c r="A411" s="15" t="str">
        <x:v>API-207</x:v>
      </x:c>
      <x:c r="B411" s="13" t="str">
        <x:v>POST</x:v>
      </x:c>
      <x:c r="C411" s="13" t="str">
        <x:v>/api/v1/admin-configuration/enterprise-structure/project-templates/{configuration_id}/clone</x:v>
      </x:c>
      <x:c r="D411" s="13" t="str">
        <x:v>ADMIN MODE</x:v>
      </x:c>
      <x:c r="E411" s="13" t="str">
        <x:v>enterprise_structure</x:v>
      </x:c>
      <x:c r="F411" s="13" t="str">
        <x:v>clone project template</x:v>
      </x:c>
      <x:c r="G411" s="13" t="str">
        <x:v>HELPER_OR_SERVICE_AUTHORIZATION_REQUIRES_REVIEW</x:v>
      </x:c>
      <x:c r="H411" s="13" t="str">
        <x:v>LIVE_ROUTER_REGISTERED</x:v>
      </x:c>
      <x:c r="I411" s="13" t="str">
        <x:v>frontend/src/features/enterprise-structure/api/index.ts</x:v>
      </x:c>
      <x:c r="J411" s="13" t="str">
        <x:v>NOT_EXECUTED_BY_INVENTORY. SOURCE_LITERAL_OR_TRANSITIVE_HELPER_UNION</x:v>
      </x:c>
    </x:row>
    <x:row r="412" ht="42" customHeight="1">
      <x:c r="A412" s="14" t="str">
        <x:v>API-208</x:v>
      </x:c>
      <x:c r="B412" s="6" t="str">
        <x:v>POST</x:v>
      </x:c>
      <x:c r="C412" s="6" t="str">
        <x:v>/api/v1/admin-configuration/enterprise-structure/project-templates/{configuration_id}/publish</x:v>
      </x:c>
      <x:c r="D412" s="6" t="str">
        <x:v>ADMIN MODE</x:v>
      </x:c>
      <x:c r="E412" s="6" t="str">
        <x:v>enterprise_structure</x:v>
      </x:c>
      <x:c r="F412" s="6" t="str">
        <x:v>publish project template</x:v>
      </x:c>
      <x:c r="G412" s="6" t="str">
        <x:v>HELPER_OR_SERVICE_AUTHORIZATION_REQUIRES_REVIEW</x:v>
      </x:c>
      <x:c r="H412" s="6" t="str">
        <x:v>LIVE_ROUTER_REGISTERED</x:v>
      </x:c>
      <x:c r="I412" s="6" t="str">
        <x:v>frontend/src/features/enterprise-structure/api/index.ts</x:v>
      </x:c>
      <x:c r="J412" s="6" t="str">
        <x:v>NOT_EXECUTED_BY_INVENTORY. SOURCE_LITERAL_OR_TRANSITIVE_HELPER_UNION</x:v>
      </x:c>
    </x:row>
    <x:row r="413" ht="42" customHeight="1">
      <x:c r="A413" s="15" t="str">
        <x:v>API-209</x:v>
      </x:c>
      <x:c r="B413" s="13" t="str">
        <x:v>POST</x:v>
      </x:c>
      <x:c r="C413" s="13" t="str">
        <x:v>/api/v1/admin-configuration/enterprise-structure/project-templates/{configuration_id}/validate</x:v>
      </x:c>
      <x:c r="D413" s="13" t="str">
        <x:v>ADMIN MODE</x:v>
      </x:c>
      <x:c r="E413" s="13" t="str">
        <x:v>enterprise_structure</x:v>
      </x:c>
      <x:c r="F413" s="13" t="str">
        <x:v>validate project template</x:v>
      </x:c>
      <x:c r="G413" s="13" t="str">
        <x:v>HELPER_OR_SERVICE_AUTHORIZATION_REQUIRES_REVIEW</x:v>
      </x:c>
      <x:c r="H413" s="13" t="str">
        <x:v>LIVE_ROUTER_REGISTERED</x:v>
      </x:c>
      <x:c r="I413" s="13" t="str">
        <x:v>frontend/src/features/enterprise-structure/api/index.ts</x:v>
      </x:c>
      <x:c r="J413" s="13" t="str">
        <x:v>NOT_EXECUTED_BY_INVENTORY. SOURCE_LITERAL_OR_TRANSITIVE_HELPER_UNION</x:v>
      </x:c>
    </x:row>
    <x:row r="414" ht="42" customHeight="1">
      <x:c r="A414" s="14" t="str">
        <x:v>API-210</x:v>
      </x:c>
      <x:c r="B414" s="6" t="str">
        <x:v>GET</x:v>
      </x:c>
      <x:c r="C414" s="6" t="str">
        <x:v>/api/v1/admin-configuration/enterprise-structure/project-workspace</x:v>
      </x:c>
      <x:c r="D414" s="6" t="str">
        <x:v>ADMIN MODE</x:v>
      </x:c>
      <x:c r="E414" s="6" t="str">
        <x:v>enterprise_structure</x:v>
      </x:c>
      <x:c r="F414" s="6" t="str">
        <x:v>project workspace configuration</x:v>
      </x:c>
      <x:c r="G414" s="6" t="str">
        <x:v>HELPER_OR_SERVICE_AUTHORIZATION_REQUIRES_REVIEW</x:v>
      </x:c>
      <x:c r="H414" s="6" t="str">
        <x:v>LIVE_ROUTER_REGISTERED</x:v>
      </x:c>
      <x:c r="I414" s="6" t="str">
        <x:v>frontend/src/features/enterprise-structure/api/index.ts</x:v>
      </x:c>
      <x:c r="J414" s="6" t="str">
        <x:v>NOT_EXECUTED_BY_INVENTORY. SOURCE_LITERAL_OR_TRANSITIVE_HELPER_UNION</x:v>
      </x:c>
    </x:row>
    <x:row r="415" ht="42" customHeight="1">
      <x:c r="A415" s="15" t="str">
        <x:v>API-211</x:v>
      </x:c>
      <x:c r="B415" s="13" t="str">
        <x:v>POST</x:v>
      </x:c>
      <x:c r="C415" s="13" t="str">
        <x:v>/api/v1/admin-configuration/enterprise-structure/project-workspace/preview</x:v>
      </x:c>
      <x:c r="D415" s="13" t="str">
        <x:v>ADMIN MODE</x:v>
      </x:c>
      <x:c r="E415" s="13" t="str">
        <x:v>enterprise_structure</x:v>
      </x:c>
      <x:c r="F415" s="13" t="str">
        <x:v>preview project workspace</x:v>
      </x:c>
      <x:c r="G415" s="13" t="str">
        <x:v>HELPER_OR_SERVICE_AUTHORIZATION_REQUIRES_REVIEW</x:v>
      </x:c>
      <x:c r="H415" s="13" t="str">
        <x:v>LIVE_ROUTER_REGISTERED</x:v>
      </x:c>
      <x:c r="I415" s="13" t="str">
        <x:v>frontend/src/features/enterprise-structure/api/index.ts</x:v>
      </x:c>
      <x:c r="J415" s="13" t="str">
        <x:v>NOT_EXECUTED_BY_INVENTORY. SOURCE_LITERAL_OR_TRANSITIVE_HELPER_UNION</x:v>
      </x:c>
    </x:row>
    <x:row r="416" ht="42" customHeight="1">
      <x:c r="A416" s="14" t="str">
        <x:v>API-212</x:v>
      </x:c>
      <x:c r="B416" s="6" t="str">
        <x:v>POST</x:v>
      </x:c>
      <x:c r="C416" s="6" t="str">
        <x:v>/api/v1/admin-configuration/enterprise-structure/publish</x:v>
      </x:c>
      <x:c r="D416" s="6" t="str">
        <x:v>ADMIN MODE</x:v>
      </x:c>
      <x:c r="E416" s="6" t="str">
        <x:v>enterprise_structure</x:v>
      </x:c>
      <x:c r="F416" s="6" t="str">
        <x:v>publish configuration</x:v>
      </x:c>
      <x:c r="G416" s="6" t="str">
        <x:v>admin.enterprise_structure.publish</x:v>
      </x:c>
      <x:c r="H416" s="6" t="str">
        <x:v>LIVE_ROUTER_REGISTERED</x:v>
      </x:c>
      <x:c r="I416" s="6" t="str">
        <x:v>frontend/src/features/enterprise-structure/api/index.ts</x:v>
      </x:c>
      <x:c r="J416" s="6" t="str">
        <x:v>NOT_EXECUTED_BY_INVENTORY. SOURCE_LITERAL_OR_TRANSITIVE_HELPER_UNION</x:v>
      </x:c>
    </x:row>
    <x:row r="417" ht="42" customHeight="1">
      <x:c r="A417" s="15" t="str">
        <x:v>API-213</x:v>
      </x:c>
      <x:c r="B417" s="13" t="str">
        <x:v>GET</x:v>
      </x:c>
      <x:c r="C417" s="13" t="str">
        <x:v>/api/v1/admin-configuration/enterprise-structure/tree</x:v>
      </x:c>
      <x:c r="D417" s="13" t="str">
        <x:v>ADMIN MODE</x:v>
      </x:c>
      <x:c r="E417" s="13" t="str">
        <x:v>enterprise_structure</x:v>
      </x:c>
      <x:c r="F417" s="13" t="str">
        <x:v>tree</x:v>
      </x:c>
      <x:c r="G417" s="13" t="str">
        <x:v>admin.enterprise_structure.read</x:v>
      </x:c>
      <x:c r="H417" s="13" t="str">
        <x:v>LIVE_ROUTER_REGISTERED</x:v>
      </x:c>
      <x:c r="I417" s="13" t="str">
        <x:v>NO_DIRECT_LITERAL_MATCH_NOT_PROOF_UNUSED</x:v>
      </x:c>
      <x:c r="J417" s="13" t="str">
        <x:v>NOT_EXECUTED_BY_INVENTORY. SOURCE_LITERAL_OR_TRANSITIVE_HELPER_UNION</x:v>
      </x:c>
    </x:row>
    <x:row r="418" ht="42" customHeight="1">
      <x:c r="A418" s="14" t="str">
        <x:v>API-214</x:v>
      </x:c>
      <x:c r="B418" s="6" t="str">
        <x:v>GET</x:v>
      </x:c>
      <x:c r="C418" s="6" t="str">
        <x:v>/api/v1/admin-configuration/enterprise-structure/types</x:v>
      </x:c>
      <x:c r="D418" s="6" t="str">
        <x:v>ADMIN MODE</x:v>
      </x:c>
      <x:c r="E418" s="6" t="str">
        <x:v>enterprise_structure</x:v>
      </x:c>
      <x:c r="F418" s="6" t="str">
        <x:v>workspace types</x:v>
      </x:c>
      <x:c r="G418" s="6" t="str">
        <x:v>admin.workspace_type.read</x:v>
      </x:c>
      <x:c r="H418" s="6" t="str">
        <x:v>LIVE_ROUTER_REGISTERED</x:v>
      </x:c>
      <x:c r="I418" s="6" t="str">
        <x:v>NO_DIRECT_LITERAL_MATCH_NOT_PROOF_UNUSED</x:v>
      </x:c>
      <x:c r="J418" s="6" t="str">
        <x:v>NOT_EXECUTED_BY_INVENTORY. SOURCE_LITERAL_OR_TRANSITIVE_HELPER_UNION</x:v>
      </x:c>
    </x:row>
    <x:row r="419" ht="42" customHeight="1">
      <x:c r="A419" s="15" t="str">
        <x:v>API-215</x:v>
      </x:c>
      <x:c r="B419" s="13" t="str">
        <x:v>POST</x:v>
      </x:c>
      <x:c r="C419" s="13" t="str">
        <x:v>/api/v1/admin-configuration/enterprise-structure/types/{type_code}/clone</x:v>
      </x:c>
      <x:c r="D419" s="13" t="str">
        <x:v>ADMIN MODE</x:v>
      </x:c>
      <x:c r="E419" s="13" t="str">
        <x:v>enterprise_structure</x:v>
      </x:c>
      <x:c r="F419" s="13" t="str">
        <x:v>clone workspace type</x:v>
      </x:c>
      <x:c r="G419" s="13" t="str">
        <x:v>admin.workspace_type.manage</x:v>
      </x:c>
      <x:c r="H419" s="13" t="str">
        <x:v>LIVE_ROUTER_REGISTERED</x:v>
      </x:c>
      <x:c r="I419" s="13" t="str">
        <x:v>NO_DIRECT_LITERAL_MATCH_NOT_PROOF_UNUSED</x:v>
      </x:c>
      <x:c r="J419" s="13" t="str">
        <x:v>NOT_EXECUTED_BY_INVENTORY. SOURCE_LITERAL_OR_TRANSITIVE_HELPER_UNION</x:v>
      </x:c>
    </x:row>
    <x:row r="420" ht="42" customHeight="1">
      <x:c r="A420" s="14" t="str">
        <x:v>API-216</x:v>
      </x:c>
      <x:c r="B420" s="6" t="str">
        <x:v>POST</x:v>
      </x:c>
      <x:c r="C420" s="6" t="str">
        <x:v>/api/v1/admin-configuration/enterprise-structure/validate</x:v>
      </x:c>
      <x:c r="D420" s="6" t="str">
        <x:v>ADMIN MODE</x:v>
      </x:c>
      <x:c r="E420" s="6" t="str">
        <x:v>enterprise_structure</x:v>
      </x:c>
      <x:c r="F420" s="6" t="str">
        <x:v>validate configuration</x:v>
      </x:c>
      <x:c r="G420" s="6" t="str">
        <x:v>admin.enterprise_structure.publish</x:v>
      </x:c>
      <x:c r="H420" s="6" t="str">
        <x:v>LIVE_ROUTER_REGISTERED</x:v>
      </x:c>
      <x:c r="I420" s="6" t="str">
        <x:v>frontend/src/features/enterprise-structure/api/index.ts</x:v>
      </x:c>
      <x:c r="J420" s="6" t="str">
        <x:v>NOT_EXECUTED_BY_INVENTORY. SOURCE_LITERAL_OR_TRANSITIVE_HELPER_UNION</x:v>
      </x:c>
    </x:row>
    <x:row r="421" ht="42" customHeight="1">
      <x:c r="A421" s="15" t="str">
        <x:v>API-217</x:v>
      </x:c>
      <x:c r="B421" s="13" t="str">
        <x:v>GET</x:v>
      </x:c>
      <x:c r="C421" s="13" t="str">
        <x:v>/api/v1/enterprise-structure/nodes</x:v>
      </x:c>
      <x:c r="D421" s="13" t="str">
        <x:v>READ-ONLY SHARED CONTEXT</x:v>
      </x:c>
      <x:c r="E421" s="13" t="str">
        <x:v>enterprise_structure</x:v>
      </x:c>
      <x:c r="F421" s="13" t="str">
        <x:v>nodes</x:v>
      </x:c>
      <x:c r="G421" s="13" t="str">
        <x:v>HELPER_OR_SERVICE_AUTHORIZATION_REQUIRES_REVIEW</x:v>
      </x:c>
      <x:c r="H421" s="13" t="str">
        <x:v>LIVE_ROUTER_REGISTERED</x:v>
      </x:c>
      <x:c r="I421" s="13" t="str">
        <x:v>NO_DIRECT_LITERAL_MATCH_NOT_PROOF_UNUSED</x:v>
      </x:c>
      <x:c r="J421" s="13" t="str">
        <x:v>NOT_EXECUTED_BY_INVENTORY. SOURCE_LITERAL_OR_TRANSITIVE_HELPER_UNION</x:v>
      </x:c>
    </x:row>
    <x:row r="422" ht="42" customHeight="1">
      <x:c r="A422" s="14" t="str">
        <x:v>API-218</x:v>
      </x:c>
      <x:c r="B422" s="6" t="str">
        <x:v>GET</x:v>
      </x:c>
      <x:c r="C422" s="6" t="str">
        <x:v>/api/v1/enterprise-structure/nodes/{workspace_id}</x:v>
      </x:c>
      <x:c r="D422" s="6" t="str">
        <x:v>READ-ONLY SHARED CONTEXT</x:v>
      </x:c>
      <x:c r="E422" s="6" t="str">
        <x:v>enterprise_structure</x:v>
      </x:c>
      <x:c r="F422" s="6" t="str">
        <x:v>node detail</x:v>
      </x:c>
      <x:c r="G422" s="6" t="str">
        <x:v>HELPER_OR_SERVICE_AUTHORIZATION_REQUIRES_REVIEW</x:v>
      </x:c>
      <x:c r="H422" s="6" t="str">
        <x:v>LIVE_ROUTER_REGISTERED</x:v>
      </x:c>
      <x:c r="I422" s="6" t="str">
        <x:v>frontend/src/features/enterprise-structure/api/index.ts</x:v>
      </x:c>
      <x:c r="J422" s="6" t="str">
        <x:v>NOT_EXECUTED_BY_INVENTORY. SOURCE_LITERAL_OR_TRANSITIVE_HELPER_UNION</x:v>
      </x:c>
    </x:row>
    <x:row r="423" ht="42" customHeight="1">
      <x:c r="A423" s="15" t="str">
        <x:v>API-219</x:v>
      </x:c>
      <x:c r="B423" s="13" t="str">
        <x:v>GET</x:v>
      </x:c>
      <x:c r="C423" s="13" t="str">
        <x:v>/api/v1/enterprise-structure/nodes/{workspace_id}/classifications</x:v>
      </x:c>
      <x:c r="D423" s="13" t="str">
        <x:v>READ-ONLY SHARED CONTEXT</x:v>
      </x:c>
      <x:c r="E423" s="13" t="str">
        <x:v>enterprise_structure</x:v>
      </x:c>
      <x:c r="F423" s="13" t="str">
        <x:v>node classifications</x:v>
      </x:c>
      <x:c r="G423" s="13" t="str">
        <x:v>HELPER_OR_SERVICE_AUTHORIZATION_REQUIRES_REVIEW</x:v>
      </x:c>
      <x:c r="H423" s="13" t="str">
        <x:v>LIVE_ROUTER_REGISTERED</x:v>
      </x:c>
      <x:c r="I423" s="13" t="str">
        <x:v>NO_DIRECT_LITERAL_MATCH_NOT_PROOF_UNUSED</x:v>
      </x:c>
      <x:c r="J423" s="13" t="str">
        <x:v>NOT_EXECUTED_BY_INVENTORY. SOURCE_LITERAL_OR_TRANSITIVE_HELPER_UNION</x:v>
      </x:c>
    </x:row>
    <x:row r="424" ht="42" customHeight="1">
      <x:c r="A424" s="14" t="str">
        <x:v>API-220</x:v>
      </x:c>
      <x:c r="B424" s="6" t="str">
        <x:v>GET</x:v>
      </x:c>
      <x:c r="C424" s="6" t="str">
        <x:v>/api/v1/enterprise-structure/nodes/{workspace_id}/links</x:v>
      </x:c>
      <x:c r="D424" s="6" t="str">
        <x:v>READ-ONLY SHARED CONTEXT</x:v>
      </x:c>
      <x:c r="E424" s="6" t="str">
        <x:v>enterprise_structure</x:v>
      </x:c>
      <x:c r="F424" s="6" t="str">
        <x:v>node links</x:v>
      </x:c>
      <x:c r="G424" s="6" t="str">
        <x:v>HELPER_OR_SERVICE_AUTHORIZATION_REQUIRES_REVIEW</x:v>
      </x:c>
      <x:c r="H424" s="6" t="str">
        <x:v>LIVE_ROUTER_REGISTERED</x:v>
      </x:c>
      <x:c r="I424" s="6" t="str">
        <x:v>NO_DIRECT_LITERAL_MATCH_NOT_PROOF_UNUSED</x:v>
      </x:c>
      <x:c r="J424" s="6" t="str">
        <x:v>NOT_EXECUTED_BY_INVENTORY. SOURCE_LITERAL_OR_TRANSITIVE_HELPER_UNION</x:v>
      </x:c>
    </x:row>
    <x:row r="425" ht="42" customHeight="1">
      <x:c r="A425" s="15" t="str">
        <x:v>API-221</x:v>
      </x:c>
      <x:c r="B425" s="13" t="str">
        <x:v>GET</x:v>
      </x:c>
      <x:c r="C425" s="13" t="str">
        <x:v>/api/v1/enterprise-structure/nodes/{workspace_id}/path</x:v>
      </x:c>
      <x:c r="D425" s="13" t="str">
        <x:v>READ-ONLY SHARED CONTEXT</x:v>
      </x:c>
      <x:c r="E425" s="13" t="str">
        <x:v>enterprise_structure</x:v>
      </x:c>
      <x:c r="F425" s="13" t="str">
        <x:v>node path</x:v>
      </x:c>
      <x:c r="G425" s="13" t="str">
        <x:v>HELPER_OR_SERVICE_AUTHORIZATION_REQUIRES_REVIEW</x:v>
      </x:c>
      <x:c r="H425" s="13" t="str">
        <x:v>LIVE_ROUTER_REGISTERED</x:v>
      </x:c>
      <x:c r="I425" s="13" t="str">
        <x:v>NO_DIRECT_LITERAL_MATCH_NOT_PROOF_UNUSED</x:v>
      </x:c>
      <x:c r="J425" s="13" t="str">
        <x:v>NOT_EXECUTED_BY_INVENTORY. SOURCE_LITERAL_OR_TRANSITIVE_HELPER_UNION</x:v>
      </x:c>
    </x:row>
    <x:row r="426" ht="42" customHeight="1">
      <x:c r="A426" s="14" t="str">
        <x:v>API-222</x:v>
      </x:c>
      <x:c r="B426" s="6" t="str">
        <x:v>GET</x:v>
      </x:c>
      <x:c r="C426" s="6" t="str">
        <x:v>/api/v1/enterprise-structure/objectives</x:v>
      </x:c>
      <x:c r="D426" s="6" t="str">
        <x:v>READ-ONLY SHARED CONTEXT</x:v>
      </x:c>
      <x:c r="E426" s="6" t="str">
        <x:v>enterprise_structure</x:v>
      </x:c>
      <x:c r="F426" s="6" t="str">
        <x:v>objectives</x:v>
      </x:c>
      <x:c r="G426" s="6" t="str">
        <x:v>HELPER_OR_SERVICE_AUTHORIZATION_REQUIRES_REVIEW</x:v>
      </x:c>
      <x:c r="H426" s="6" t="str">
        <x:v>LIVE_ROUTER_REGISTERED</x:v>
      </x:c>
      <x:c r="I426" s="6" t="str">
        <x:v>NO_DIRECT_LITERAL_MATCH_NOT_PROOF_UNUSED</x:v>
      </x:c>
      <x:c r="J426" s="6" t="str">
        <x:v>NOT_EXECUTED_BY_INVENTORY. SOURCE_LITERAL_OR_TRANSITIVE_HELPER_UNION</x:v>
      </x:c>
    </x:row>
    <x:row r="427" ht="42" customHeight="1">
      <x:c r="A427" s="15" t="str">
        <x:v>API-223</x:v>
      </x:c>
      <x:c r="B427" s="13" t="str">
        <x:v>GET</x:v>
      </x:c>
      <x:c r="C427" s="13" t="str">
        <x:v>/api/v1/enterprise-structure/overview</x:v>
      </x:c>
      <x:c r="D427" s="13" t="str">
        <x:v>READ-ONLY SHARED CONTEXT</x:v>
      </x:c>
      <x:c r="E427" s="13" t="str">
        <x:v>enterprise_structure</x:v>
      </x:c>
      <x:c r="F427" s="13" t="str">
        <x:v>overview</x:v>
      </x:c>
      <x:c r="G427" s="13" t="str">
        <x:v>HELPER_OR_SERVICE_AUTHORIZATION_REQUIRES_REVIEW</x:v>
      </x:c>
      <x:c r="H427" s="13" t="str">
        <x:v>LIVE_ROUTER_REGISTERED</x:v>
      </x:c>
      <x:c r="I427" s="13" t="str">
        <x:v>NO_DIRECT_LITERAL_MATCH_NOT_PROOF_UNUSED</x:v>
      </x:c>
      <x:c r="J427" s="13" t="str">
        <x:v>NOT_EXECUTED_BY_INVENTORY. SOURCE_LITERAL_OR_TRANSITIVE_HELPER_UNION</x:v>
      </x:c>
    </x:row>
    <x:row r="428" ht="42" customHeight="1">
      <x:c r="A428" s="14" t="str">
        <x:v>API-224</x:v>
      </x:c>
      <x:c r="B428" s="6" t="str">
        <x:v>GET</x:v>
      </x:c>
      <x:c r="C428" s="6" t="str">
        <x:v>/api/v1/enterprise-structure/tree</x:v>
      </x:c>
      <x:c r="D428" s="6" t="str">
        <x:v>READ-ONLY SHARED CONTEXT</x:v>
      </x:c>
      <x:c r="E428" s="6" t="str">
        <x:v>enterprise_structure</x:v>
      </x:c>
      <x:c r="F428" s="6" t="str">
        <x:v>tree</x:v>
      </x:c>
      <x:c r="G428" s="6" t="str">
        <x:v>HELPER_OR_SERVICE_AUTHORIZATION_REQUIRES_REVIEW</x:v>
      </x:c>
      <x:c r="H428" s="6" t="str">
        <x:v>LIVE_ROUTER_REGISTERED</x:v>
      </x:c>
      <x:c r="I428" s="6" t="str">
        <x:v>NO_DIRECT_LITERAL_MATCH_NOT_PROOF_UNUSED</x:v>
      </x:c>
      <x:c r="J428" s="6" t="str">
        <x:v>NOT_EXECUTED_BY_INVENTORY. SOURCE_LITERAL_OR_TRANSITIVE_HELPER_UNION</x:v>
      </x:c>
    </x:row>
    <x:row r="429" ht="42" customHeight="1">
      <x:c r="A429" s="15" t="str">
        <x:v>API-225</x:v>
      </x:c>
      <x:c r="B429" s="13" t="str">
        <x:v>GET</x:v>
      </x:c>
      <x:c r="C429" s="13" t="str">
        <x:v>/api/v1/funding-assignments</x:v>
      </x:c>
      <x:c r="D429" s="13" t="str">
        <x:v>READ-ONLY SHARED CONTEXT</x:v>
      </x:c>
      <x:c r="E429" s="13" t="str">
        <x:v>funds_manager</x:v>
      </x:c>
      <x:c r="F429" s="13" t="str">
        <x:v>assignments</x:v>
      </x:c>
      <x:c r="G429" s="13" t="str">
        <x:v>funds.read</x:v>
      </x:c>
      <x:c r="H429" s="13" t="str">
        <x:v>LIVE_ROUTER_REGISTERED</x:v>
      </x:c>
      <x:c r="I429" s="13" t="str">
        <x:v>frontend/src/features/funds-manager/api.ts</x:v>
      </x:c>
      <x:c r="J429" s="13" t="str">
        <x:v>NOT_EXECUTED_BY_INVENTORY. SOURCE_LITERAL_OR_TRANSITIVE_HELPER_UNION</x:v>
      </x:c>
    </x:row>
    <x:row r="430" ht="42" customHeight="1">
      <x:c r="A430" s="14" t="str">
        <x:v>API-226</x:v>
      </x:c>
      <x:c r="B430" s="6" t="str">
        <x:v>POST</x:v>
      </x:c>
      <x:c r="C430" s="6" t="str">
        <x:v>/api/v1/funding-assignments</x:v>
      </x:c>
      <x:c r="D430" s="6" t="str">
        <x:v>USER MODE</x:v>
      </x:c>
      <x:c r="E430" s="6" t="str">
        <x:v>funds_manager</x:v>
      </x:c>
      <x:c r="F430" s="6" t="str">
        <x:v>create assignment</x:v>
      </x:c>
      <x:c r="G430" s="6" t="str">
        <x:v>funding_assignment.create</x:v>
      </x:c>
      <x:c r="H430" s="6" t="str">
        <x:v>LIVE_ROUTER_REGISTERED</x:v>
      </x:c>
      <x:c r="I430" s="6" t="str">
        <x:v>frontend/src/features/funds-manager/api.ts</x:v>
      </x:c>
      <x:c r="J430" s="6" t="str">
        <x:v>NOT_EXECUTED_BY_INVENTORY. SOURCE_LITERAL_OR_TRANSITIVE_HELPER_UNION</x:v>
      </x:c>
    </x:row>
    <x:row r="431" ht="42" customHeight="1">
      <x:c r="A431" s="15" t="str">
        <x:v>API-227</x:v>
      </x:c>
      <x:c r="B431" s="13" t="str">
        <x:v>GET</x:v>
      </x:c>
      <x:c r="C431" s="13" t="str">
        <x:v>/api/v1/funding-assignments/{assignment_id}</x:v>
      </x:c>
      <x:c r="D431" s="13" t="str">
        <x:v>READ-ONLY SHARED CONTEXT</x:v>
      </x:c>
      <x:c r="E431" s="13" t="str">
        <x:v>funds_manager</x:v>
      </x:c>
      <x:c r="F431" s="13" t="str">
        <x:v>assignment</x:v>
      </x:c>
      <x:c r="G431" s="13" t="str">
        <x:v>funds.read</x:v>
      </x:c>
      <x:c r="H431" s="13" t="str">
        <x:v>LIVE_ROUTER_REGISTERED</x:v>
      </x:c>
      <x:c r="I431" s="13" t="str">
        <x:v>NO_DIRECT_LITERAL_MATCH_NOT_PROOF_UNUSED</x:v>
      </x:c>
      <x:c r="J431" s="13" t="str">
        <x:v>NOT_EXECUTED_BY_INVENTORY. SOURCE_LITERAL_OR_TRANSITIVE_HELPER_UNION</x:v>
      </x:c>
    </x:row>
    <x:row r="432" ht="42" customHeight="1">
      <x:c r="A432" s="14" t="str">
        <x:v>API-228</x:v>
      </x:c>
      <x:c r="B432" s="6" t="str">
        <x:v>PUT</x:v>
      </x:c>
      <x:c r="C432" s="6" t="str">
        <x:v>/api/v1/funding-assignments/{assignment_id}</x:v>
      </x:c>
      <x:c r="D432" s="6" t="str">
        <x:v>USER MODE</x:v>
      </x:c>
      <x:c r="E432" s="6" t="str">
        <x:v>funds_manager</x:v>
      </x:c>
      <x:c r="F432" s="6" t="str">
        <x:v>update assignment</x:v>
      </x:c>
      <x:c r="G432" s="6" t="str">
        <x:v>funding_assignment.edit</x:v>
      </x:c>
      <x:c r="H432" s="6" t="str">
        <x:v>LIVE_ROUTER_REGISTERED</x:v>
      </x:c>
      <x:c r="I432" s="6" t="str">
        <x:v>NO_DIRECT_LITERAL_MATCH_NOT_PROOF_UNUSED</x:v>
      </x:c>
      <x:c r="J432" s="6" t="str">
        <x:v>NOT_EXECUTED_BY_INVENTORY. SOURCE_LITERAL_OR_TRANSITIVE_HELPER_UNION</x:v>
      </x:c>
    </x:row>
    <x:row r="433" ht="42" customHeight="1">
      <x:c r="A433" s="15" t="str">
        <x:v>API-229</x:v>
      </x:c>
      <x:c r="B433" s="13" t="str">
        <x:v>POST</x:v>
      </x:c>
      <x:c r="C433" s="13" t="str">
        <x:v>/api/v1/funding-assignments/{assignment_id}/cancel</x:v>
      </x:c>
      <x:c r="D433" s="13" t="str">
        <x:v>USER MODE</x:v>
      </x:c>
      <x:c r="E433" s="13" t="str">
        <x:v>funds_manager</x:v>
      </x:c>
      <x:c r="F433" s="13" t="str">
        <x:v>cancel assignment</x:v>
      </x:c>
      <x:c r="G433" s="13" t="str">
        <x:v>HELPER_OR_SERVICE_AUTHORIZATION_REQUIRES_REVIEW</x:v>
      </x:c>
      <x:c r="H433" s="13" t="str">
        <x:v>LIVE_ROUTER_REGISTERED</x:v>
      </x:c>
      <x:c r="I433" s="13" t="str">
        <x:v>NO_DIRECT_LITERAL_MATCH_NOT_PROOF_UNUSED</x:v>
      </x:c>
      <x:c r="J433" s="13" t="str">
        <x:v>NOT_EXECUTED_BY_INVENTORY. SOURCE_LITERAL_OR_TRANSITIVE_HELPER_UNION</x:v>
      </x:c>
    </x:row>
    <x:row r="434" ht="42" customHeight="1">
      <x:c r="A434" s="14" t="str">
        <x:v>API-230</x:v>
      </x:c>
      <x:c r="B434" s="6" t="str">
        <x:v>POST</x:v>
      </x:c>
      <x:c r="C434" s="6" t="str">
        <x:v>/api/v1/funding-assignments/{assignment_id}/confirm</x:v>
      </x:c>
      <x:c r="D434" s="6" t="str">
        <x:v>USER MODE</x:v>
      </x:c>
      <x:c r="E434" s="6" t="str">
        <x:v>funds_manager</x:v>
      </x:c>
      <x:c r="F434" s="6" t="str">
        <x:v>confirm assignment</x:v>
      </x:c>
      <x:c r="G434" s="6" t="str">
        <x:v>HELPER_OR_SERVICE_AUTHORIZATION_REQUIRES_REVIEW</x:v>
      </x:c>
      <x:c r="H434" s="6" t="str">
        <x:v>LIVE_ROUTER_REGISTERED</x:v>
      </x:c>
      <x:c r="I434" s="6" t="str">
        <x:v>NO_DIRECT_LITERAL_MATCH_NOT_PROOF_UNUSED</x:v>
      </x:c>
      <x:c r="J434" s="6" t="str">
        <x:v>NOT_EXECUTED_BY_INVENTORY. SOURCE_LITERAL_OR_TRANSITIVE_HELPER_UNION</x:v>
      </x:c>
    </x:row>
    <x:row r="435" ht="42" customHeight="1">
      <x:c r="A435" s="15" t="str">
        <x:v>API-231</x:v>
      </x:c>
      <x:c r="B435" s="13" t="str">
        <x:v>POST</x:v>
      </x:c>
      <x:c r="C435" s="13" t="str">
        <x:v>/api/v1/funding-assignments/{assignment_id}/release</x:v>
      </x:c>
      <x:c r="D435" s="13" t="str">
        <x:v>USER MODE</x:v>
      </x:c>
      <x:c r="E435" s="13" t="str">
        <x:v>funds_manager</x:v>
      </x:c>
      <x:c r="F435" s="13" t="str">
        <x:v>release assignment</x:v>
      </x:c>
      <x:c r="G435" s="13" t="str">
        <x:v>HELPER_OR_SERVICE_AUTHORIZATION_REQUIRES_REVIEW</x:v>
      </x:c>
      <x:c r="H435" s="13" t="str">
        <x:v>LIVE_ROUTER_REGISTERED</x:v>
      </x:c>
      <x:c r="I435" s="13" t="str">
        <x:v>NO_DIRECT_LITERAL_MATCH_NOT_PROOF_UNUSED</x:v>
      </x:c>
      <x:c r="J435" s="13" t="str">
        <x:v>NOT_EXECUTED_BY_INVENTORY. SOURCE_LITERAL_OR_TRANSITIVE_HELPER_UNION</x:v>
      </x:c>
    </x:row>
    <x:row r="436" ht="42" customHeight="1">
      <x:c r="A436" s="14" t="str">
        <x:v>API-232</x:v>
      </x:c>
      <x:c r="B436" s="6" t="str">
        <x:v>POST</x:v>
      </x:c>
      <x:c r="C436" s="6" t="str">
        <x:v>/api/v1/funding-assignments/{assignment_id}/reserve</x:v>
      </x:c>
      <x:c r="D436" s="6" t="str">
        <x:v>USER MODE</x:v>
      </x:c>
      <x:c r="E436" s="6" t="str">
        <x:v>funds_manager</x:v>
      </x:c>
      <x:c r="F436" s="6" t="str">
        <x:v>reserve assignment</x:v>
      </x:c>
      <x:c r="G436" s="6" t="str">
        <x:v>HELPER_OR_SERVICE_AUTHORIZATION_REQUIRES_REVIEW</x:v>
      </x:c>
      <x:c r="H436" s="6" t="str">
        <x:v>LIVE_ROUTER_REGISTERED</x:v>
      </x:c>
      <x:c r="I436" s="6" t="str">
        <x:v>NO_DIRECT_LITERAL_MATCH_NOT_PROOF_UNUSED</x:v>
      </x:c>
      <x:c r="J436" s="6" t="str">
        <x:v>NOT_EXECUTED_BY_INVENTORY. SOURCE_LITERAL_OR_TRANSITIVE_HELPER_UNION</x:v>
      </x:c>
    </x:row>
    <x:row r="437" ht="42" customHeight="1">
      <x:c r="A437" s="15" t="str">
        <x:v>API-233</x:v>
      </x:c>
      <x:c r="B437" s="13" t="str">
        <x:v>GET</x:v>
      </x:c>
      <x:c r="C437" s="13" t="str">
        <x:v>/api/v1/funding-sources</x:v>
      </x:c>
      <x:c r="D437" s="13" t="str">
        <x:v>READ-ONLY SHARED CONTEXT</x:v>
      </x:c>
      <x:c r="E437" s="13" t="str">
        <x:v>funds_manager</x:v>
      </x:c>
      <x:c r="F437" s="13" t="str">
        <x:v>funding sources</x:v>
      </x:c>
      <x:c r="G437" s="13" t="str">
        <x:v>funds.read</x:v>
      </x:c>
      <x:c r="H437" s="13" t="str">
        <x:v>LIVE_ROUTER_REGISTERED</x:v>
      </x:c>
      <x:c r="I437" s="13" t="str">
        <x:v>frontend/src/features/funds-manager/api.ts</x:v>
      </x:c>
      <x:c r="J437" s="13" t="str">
        <x:v>NOT_EXECUTED_BY_INVENTORY. SOURCE_LITERAL_OR_TRANSITIVE_HELPER_UNION</x:v>
      </x:c>
    </x:row>
    <x:row r="438" ht="42" customHeight="1">
      <x:c r="A438" s="14" t="str">
        <x:v>API-234</x:v>
      </x:c>
      <x:c r="B438" s="6" t="str">
        <x:v>POST</x:v>
      </x:c>
      <x:c r="C438" s="6" t="str">
        <x:v>/api/v1/funding-sources</x:v>
      </x:c>
      <x:c r="D438" s="6" t="str">
        <x:v>USER MODE</x:v>
      </x:c>
      <x:c r="E438" s="6" t="str">
        <x:v>funds_manager</x:v>
      </x:c>
      <x:c r="F438" s="6" t="str">
        <x:v>create funding source</x:v>
      </x:c>
      <x:c r="G438" s="6" t="str">
        <x:v>funding_source.create</x:v>
      </x:c>
      <x:c r="H438" s="6" t="str">
        <x:v>LIVE_ROUTER_REGISTERED</x:v>
      </x:c>
      <x:c r="I438" s="6" t="str">
        <x:v>frontend/src/features/funds-manager/api.ts</x:v>
      </x:c>
      <x:c r="J438" s="6" t="str">
        <x:v>NOT_EXECUTED_BY_INVENTORY. SOURCE_LITERAL_OR_TRANSITIVE_HELPER_UNION</x:v>
      </x:c>
    </x:row>
    <x:row r="439" ht="42" customHeight="1">
      <x:c r="A439" s="15" t="str">
        <x:v>API-235</x:v>
      </x:c>
      <x:c r="B439" s="13" t="str">
        <x:v>GET</x:v>
      </x:c>
      <x:c r="C439" s="13" t="str">
        <x:v>/api/v1/funding-sources/{source_id}</x:v>
      </x:c>
      <x:c r="D439" s="13" t="str">
        <x:v>READ-ONLY SHARED CONTEXT</x:v>
      </x:c>
      <x:c r="E439" s="13" t="str">
        <x:v>funds_manager</x:v>
      </x:c>
      <x:c r="F439" s="13" t="str">
        <x:v>funding source</x:v>
      </x:c>
      <x:c r="G439" s="13" t="str">
        <x:v>funds.read</x:v>
      </x:c>
      <x:c r="H439" s="13" t="str">
        <x:v>LIVE_ROUTER_REGISTERED</x:v>
      </x:c>
      <x:c r="I439" s="13" t="str">
        <x:v>NO_DIRECT_LITERAL_MATCH_NOT_PROOF_UNUSED</x:v>
      </x:c>
      <x:c r="J439" s="13" t="str">
        <x:v>NOT_EXECUTED_BY_INVENTORY. SOURCE_LITERAL_OR_TRANSITIVE_HELPER_UNION</x:v>
      </x:c>
    </x:row>
    <x:row r="440" ht="42" customHeight="1">
      <x:c r="A440" s="14" t="str">
        <x:v>API-236</x:v>
      </x:c>
      <x:c r="B440" s="6" t="str">
        <x:v>PUT</x:v>
      </x:c>
      <x:c r="C440" s="6" t="str">
        <x:v>/api/v1/funding-sources/{source_id}</x:v>
      </x:c>
      <x:c r="D440" s="6" t="str">
        <x:v>USER MODE</x:v>
      </x:c>
      <x:c r="E440" s="6" t="str">
        <x:v>funds_manager</x:v>
      </x:c>
      <x:c r="F440" s="6" t="str">
        <x:v>update funding source</x:v>
      </x:c>
      <x:c r="G440" s="6" t="str">
        <x:v>funding_source.edit</x:v>
      </x:c>
      <x:c r="H440" s="6" t="str">
        <x:v>LIVE_ROUTER_REGISTERED</x:v>
      </x:c>
      <x:c r="I440" s="6" t="str">
        <x:v>NO_DIRECT_LITERAL_MATCH_NOT_PROOF_UNUSED</x:v>
      </x:c>
      <x:c r="J440" s="6" t="str">
        <x:v>NOT_EXECUTED_BY_INVENTORY. SOURCE_LITERAL_OR_TRANSITIVE_HELPER_UNION</x:v>
      </x:c>
    </x:row>
    <x:row r="441" ht="42" customHeight="1">
      <x:c r="A441" s="15" t="str">
        <x:v>API-237</x:v>
      </x:c>
      <x:c r="B441" s="13" t="str">
        <x:v>POST</x:v>
      </x:c>
      <x:c r="C441" s="13" t="str">
        <x:v>/api/v1/funding-sources/{source_id}/activate</x:v>
      </x:c>
      <x:c r="D441" s="13" t="str">
        <x:v>USER MODE</x:v>
      </x:c>
      <x:c r="E441" s="13" t="str">
        <x:v>funds_manager</x:v>
      </x:c>
      <x:c r="F441" s="13" t="str">
        <x:v>activate source</x:v>
      </x:c>
      <x:c r="G441" s="13" t="str">
        <x:v>funding_source.manage_status</x:v>
      </x:c>
      <x:c r="H441" s="13" t="str">
        <x:v>LIVE_ROUTER_REGISTERED</x:v>
      </x:c>
      <x:c r="I441" s="13" t="str">
        <x:v>NO_DIRECT_LITERAL_MATCH_NOT_PROOF_UNUSED</x:v>
      </x:c>
      <x:c r="J441" s="13" t="str">
        <x:v>NOT_EXECUTED_BY_INVENTORY. SOURCE_LITERAL_OR_TRANSITIVE_HELPER_UNION</x:v>
      </x:c>
    </x:row>
    <x:row r="442" ht="42" customHeight="1">
      <x:c r="A442" s="14" t="str">
        <x:v>API-238</x:v>
      </x:c>
      <x:c r="B442" s="6" t="str">
        <x:v>POST</x:v>
      </x:c>
      <x:c r="C442" s="6" t="str">
        <x:v>/api/v1/funding-sources/{source_id}/close</x:v>
      </x:c>
      <x:c r="D442" s="6" t="str">
        <x:v>USER MODE</x:v>
      </x:c>
      <x:c r="E442" s="6" t="str">
        <x:v>funds_manager</x:v>
      </x:c>
      <x:c r="F442" s="6" t="str">
        <x:v>close source</x:v>
      </x:c>
      <x:c r="G442" s="6" t="str">
        <x:v>funding_source.manage_status</x:v>
      </x:c>
      <x:c r="H442" s="6" t="str">
        <x:v>LIVE_ROUTER_REGISTERED</x:v>
      </x:c>
      <x:c r="I442" s="6" t="str">
        <x:v>NO_DIRECT_LITERAL_MATCH_NOT_PROOF_UNUSED</x:v>
      </x:c>
      <x:c r="J442" s="6" t="str">
        <x:v>NOT_EXECUTED_BY_INVENTORY. SOURCE_LITERAL_OR_TRANSITIVE_HELPER_UNION</x:v>
      </x:c>
    </x:row>
    <x:row r="443" ht="42" customHeight="1">
      <x:c r="A443" s="15" t="str">
        <x:v>API-239</x:v>
      </x:c>
      <x:c r="B443" s="13" t="str">
        <x:v>POST</x:v>
      </x:c>
      <x:c r="C443" s="13" t="str">
        <x:v>/api/v1/funding-sources/{source_id}/suspend</x:v>
      </x:c>
      <x:c r="D443" s="13" t="str">
        <x:v>USER MODE</x:v>
      </x:c>
      <x:c r="E443" s="13" t="str">
        <x:v>funds_manager</x:v>
      </x:c>
      <x:c r="F443" s="13" t="str">
        <x:v>suspend source</x:v>
      </x:c>
      <x:c r="G443" s="13" t="str">
        <x:v>funding_source.manage_status</x:v>
      </x:c>
      <x:c r="H443" s="13" t="str">
        <x:v>LIVE_ROUTER_REGISTERED</x:v>
      </x:c>
      <x:c r="I443" s="13" t="str">
        <x:v>NO_DIRECT_LITERAL_MATCH_NOT_PROOF_UNUSED</x:v>
      </x:c>
      <x:c r="J443" s="13" t="str">
        <x:v>NOT_EXECUTED_BY_INVENTORY. SOURCE_LITERAL_OR_TRANSITIVE_HELPER_UNION</x:v>
      </x:c>
    </x:row>
    <x:row r="444" ht="42" customHeight="1">
      <x:c r="A444" s="14" t="str">
        <x:v>API-240</x:v>
      </x:c>
      <x:c r="B444" s="6" t="str">
        <x:v>GET</x:v>
      </x:c>
      <x:c r="C444" s="6" t="str">
        <x:v>/api/v1/funds</x:v>
      </x:c>
      <x:c r="D444" s="6" t="str">
        <x:v>READ-ONLY SHARED CONTEXT</x:v>
      </x:c>
      <x:c r="E444" s="6" t="str">
        <x:v>funds_manager</x:v>
      </x:c>
      <x:c r="F444" s="6" t="str">
        <x:v>funds</x:v>
      </x:c>
      <x:c r="G444" s="6" t="str">
        <x:v>funds.read</x:v>
      </x:c>
      <x:c r="H444" s="6" t="str">
        <x:v>LIVE_ROUTER_REGISTERED</x:v>
      </x:c>
      <x:c r="I444" s="6" t="str">
        <x:v>frontend/src/features/funds-manager/api.ts</x:v>
      </x:c>
      <x:c r="J444" s="6" t="str">
        <x:v>NOT_EXECUTED_BY_INVENTORY. SOURCE_LITERAL_OR_TRANSITIVE_HELPER_UNION</x:v>
      </x:c>
    </x:row>
    <x:row r="445" ht="42" customHeight="1">
      <x:c r="A445" s="15" t="str">
        <x:v>API-241</x:v>
      </x:c>
      <x:c r="B445" s="13" t="str">
        <x:v>POST</x:v>
      </x:c>
      <x:c r="C445" s="13" t="str">
        <x:v>/api/v1/funds</x:v>
      </x:c>
      <x:c r="D445" s="13" t="str">
        <x:v>USER MODE</x:v>
      </x:c>
      <x:c r="E445" s="13" t="str">
        <x:v>funds_manager</x:v>
      </x:c>
      <x:c r="F445" s="13" t="str">
        <x:v>create fund</x:v>
      </x:c>
      <x:c r="G445" s="13" t="str">
        <x:v>fund.create</x:v>
      </x:c>
      <x:c r="H445" s="13" t="str">
        <x:v>LIVE_ROUTER_REGISTERED</x:v>
      </x:c>
      <x:c r="I445" s="13" t="str">
        <x:v>frontend/src/features/funds-manager/api.ts</x:v>
      </x:c>
      <x:c r="J445" s="13" t="str">
        <x:v>NOT_EXECUTED_BY_INVENTORY. SOURCE_LITERAL_OR_TRANSITIVE_HELPER_UNION</x:v>
      </x:c>
    </x:row>
    <x:row r="446" ht="42" customHeight="1">
      <x:c r="A446" s="14" t="str">
        <x:v>API-242</x:v>
      </x:c>
      <x:c r="B446" s="6" t="str">
        <x:v>GET</x:v>
      </x:c>
      <x:c r="C446" s="6" t="str">
        <x:v>/api/v1/funds-manager</x:v>
      </x:c>
      <x:c r="D446" s="6" t="str">
        <x:v>READ-ONLY SHARED CONTEXT</x:v>
      </x:c>
      <x:c r="E446" s="6" t="str">
        <x:v>funds_manager</x:v>
      </x:c>
      <x:c r="F446" s="6" t="str">
        <x:v>overview</x:v>
      </x:c>
      <x:c r="G446" s="6" t="str">
        <x:v>funds.read</x:v>
      </x:c>
      <x:c r="H446" s="6" t="str">
        <x:v>LIVE_ROUTER_REGISTERED</x:v>
      </x:c>
      <x:c r="I446" s="6" t="str">
        <x:v>NO_DIRECT_LITERAL_MATCH_NOT_PROOF_UNUSED</x:v>
      </x:c>
      <x:c r="J446" s="6" t="str">
        <x:v>NOT_EXECUTED_BY_INVENTORY. SOURCE_LITERAL_OR_TRANSITIVE_HELPER_UNION</x:v>
      </x:c>
    </x:row>
    <x:row r="447" ht="42" customHeight="1">
      <x:c r="A447" s="15" t="str">
        <x:v>API-243</x:v>
      </x:c>
      <x:c r="B447" s="13" t="str">
        <x:v>GET</x:v>
      </x:c>
      <x:c r="C447" s="13" t="str">
        <x:v>/api/v1/funds/admin/configurations</x:v>
      </x:c>
      <x:c r="D447" s="13" t="str">
        <x:v>ADMIN MODE</x:v>
      </x:c>
      <x:c r="E447" s="13" t="str">
        <x:v>funds_manager</x:v>
      </x:c>
      <x:c r="F447" s="13" t="str">
        <x:v>configurations</x:v>
      </x:c>
      <x:c r="G447" s="13" t="str">
        <x:v>funds.admin.configure</x:v>
      </x:c>
      <x:c r="H447" s="13" t="str">
        <x:v>LIVE_ROUTER_REGISTERED</x:v>
      </x:c>
      <x:c r="I447" s="13" t="str">
        <x:v>frontend/src/features/funds-manager/api.ts</x:v>
      </x:c>
      <x:c r="J447" s="13" t="str">
        <x:v>NOT_EXECUTED_BY_INVENTORY. SOURCE_LITERAL_OR_TRANSITIVE_HELPER_UNION</x:v>
      </x:c>
    </x:row>
    <x:row r="448" ht="42" customHeight="1">
      <x:c r="A448" s="14" t="str">
        <x:v>API-244</x:v>
      </x:c>
      <x:c r="B448" s="6" t="str">
        <x:v>POST</x:v>
      </x:c>
      <x:c r="C448" s="6" t="str">
        <x:v>/api/v1/funds/admin/configurations/clone</x:v>
      </x:c>
      <x:c r="D448" s="6" t="str">
        <x:v>ADMIN MODE</x:v>
      </x:c>
      <x:c r="E448" s="6" t="str">
        <x:v>funds_manager</x:v>
      </x:c>
      <x:c r="F448" s="6" t="str">
        <x:v>clone configuration alias</x:v>
      </x:c>
      <x:c r="G448" s="6" t="str">
        <x:v>funds.admin.configure</x:v>
      </x:c>
      <x:c r="H448" s="6" t="str">
        <x:v>LIVE_ROUTER_REGISTERED</x:v>
      </x:c>
      <x:c r="I448" s="6" t="str">
        <x:v>NO_DIRECT_LITERAL_MATCH_NOT_PROOF_UNUSED</x:v>
      </x:c>
      <x:c r="J448" s="6" t="str">
        <x:v>NOT_EXECUTED_BY_INVENTORY. SOURCE_LITERAL_OR_TRANSITIVE_HELPER_UNION</x:v>
      </x:c>
    </x:row>
    <x:row r="449" ht="42" customHeight="1">
      <x:c r="A449" s="15" t="str">
        <x:v>API-245</x:v>
      </x:c>
      <x:c r="B449" s="13" t="str">
        <x:v>POST</x:v>
      </x:c>
      <x:c r="C449" s="13" t="str">
        <x:v>/api/v1/funds/admin/configurations/preview</x:v>
      </x:c>
      <x:c r="D449" s="13" t="str">
        <x:v>ADMIN MODE</x:v>
      </x:c>
      <x:c r="E449" s="13" t="str">
        <x:v>funds_manager</x:v>
      </x:c>
      <x:c r="F449" s="13" t="str">
        <x:v>configuration preview</x:v>
      </x:c>
      <x:c r="G449" s="13" t="str">
        <x:v>funds.admin.configure</x:v>
      </x:c>
      <x:c r="H449" s="13" t="str">
        <x:v>LIVE_ROUTER_REGISTERED</x:v>
      </x:c>
      <x:c r="I449" s="13" t="str">
        <x:v>frontend/src/features/funds-manager/api.ts</x:v>
      </x:c>
      <x:c r="J449" s="13" t="str">
        <x:v>NOT_EXECUTED_BY_INVENTORY. SOURCE_LITERAL_OR_TRANSITIVE_HELPER_UNION</x:v>
      </x:c>
    </x:row>
    <x:row r="450" ht="42" customHeight="1">
      <x:c r="A450" s="14" t="str">
        <x:v>API-246</x:v>
      </x:c>
      <x:c r="B450" s="6" t="str">
        <x:v>PUT</x:v>
      </x:c>
      <x:c r="C450" s="6" t="str">
        <x:v>/api/v1/funds/admin/configurations/{configuration_id}</x:v>
      </x:c>
      <x:c r="D450" s="6" t="str">
        <x:v>ADMIN MODE</x:v>
      </x:c>
      <x:c r="E450" s="6" t="str">
        <x:v>funds_manager</x:v>
      </x:c>
      <x:c r="F450" s="6" t="str">
        <x:v>update configuration</x:v>
      </x:c>
      <x:c r="G450" s="6" t="str">
        <x:v>funds.admin.configure</x:v>
      </x:c>
      <x:c r="H450" s="6" t="str">
        <x:v>LIVE_ROUTER_REGISTERED</x:v>
      </x:c>
      <x:c r="I450" s="6" t="str">
        <x:v>frontend/src/features/funds-manager/api.ts</x:v>
      </x:c>
      <x:c r="J450" s="6" t="str">
        <x:v>NOT_EXECUTED_BY_INVENTORY. SOURCE_LITERAL_OR_TRANSITIVE_HELPER_UNION</x:v>
      </x:c>
    </x:row>
    <x:row r="451" ht="42" customHeight="1">
      <x:c r="A451" s="15" t="str">
        <x:v>API-247</x:v>
      </x:c>
      <x:c r="B451" s="13" t="str">
        <x:v>POST</x:v>
      </x:c>
      <x:c r="C451" s="13" t="str">
        <x:v>/api/v1/funds/admin/configurations/{configuration_id}/clone</x:v>
      </x:c>
      <x:c r="D451" s="13" t="str">
        <x:v>ADMIN MODE</x:v>
      </x:c>
      <x:c r="E451" s="13" t="str">
        <x:v>funds_manager</x:v>
      </x:c>
      <x:c r="F451" s="13" t="str">
        <x:v>clone configuration</x:v>
      </x:c>
      <x:c r="G451" s="13" t="str">
        <x:v>funds.admin.configure</x:v>
      </x:c>
      <x:c r="H451" s="13" t="str">
        <x:v>LIVE_ROUTER_REGISTERED</x:v>
      </x:c>
      <x:c r="I451" s="13" t="str">
        <x:v>frontend/src/features/funds-manager/api.ts</x:v>
      </x:c>
      <x:c r="J451" s="13" t="str">
        <x:v>NOT_EXECUTED_BY_INVENTORY. SOURCE_LITERAL_OR_TRANSITIVE_HELPER_UNION</x:v>
      </x:c>
    </x:row>
    <x:row r="452" ht="42" customHeight="1">
      <x:c r="A452" s="14" t="str">
        <x:v>API-248</x:v>
      </x:c>
      <x:c r="B452" s="6" t="str">
        <x:v>POST</x:v>
      </x:c>
      <x:c r="C452" s="6" t="str">
        <x:v>/api/v1/funds/admin/configurations/{configuration_id}/publish</x:v>
      </x:c>
      <x:c r="D452" s="6" t="str">
        <x:v>ADMIN MODE</x:v>
      </x:c>
      <x:c r="E452" s="6" t="str">
        <x:v>funds_manager</x:v>
      </x:c>
      <x:c r="F452" s="6" t="str">
        <x:v>publish configuration</x:v>
      </x:c>
      <x:c r="G452" s="6" t="str">
        <x:v>funds.admin.publish</x:v>
      </x:c>
      <x:c r="H452" s="6" t="str">
        <x:v>LIVE_ROUTER_REGISTERED</x:v>
      </x:c>
      <x:c r="I452" s="6" t="str">
        <x:v>frontend/src/features/funds-manager/api.ts</x:v>
      </x:c>
      <x:c r="J452" s="6" t="str">
        <x:v>NOT_EXECUTED_BY_INVENTORY. SOURCE_LITERAL_OR_TRANSITIVE_HELPER_UNION</x:v>
      </x:c>
    </x:row>
    <x:row r="453" ht="42" customHeight="1">
      <x:c r="A453" s="15" t="str">
        <x:v>API-249</x:v>
      </x:c>
      <x:c r="B453" s="13" t="str">
        <x:v>GET</x:v>
      </x:c>
      <x:c r="C453" s="13" t="str">
        <x:v>/api/v1/funds/{fund_id}</x:v>
      </x:c>
      <x:c r="D453" s="13" t="str">
        <x:v>READ-ONLY SHARED CONTEXT</x:v>
      </x:c>
      <x:c r="E453" s="13" t="str">
        <x:v>funds_manager</x:v>
      </x:c>
      <x:c r="F453" s="13" t="str">
        <x:v>fund</x:v>
      </x:c>
      <x:c r="G453" s="13" t="str">
        <x:v>funds.read</x:v>
      </x:c>
      <x:c r="H453" s="13" t="str">
        <x:v>LIVE_ROUTER_REGISTERED</x:v>
      </x:c>
      <x:c r="I453" s="13" t="str">
        <x:v>NO_DIRECT_LITERAL_MATCH_NOT_PROOF_UNUSED</x:v>
      </x:c>
      <x:c r="J453" s="13" t="str">
        <x:v>NOT_EXECUTED_BY_INVENTORY. SOURCE_LITERAL_OR_TRANSITIVE_HELPER_UNION</x:v>
      </x:c>
    </x:row>
    <x:row r="454" ht="42" customHeight="1">
      <x:c r="A454" s="14" t="str">
        <x:v>API-250</x:v>
      </x:c>
      <x:c r="B454" s="6" t="str">
        <x:v>PUT</x:v>
      </x:c>
      <x:c r="C454" s="6" t="str">
        <x:v>/api/v1/funds/{fund_id}</x:v>
      </x:c>
      <x:c r="D454" s="6" t="str">
        <x:v>USER MODE</x:v>
      </x:c>
      <x:c r="E454" s="6" t="str">
        <x:v>funds_manager</x:v>
      </x:c>
      <x:c r="F454" s="6" t="str">
        <x:v>update fund</x:v>
      </x:c>
      <x:c r="G454" s="6" t="str">
        <x:v>fund.edit</x:v>
      </x:c>
      <x:c r="H454" s="6" t="str">
        <x:v>LIVE_ROUTER_REGISTERED</x:v>
      </x:c>
      <x:c r="I454" s="6" t="str">
        <x:v>NO_DIRECT_LITERAL_MATCH_NOT_PROOF_UNUSED</x:v>
      </x:c>
      <x:c r="J454" s="6" t="str">
        <x:v>NOT_EXECUTED_BY_INVENTORY. SOURCE_LITERAL_OR_TRANSITIVE_HELPER_UNION</x:v>
      </x:c>
    </x:row>
    <x:row r="455" ht="42" customHeight="1">
      <x:c r="A455" s="15" t="str">
        <x:v>API-251</x:v>
      </x:c>
      <x:c r="B455" s="13" t="str">
        <x:v>POST</x:v>
      </x:c>
      <x:c r="C455" s="13" t="str">
        <x:v>/api/v1/funds/{fund_id}/activate</x:v>
      </x:c>
      <x:c r="D455" s="13" t="str">
        <x:v>USER MODE</x:v>
      </x:c>
      <x:c r="E455" s="13" t="str">
        <x:v>funds_manager</x:v>
      </x:c>
      <x:c r="F455" s="13" t="str">
        <x:v>activate fund</x:v>
      </x:c>
      <x:c r="G455" s="13" t="str">
        <x:v>HELPER_OR_SERVICE_AUTHORIZATION_REQUIRES_REVIEW</x:v>
      </x:c>
      <x:c r="H455" s="13" t="str">
        <x:v>LIVE_ROUTER_REGISTERED</x:v>
      </x:c>
      <x:c r="I455" s="13" t="str">
        <x:v>NO_DIRECT_LITERAL_MATCH_NOT_PROOF_UNUSED</x:v>
      </x:c>
      <x:c r="J455" s="13" t="str">
        <x:v>NOT_EXECUTED_BY_INVENTORY. SOURCE_LITERAL_OR_TRANSITIVE_HELPER_UNION</x:v>
      </x:c>
    </x:row>
    <x:row r="456" ht="42" customHeight="1">
      <x:c r="A456" s="14" t="str">
        <x:v>API-252</x:v>
      </x:c>
      <x:c r="B456" s="6" t="str">
        <x:v>POST</x:v>
      </x:c>
      <x:c r="C456" s="6" t="str">
        <x:v>/api/v1/funds/{fund_id}/authorize</x:v>
      </x:c>
      <x:c r="D456" s="6" t="str">
        <x:v>USER MODE</x:v>
      </x:c>
      <x:c r="E456" s="6" t="str">
        <x:v>funds_manager</x:v>
      </x:c>
      <x:c r="F456" s="6" t="str">
        <x:v>authorize fund</x:v>
      </x:c>
      <x:c r="G456" s="6" t="str">
        <x:v>HELPER_OR_SERVICE_AUTHORIZATION_REQUIRES_REVIEW</x:v>
      </x:c>
      <x:c r="H456" s="6" t="str">
        <x:v>LIVE_ROUTER_REGISTERED</x:v>
      </x:c>
      <x:c r="I456" s="6" t="str">
        <x:v>NO_DIRECT_LITERAL_MATCH_NOT_PROOF_UNUSED</x:v>
      </x:c>
      <x:c r="J456" s="6" t="str">
        <x:v>NOT_EXECUTED_BY_INVENTORY. SOURCE_LITERAL_OR_TRANSITIVE_HELPER_UNION</x:v>
      </x:c>
    </x:row>
    <x:row r="457" ht="42" customHeight="1">
      <x:c r="A457" s="15" t="str">
        <x:v>API-253</x:v>
      </x:c>
      <x:c r="B457" s="13" t="str">
        <x:v>POST</x:v>
      </x:c>
      <x:c r="C457" s="13" t="str">
        <x:v>/api/v1/funds/{fund_id}/close</x:v>
      </x:c>
      <x:c r="D457" s="13" t="str">
        <x:v>USER MODE</x:v>
      </x:c>
      <x:c r="E457" s="13" t="str">
        <x:v>funds_manager</x:v>
      </x:c>
      <x:c r="F457" s="13" t="str">
        <x:v>close fund</x:v>
      </x:c>
      <x:c r="G457" s="13" t="str">
        <x:v>HELPER_OR_SERVICE_AUTHORIZATION_REQUIRES_REVIEW</x:v>
      </x:c>
      <x:c r="H457" s="13" t="str">
        <x:v>LIVE_ROUTER_REGISTERED</x:v>
      </x:c>
      <x:c r="I457" s="13" t="str">
        <x:v>NO_DIRECT_LITERAL_MATCH_NOT_PROOF_UNUSED</x:v>
      </x:c>
      <x:c r="J457" s="13" t="str">
        <x:v>NOT_EXECUTED_BY_INVENTORY. SOURCE_LITERAL_OR_TRANSITIVE_HELPER_UNION</x:v>
      </x:c>
    </x:row>
    <x:row r="458" ht="42" customHeight="1">
      <x:c r="A458" s="14" t="str">
        <x:v>API-254</x:v>
      </x:c>
      <x:c r="B458" s="6" t="str">
        <x:v>POST</x:v>
      </x:c>
      <x:c r="C458" s="6" t="str">
        <x:v>/api/v1/funds/{fund_id}/suspend</x:v>
      </x:c>
      <x:c r="D458" s="6" t="str">
        <x:v>USER MODE</x:v>
      </x:c>
      <x:c r="E458" s="6" t="str">
        <x:v>funds_manager</x:v>
      </x:c>
      <x:c r="F458" s="6" t="str">
        <x:v>suspend fund</x:v>
      </x:c>
      <x:c r="G458" s="6" t="str">
        <x:v>HELPER_OR_SERVICE_AUTHORIZATION_REQUIRES_REVIEW</x:v>
      </x:c>
      <x:c r="H458" s="6" t="str">
        <x:v>LIVE_ROUTER_REGISTERED</x:v>
      </x:c>
      <x:c r="I458" s="6" t="str">
        <x:v>NO_DIRECT_LITERAL_MATCH_NOT_PROOF_UNUSED</x:v>
      </x:c>
      <x:c r="J458" s="6" t="str">
        <x:v>NOT_EXECUTED_BY_INVENTORY. SOURCE_LITERAL_OR_TRANSITIVE_HELPER_UNION</x:v>
      </x:c>
    </x:row>
    <x:row r="459" ht="42" customHeight="1">
      <x:c r="A459" s="15" t="str">
        <x:v>API-255</x:v>
      </x:c>
      <x:c r="B459" s="13" t="str">
        <x:v>GET</x:v>
      </x:c>
      <x:c r="C459" s="13" t="str">
        <x:v>/api/v1/portfolios/{portfolio_id}/funding</x:v>
      </x:c>
      <x:c r="D459" s="13" t="str">
        <x:v>READ-ONLY SHARED CONTEXT</x:v>
      </x:c>
      <x:c r="E459" s="13" t="str">
        <x:v>funds_manager</x:v>
      </x:c>
      <x:c r="F459" s="13" t="str">
        <x:v>portfolio funding</x:v>
      </x:c>
      <x:c r="G459" s="13" t="str">
        <x:v>funds.read</x:v>
      </x:c>
      <x:c r="H459" s="13" t="str">
        <x:v>LIVE_ROUTER_REGISTERED</x:v>
      </x:c>
      <x:c r="I459" s="13" t="str">
        <x:v>frontend/src/features/funds-manager/api.ts</x:v>
      </x:c>
      <x:c r="J459" s="13" t="str">
        <x:v>NOT_EXECUTED_BY_INVENTORY. SOURCE_LITERAL_OR_TRANSITIVE_HELPER_UNION</x:v>
      </x:c>
    </x:row>
    <x:row r="460" ht="42" customHeight="1">
      <x:c r="A460" s="14" t="str">
        <x:v>API-256</x:v>
      </x:c>
      <x:c r="B460" s="6" t="str">
        <x:v>GET</x:v>
      </x:c>
      <x:c r="C460" s="6" t="str">
        <x:v>/api/v1/portfolios/{portfolio_id}/funding/coverage</x:v>
      </x:c>
      <x:c r="D460" s="6" t="str">
        <x:v>READ-ONLY SHARED CONTEXT</x:v>
      </x:c>
      <x:c r="E460" s="6" t="str">
        <x:v>funds_manager</x:v>
      </x:c>
      <x:c r="F460" s="6" t="str">
        <x:v>portfolio coverage</x:v>
      </x:c>
      <x:c r="G460" s="6" t="str">
        <x:v>funding_readiness.read</x:v>
      </x:c>
      <x:c r="H460" s="6" t="str">
        <x:v>LIVE_ROUTER_REGISTERED</x:v>
      </x:c>
      <x:c r="I460" s="6" t="str">
        <x:v>NO_DIRECT_LITERAL_MATCH_NOT_PROOF_UNUSED</x:v>
      </x:c>
      <x:c r="J460" s="6" t="str">
        <x:v>NOT_EXECUTED_BY_INVENTORY. SOURCE_LITERAL_OR_TRANSITIVE_HELPER_UNION</x:v>
      </x:c>
    </x:row>
    <x:row r="461" ht="42" customHeight="1">
      <x:c r="A461" s="15" t="str">
        <x:v>API-257</x:v>
      </x:c>
      <x:c r="B461" s="13" t="str">
        <x:v>GET</x:v>
      </x:c>
      <x:c r="C461" s="13" t="str">
        <x:v>/api/v1/portfolios/{portfolio_id}/funding/investment-gate-evidence</x:v>
      </x:c>
      <x:c r="D461" s="13" t="str">
        <x:v>READ-ONLY SHARED CONTEXT</x:v>
      </x:c>
      <x:c r="E461" s="13" t="str">
        <x:v>funds_manager</x:v>
      </x:c>
      <x:c r="F461" s="13" t="str">
        <x:v>investment gate evidence</x:v>
      </x:c>
      <x:c r="G461" s="13" t="str">
        <x:v>funding_readiness.read</x:v>
      </x:c>
      <x:c r="H461" s="13" t="str">
        <x:v>LIVE_ROUTER_REGISTERED</x:v>
      </x:c>
      <x:c r="I461" s="13" t="str">
        <x:v>frontend/src/features/funds-manager/api.ts</x:v>
      </x:c>
      <x:c r="J461" s="13" t="str">
        <x:v>NOT_EXECUTED_BY_INVENTORY. SOURCE_LITERAL_OR_TRANSITIVE_HELPER_UNION</x:v>
      </x:c>
    </x:row>
    <x:row r="462" ht="42" customHeight="1">
      <x:c r="A462" s="14" t="str">
        <x:v>API-258</x:v>
      </x:c>
      <x:c r="B462" s="6" t="str">
        <x:v>GET</x:v>
      </x:c>
      <x:c r="C462" s="6" t="str">
        <x:v>/api/v1/portfolios/{portfolio_id}/funding/readiness</x:v>
      </x:c>
      <x:c r="D462" s="6" t="str">
        <x:v>READ-ONLY SHARED CONTEXT</x:v>
      </x:c>
      <x:c r="E462" s="6" t="str">
        <x:v>funds_manager</x:v>
      </x:c>
      <x:c r="F462" s="6" t="str">
        <x:v>portfolio readiness</x:v>
      </x:c>
      <x:c r="G462" s="6" t="str">
        <x:v>funding_readiness.read</x:v>
      </x:c>
      <x:c r="H462" s="6" t="str">
        <x:v>LIVE_ROUTER_REGISTERED</x:v>
      </x:c>
      <x:c r="I462" s="6" t="str">
        <x:v>NO_DIRECT_LITERAL_MATCH_NOT_PROOF_UNUSED</x:v>
      </x:c>
      <x:c r="J462" s="6" t="str">
        <x:v>NOT_EXECUTED_BY_INVENTORY. SOURCE_LITERAL_OR_TRANSITIVE_HELPER_UNION</x:v>
      </x:c>
    </x:row>
    <x:row r="463" ht="42" customHeight="1">
      <x:c r="A463" s="15" t="str">
        <x:v>API-259</x:v>
      </x:c>
      <x:c r="B463" s="13" t="str">
        <x:v>POST</x:v>
      </x:c>
      <x:c r="C463" s="13" t="str">
        <x:v>/api/v1/portfolios/{portfolio_id}/funding/readiness/refresh</x:v>
      </x:c>
      <x:c r="D463" s="13" t="str">
        <x:v>USER MODE</x:v>
      </x:c>
      <x:c r="E463" s="13" t="str">
        <x:v>funds_manager</x:v>
      </x:c>
      <x:c r="F463" s="13" t="str">
        <x:v>readiness refresh</x:v>
      </x:c>
      <x:c r="G463" s="13" t="str">
        <x:v>funding_readiness.refresh</x:v>
      </x:c>
      <x:c r="H463" s="13" t="str">
        <x:v>LIVE_ROUTER_REGISTERED</x:v>
      </x:c>
      <x:c r="I463" s="13" t="str">
        <x:v>frontend/src/features/funds-manager/api.ts</x:v>
      </x:c>
      <x:c r="J463" s="13" t="str">
        <x:v>NOT_EXECUTED_BY_INVENTORY. SOURCE_LITERAL_OR_TRANSITIVE_HELPER_UNION</x:v>
      </x:c>
    </x:row>
    <x:row r="464" ht="42" customHeight="1">
      <x:c r="A464" s="14" t="str">
        <x:v>API-260</x:v>
      </x:c>
      <x:c r="B464" s="6" t="str">
        <x:v>POST</x:v>
      </x:c>
      <x:c r="C464" s="6" t="str">
        <x:v>/api/v1/portfolios/{portfolio_id}/funding/readiness/refresh/preview</x:v>
      </x:c>
      <x:c r="D464" s="6" t="str">
        <x:v>USER MODE</x:v>
      </x:c>
      <x:c r="E464" s="6" t="str">
        <x:v>funds_manager</x:v>
      </x:c>
      <x:c r="F464" s="6" t="str">
        <x:v>readiness preview</x:v>
      </x:c>
      <x:c r="G464" s="6" t="str">
        <x:v>funding_readiness.refresh</x:v>
      </x:c>
      <x:c r="H464" s="6" t="str">
        <x:v>LIVE_ROUTER_REGISTERED</x:v>
      </x:c>
      <x:c r="I464" s="6" t="str">
        <x:v>frontend/src/features/funds-manager/api.ts</x:v>
      </x:c>
      <x:c r="J464" s="6" t="str">
        <x:v>NOT_EXECUTED_BY_INVENTORY. SOURCE_LITERAL_OR_TRANSITIVE_HELPER_UNION</x:v>
      </x:c>
    </x:row>
    <x:row r="465" ht="42" customHeight="1">
      <x:c r="A465" s="15" t="str">
        <x:v>API-261</x:v>
      </x:c>
      <x:c r="B465" s="13" t="str">
        <x:v>GET</x:v>
      </x:c>
      <x:c r="C465" s="13" t="str">
        <x:v>/api/v1/projects/{project_id}/funding</x:v>
      </x:c>
      <x:c r="D465" s="13" t="str">
        <x:v>READ-ONLY SHARED CONTEXT</x:v>
      </x:c>
      <x:c r="E465" s="13" t="str">
        <x:v>funds_manager</x:v>
      </x:c>
      <x:c r="F465" s="13" t="str">
        <x:v>project funding</x:v>
      </x:c>
      <x:c r="G465" s="13" t="str">
        <x:v>funds.read</x:v>
      </x:c>
      <x:c r="H465" s="13" t="str">
        <x:v>LIVE_ROUTER_REGISTERED</x:v>
      </x:c>
      <x:c r="I465" s="13" t="str">
        <x:v>NO_DIRECT_LITERAL_MATCH_NOT_PROOF_UNUSED</x:v>
      </x:c>
      <x:c r="J465" s="13" t="str">
        <x:v>NOT_EXECUTED_BY_INVENTORY. SOURCE_LITERAL_OR_TRANSITIVE_HELPER_UNION</x:v>
      </x:c>
    </x:row>
    <x:row r="466" ht="42" customHeight="1">
      <x:c r="A466" s="14" t="str">
        <x:v>API-262</x:v>
      </x:c>
      <x:c r="B466" s="6" t="str">
        <x:v>GET</x:v>
      </x:c>
      <x:c r="C466" s="6" t="str">
        <x:v>/api/v1/projects/{project_id}/funding/readiness</x:v>
      </x:c>
      <x:c r="D466" s="6" t="str">
        <x:v>READ-ONLY SHARED CONTEXT</x:v>
      </x:c>
      <x:c r="E466" s="6" t="str">
        <x:v>funds_manager</x:v>
      </x:c>
      <x:c r="F466" s="6" t="str">
        <x:v>project readiness</x:v>
      </x:c>
      <x:c r="G466" s="6" t="str">
        <x:v>funding_readiness.read</x:v>
      </x:c>
      <x:c r="H466" s="6" t="str">
        <x:v>LIVE_ROUTER_REGISTERED</x:v>
      </x:c>
      <x:c r="I466" s="6" t="str">
        <x:v>NO_DIRECT_LITERAL_MATCH_NOT_PROOF_UNUSED</x:v>
      </x:c>
      <x:c r="J466" s="6" t="str">
        <x:v>NOT_EXECUTED_BY_INVENTORY. SOURCE_LITERAL_OR_TRANSITIVE_HELPER_UNION</x:v>
      </x:c>
    </x:row>
    <x:row r="467" ht="42" customHeight="1">
      <x:c r="A467" s="15" t="str">
        <x:v>API-263</x:v>
      </x:c>
      <x:c r="B467" s="13" t="str">
        <x:v>GET</x:v>
      </x:c>
      <x:c r="C467" s="13" t="str">
        <x:v>/api/v1/ideas</x:v>
      </x:c>
      <x:c r="D467" s="13" t="str">
        <x:v>READ-ONLY SHARED CONTEXT</x:v>
      </x:c>
      <x:c r="E467" s="13" t="str">
        <x:v>idea_demand</x:v>
      </x:c>
      <x:c r="F467" s="13" t="str">
        <x:v>list ideas</x:v>
      </x:c>
      <x:c r="G467" s="13" t="str">
        <x:v>idea.read</x:v>
      </x:c>
      <x:c r="H467" s="13" t="str">
        <x:v>LIVE_ROUTER_REGISTERED</x:v>
      </x:c>
      <x:c r="I467" s="13" t="str">
        <x:v>frontend/src/features/idea-demand/api.ts</x:v>
      </x:c>
      <x:c r="J467" s="13" t="str">
        <x:v>NOT_EXECUTED_BY_INVENTORY. SOURCE_LITERAL_OR_TRANSITIVE_HELPER_UNION</x:v>
      </x:c>
    </x:row>
    <x:row r="468" ht="42" customHeight="1">
      <x:c r="A468" s="14" t="str">
        <x:v>API-264</x:v>
      </x:c>
      <x:c r="B468" s="6" t="str">
        <x:v>POST</x:v>
      </x:c>
      <x:c r="C468" s="6" t="str">
        <x:v>/api/v1/ideas</x:v>
      </x:c>
      <x:c r="D468" s="6" t="str">
        <x:v>USER MODE</x:v>
      </x:c>
      <x:c r="E468" s="6" t="str">
        <x:v>idea_demand</x:v>
      </x:c>
      <x:c r="F468" s="6" t="str">
        <x:v>create</x:v>
      </x:c>
      <x:c r="G468" s="6" t="str">
        <x:v>idea.create</x:v>
      </x:c>
      <x:c r="H468" s="6" t="str">
        <x:v>LIVE_ROUTER_REGISTERED</x:v>
      </x:c>
      <x:c r="I468" s="6" t="str">
        <x:v>frontend/src/features/idea-demand/api.ts</x:v>
      </x:c>
      <x:c r="J468" s="6" t="str">
        <x:v>NOT_EXECUTED_BY_INVENTORY. SOURCE_LITERAL_OR_TRANSITIVE_HELPER_UNION</x:v>
      </x:c>
    </x:row>
    <x:row r="469" ht="42" customHeight="1">
      <x:c r="A469" s="15" t="str">
        <x:v>API-265</x:v>
      </x:c>
      <x:c r="B469" s="13" t="str">
        <x:v>POST</x:v>
      </x:c>
      <x:c r="C469" s="13" t="str">
        <x:v>/api/v1/ideas/admin/configuration/preview</x:v>
      </x:c>
      <x:c r="D469" s="13" t="str">
        <x:v>ADMIN MODE</x:v>
      </x:c>
      <x:c r="E469" s="13" t="str">
        <x:v>idea_demand</x:v>
      </x:c>
      <x:c r="F469" s="13" t="str">
        <x:v>configuration preview</x:v>
      </x:c>
      <x:c r="G469" s="13" t="str">
        <x:v>idea.admin.configure</x:v>
      </x:c>
      <x:c r="H469" s="13" t="str">
        <x:v>LIVE_ROUTER_REGISTERED</x:v>
      </x:c>
      <x:c r="I469" s="13" t="str">
        <x:v>frontend/src/features/idea-demand/api.ts</x:v>
      </x:c>
      <x:c r="J469" s="13" t="str">
        <x:v>NOT_EXECUTED_BY_INVENTORY. SOURCE_LITERAL_OR_TRANSITIVE_HELPER_UNION</x:v>
      </x:c>
    </x:row>
    <x:row r="470" ht="42" customHeight="1">
      <x:c r="A470" s="14" t="str">
        <x:v>API-266</x:v>
      </x:c>
      <x:c r="B470" s="6" t="str">
        <x:v>GET</x:v>
      </x:c>
      <x:c r="C470" s="6" t="str">
        <x:v>/api/v1/ideas/admin/configurations/list</x:v>
      </x:c>
      <x:c r="D470" s="6" t="str">
        <x:v>ADMIN MODE</x:v>
      </x:c>
      <x:c r="E470" s="6" t="str">
        <x:v>idea_demand</x:v>
      </x:c>
      <x:c r="F470" s="6" t="str">
        <x:v>admin configurations</x:v>
      </x:c>
      <x:c r="G470" s="6" t="str">
        <x:v>idea.admin.configure</x:v>
      </x:c>
      <x:c r="H470" s="6" t="str">
        <x:v>LIVE_ROUTER_REGISTERED</x:v>
      </x:c>
      <x:c r="I470" s="6" t="str">
        <x:v>frontend/src/features/idea-demand/api.ts</x:v>
      </x:c>
      <x:c r="J470" s="6" t="str">
        <x:v>NOT_EXECUTED_BY_INVENTORY. SOURCE_LITERAL_OR_TRANSITIVE_HELPER_UNION</x:v>
      </x:c>
    </x:row>
    <x:row r="471" ht="42" customHeight="1">
      <x:c r="A471" s="15" t="str">
        <x:v>API-267</x:v>
      </x:c>
      <x:c r="B471" s="13" t="str">
        <x:v>PUT</x:v>
      </x:c>
      <x:c r="C471" s="13" t="str">
        <x:v>/api/v1/ideas/admin/configurations/{configuration_id}</x:v>
      </x:c>
      <x:c r="D471" s="13" t="str">
        <x:v>ADMIN MODE</x:v>
      </x:c>
      <x:c r="E471" s="13" t="str">
        <x:v>idea_demand</x:v>
      </x:c>
      <x:c r="F471" s="13" t="str">
        <x:v>update configuration</x:v>
      </x:c>
      <x:c r="G471" s="13" t="str">
        <x:v>idea.admin.configure</x:v>
      </x:c>
      <x:c r="H471" s="13" t="str">
        <x:v>LIVE_ROUTER_REGISTERED</x:v>
      </x:c>
      <x:c r="I471" s="13" t="str">
        <x:v>frontend/src/features/idea-demand/api.ts</x:v>
      </x:c>
      <x:c r="J471" s="13" t="str">
        <x:v>NOT_EXECUTED_BY_INVENTORY. SOURCE_LITERAL_OR_TRANSITIVE_HELPER_UNION</x:v>
      </x:c>
    </x:row>
    <x:row r="472" ht="42" customHeight="1">
      <x:c r="A472" s="14" t="str">
        <x:v>API-268</x:v>
      </x:c>
      <x:c r="B472" s="6" t="str">
        <x:v>POST</x:v>
      </x:c>
      <x:c r="C472" s="6" t="str">
        <x:v>/api/v1/ideas/admin/configurations/{configuration_id}/clone</x:v>
      </x:c>
      <x:c r="D472" s="6" t="str">
        <x:v>ADMIN MODE</x:v>
      </x:c>
      <x:c r="E472" s="6" t="str">
        <x:v>idea_demand</x:v>
      </x:c>
      <x:c r="F472" s="6" t="str">
        <x:v>clone configuration</x:v>
      </x:c>
      <x:c r="G472" s="6" t="str">
        <x:v>idea.admin.configure</x:v>
      </x:c>
      <x:c r="H472" s="6" t="str">
        <x:v>LIVE_ROUTER_REGISTERED</x:v>
      </x:c>
      <x:c r="I472" s="6" t="str">
        <x:v>frontend/src/features/idea-demand/api.ts</x:v>
      </x:c>
      <x:c r="J472" s="6" t="str">
        <x:v>NOT_EXECUTED_BY_INVENTORY. SOURCE_LITERAL_OR_TRANSITIVE_HELPER_UNION</x:v>
      </x:c>
    </x:row>
    <x:row r="473" ht="42" customHeight="1">
      <x:c r="A473" s="15" t="str">
        <x:v>API-269</x:v>
      </x:c>
      <x:c r="B473" s="13" t="str">
        <x:v>POST</x:v>
      </x:c>
      <x:c r="C473" s="13" t="str">
        <x:v>/api/v1/ideas/admin/configurations/{configuration_id}/publish</x:v>
      </x:c>
      <x:c r="D473" s="13" t="str">
        <x:v>ADMIN MODE</x:v>
      </x:c>
      <x:c r="E473" s="13" t="str">
        <x:v>idea_demand</x:v>
      </x:c>
      <x:c r="F473" s="13" t="str">
        <x:v>publish configuration</x:v>
      </x:c>
      <x:c r="G473" s="13" t="str">
        <x:v>idea.admin.publish</x:v>
      </x:c>
      <x:c r="H473" s="13" t="str">
        <x:v>LIVE_ROUTER_REGISTERED</x:v>
      </x:c>
      <x:c r="I473" s="13" t="str">
        <x:v>frontend/src/features/idea-demand/api.ts</x:v>
      </x:c>
      <x:c r="J473" s="13" t="str">
        <x:v>NOT_EXECUTED_BY_INVENTORY. SOURCE_LITERAL_OR_TRANSITIVE_HELPER_UNION</x:v>
      </x:c>
    </x:row>
    <x:row r="474" ht="42" customHeight="1">
      <x:c r="A474" s="14" t="str">
        <x:v>API-270</x:v>
      </x:c>
      <x:c r="B474" s="6" t="str">
        <x:v>GET</x:v>
      </x:c>
      <x:c r="C474" s="6" t="str">
        <x:v>/api/v1/ideas/options</x:v>
      </x:c>
      <x:c r="D474" s="6" t="str">
        <x:v>READ-ONLY SHARED CONTEXT</x:v>
      </x:c>
      <x:c r="E474" s="6" t="str">
        <x:v>idea_demand</x:v>
      </x:c>
      <x:c r="F474" s="6" t="str">
        <x:v>options</x:v>
      </x:c>
      <x:c r="G474" s="6" t="str">
        <x:v>idea.create</x:v>
      </x:c>
      <x:c r="H474" s="6" t="str">
        <x:v>LIVE_ROUTER_REGISTERED</x:v>
      </x:c>
      <x:c r="I474" s="6" t="str">
        <x:v>NO_DIRECT_LITERAL_MATCH_NOT_PROOF_UNUSED</x:v>
      </x:c>
      <x:c r="J474" s="6" t="str">
        <x:v>NOT_EXECUTED_BY_INVENTORY. SOURCE_LITERAL_OR_TRANSITIVE_HELPER_UNION</x:v>
      </x:c>
    </x:row>
    <x:row r="475" ht="42" customHeight="1">
      <x:c r="A475" s="15" t="str">
        <x:v>API-271</x:v>
      </x:c>
      <x:c r="B475" s="13" t="str">
        <x:v>GET</x:v>
      </x:c>
      <x:c r="C475" s="13" t="str">
        <x:v>/api/v1/ideas/{idea_id}</x:v>
      </x:c>
      <x:c r="D475" s="13" t="str">
        <x:v>READ-ONLY SHARED CONTEXT</x:v>
      </x:c>
      <x:c r="E475" s="13" t="str">
        <x:v>idea_demand</x:v>
      </x:c>
      <x:c r="F475" s="13" t="str">
        <x:v>get idea</x:v>
      </x:c>
      <x:c r="G475" s="13" t="str">
        <x:v>idea.read</x:v>
      </x:c>
      <x:c r="H475" s="13" t="str">
        <x:v>LIVE_ROUTER_REGISTERED</x:v>
      </x:c>
      <x:c r="I475" s="13" t="str">
        <x:v>frontend/src/features/idea-demand/api.ts</x:v>
      </x:c>
      <x:c r="J475" s="13" t="str">
        <x:v>NOT_EXECUTED_BY_INVENTORY. SOURCE_LITERAL_OR_TRANSITIVE_HELPER_UNION</x:v>
      </x:c>
    </x:row>
    <x:row r="476" ht="42" customHeight="1">
      <x:c r="A476" s="14" t="str">
        <x:v>API-272</x:v>
      </x:c>
      <x:c r="B476" s="6" t="str">
        <x:v>PUT</x:v>
      </x:c>
      <x:c r="C476" s="6" t="str">
        <x:v>/api/v1/ideas/{idea_id}</x:v>
      </x:c>
      <x:c r="D476" s="6" t="str">
        <x:v>USER MODE</x:v>
      </x:c>
      <x:c r="E476" s="6" t="str">
        <x:v>idea_demand</x:v>
      </x:c>
      <x:c r="F476" s="6" t="str">
        <x:v>update idea</x:v>
      </x:c>
      <x:c r="G476" s="6" t="str">
        <x:v>idea.edit</x:v>
      </x:c>
      <x:c r="H476" s="6" t="str">
        <x:v>LIVE_ROUTER_REGISTERED</x:v>
      </x:c>
      <x:c r="I476" s="6" t="str">
        <x:v>frontend/src/features/idea-demand/api.ts</x:v>
      </x:c>
      <x:c r="J476" s="6" t="str">
        <x:v>NOT_EXECUTED_BY_INVENTORY. SOURCE_LITERAL_OR_TRANSITIVE_HELPER_UNION</x:v>
      </x:c>
    </x:row>
    <x:row r="477" ht="42" customHeight="1">
      <x:c r="A477" s="15" t="str">
        <x:v>API-273</x:v>
      </x:c>
      <x:c r="B477" s="13" t="str">
        <x:v>POST</x:v>
      </x:c>
      <x:c r="C477" s="13" t="str">
        <x:v>/api/v1/ideas/{idea_id}/assign-owner</x:v>
      </x:c>
      <x:c r="D477" s="13" t="str">
        <x:v>USER MODE</x:v>
      </x:c>
      <x:c r="E477" s="13" t="str">
        <x:v>idea_demand</x:v>
      </x:c>
      <x:c r="F477" s="13" t="str">
        <x:v>assign owner</x:v>
      </x:c>
      <x:c r="G477" s="13" t="str">
        <x:v>idea.assign_owner</x:v>
      </x:c>
      <x:c r="H477" s="13" t="str">
        <x:v>LIVE_ROUTER_REGISTERED</x:v>
      </x:c>
      <x:c r="I477" s="13" t="str">
        <x:v>NO_DIRECT_LITERAL_MATCH_NOT_PROOF_UNUSED</x:v>
      </x:c>
      <x:c r="J477" s="13" t="str">
        <x:v>NOT_EXECUTED_BY_INVENTORY. SOURCE_LITERAL_OR_TRANSITIVE_HELPER_UNION</x:v>
      </x:c>
    </x:row>
    <x:row r="478" ht="42" customHeight="1">
      <x:c r="A478" s="14" t="str">
        <x:v>API-274</x:v>
      </x:c>
      <x:c r="B478" s="6" t="str">
        <x:v>POST</x:v>
      </x:c>
      <x:c r="C478" s="6" t="str">
        <x:v>/api/v1/ideas/{idea_id}/evaluation/complete</x:v>
      </x:c>
      <x:c r="D478" s="6" t="str">
        <x:v>USER MODE</x:v>
      </x:c>
      <x:c r="E478" s="6" t="str">
        <x:v>idea_demand</x:v>
      </x:c>
      <x:c r="F478" s="6" t="str">
        <x:v>complete evaluation</x:v>
      </x:c>
      <x:c r="G478" s="6" t="str">
        <x:v>idea.evaluate</x:v>
      </x:c>
      <x:c r="H478" s="6" t="str">
        <x:v>LIVE_ROUTER_REGISTERED</x:v>
      </x:c>
      <x:c r="I478" s="6" t="str">
        <x:v>NO_DIRECT_LITERAL_MATCH_NOT_PROOF_UNUSED</x:v>
      </x:c>
      <x:c r="J478" s="6" t="str">
        <x:v>NOT_EXECUTED_BY_INVENTORY. SOURCE_LITERAL_OR_TRANSITIVE_HELPER_UNION</x:v>
      </x:c>
    </x:row>
    <x:row r="479" ht="42" customHeight="1">
      <x:c r="A479" s="15" t="str">
        <x:v>API-275</x:v>
      </x:c>
      <x:c r="B479" s="13" t="str">
        <x:v>GET</x:v>
      </x:c>
      <x:c r="C479" s="13" t="str">
        <x:v>/api/v1/ideas/{idea_id}/history</x:v>
      </x:c>
      <x:c r="D479" s="13" t="str">
        <x:v>READ-ONLY SHARED CONTEXT</x:v>
      </x:c>
      <x:c r="E479" s="13" t="str">
        <x:v>idea_demand</x:v>
      </x:c>
      <x:c r="F479" s="13" t="str">
        <x:v>history</x:v>
      </x:c>
      <x:c r="G479" s="13" t="str">
        <x:v>idea.read</x:v>
      </x:c>
      <x:c r="H479" s="13" t="str">
        <x:v>LIVE_ROUTER_REGISTERED</x:v>
      </x:c>
      <x:c r="I479" s="13" t="str">
        <x:v>NO_DIRECT_LITERAL_MATCH_NOT_PROOF_UNUSED</x:v>
      </x:c>
      <x:c r="J479" s="13" t="str">
        <x:v>NOT_EXECUTED_BY_INVENTORY. SOURCE_LITERAL_OR_TRANSITIVE_HELPER_UNION</x:v>
      </x:c>
    </x:row>
    <x:row r="480" ht="42" customHeight="1">
      <x:c r="A480" s="14" t="str">
        <x:v>API-276</x:v>
      </x:c>
      <x:c r="B480" s="6" t="str">
        <x:v>GET</x:v>
      </x:c>
      <x:c r="C480" s="6" t="str">
        <x:v>/api/v1/ideas/{idea_id}/proposal-readiness</x:v>
      </x:c>
      <x:c r="D480" s="6" t="str">
        <x:v>READ-ONLY SHARED CONTEXT</x:v>
      </x:c>
      <x:c r="E480" s="6" t="str">
        <x:v>idea_demand</x:v>
      </x:c>
      <x:c r="F480" s="6" t="str">
        <x:v>readiness</x:v>
      </x:c>
      <x:c r="G480" s="6" t="str">
        <x:v>idea.read</x:v>
      </x:c>
      <x:c r="H480" s="6" t="str">
        <x:v>LIVE_ROUTER_REGISTERED</x:v>
      </x:c>
      <x:c r="I480" s="6" t="str">
        <x:v>NO_DIRECT_LITERAL_MATCH_NOT_PROOF_UNUSED</x:v>
      </x:c>
      <x:c r="J480" s="6" t="str">
        <x:v>NOT_EXECUTED_BY_INVENTORY. SOURCE_LITERAL_OR_TRANSITIVE_HELPER_UNION</x:v>
      </x:c>
    </x:row>
    <x:row r="481" ht="42" customHeight="1">
      <x:c r="A481" s="15" t="str">
        <x:v>API-277</x:v>
      </x:c>
      <x:c r="B481" s="13" t="str">
        <x:v>POST</x:v>
      </x:c>
      <x:c r="C481" s="13" t="str">
        <x:v>/api/v1/ideas/{idea_id}/route</x:v>
      </x:c>
      <x:c r="D481" s="13" t="str">
        <x:v>USER MODE</x:v>
      </x:c>
      <x:c r="E481" s="13" t="str">
        <x:v>idea_demand</x:v>
      </x:c>
      <x:c r="F481" s="13" t="str">
        <x:v>route</x:v>
      </x:c>
      <x:c r="G481" s="13" t="str">
        <x:v>idea.route</x:v>
      </x:c>
      <x:c r="H481" s="13" t="str">
        <x:v>LIVE_ROUTER_REGISTERED</x:v>
      </x:c>
      <x:c r="I481" s="13" t="str">
        <x:v>NO_DIRECT_LITERAL_MATCH_NOT_PROOF_UNUSED</x:v>
      </x:c>
      <x:c r="J481" s="13" t="str">
        <x:v>NOT_EXECUTED_BY_INVENTORY. SOURCE_LITERAL_OR_TRANSITIVE_HELPER_UNION</x:v>
      </x:c>
    </x:row>
    <x:row r="482" ht="42" customHeight="1">
      <x:c r="A482" s="14" t="str">
        <x:v>API-278</x:v>
      </x:c>
      <x:c r="B482" s="6" t="str">
        <x:v>POST</x:v>
      </x:c>
      <x:c r="C482" s="6" t="str">
        <x:v>/api/v1/ideas/{idea_id}/screen</x:v>
      </x:c>
      <x:c r="D482" s="6" t="str">
        <x:v>USER MODE</x:v>
      </x:c>
      <x:c r="E482" s="6" t="str">
        <x:v>idea_demand</x:v>
      </x:c>
      <x:c r="F482" s="6" t="str">
        <x:v>screen</x:v>
      </x:c>
      <x:c r="G482" s="6" t="str">
        <x:v>idea.screen</x:v>
      </x:c>
      <x:c r="H482" s="6" t="str">
        <x:v>LIVE_ROUTER_REGISTERED</x:v>
      </x:c>
      <x:c r="I482" s="6" t="str">
        <x:v>NO_DIRECT_LITERAL_MATCH_NOT_PROOF_UNUSED</x:v>
      </x:c>
      <x:c r="J482" s="6" t="str">
        <x:v>NOT_EXECUTED_BY_INVENTORY. SOURCE_LITERAL_OR_TRANSITIVE_HELPER_UNION</x:v>
      </x:c>
    </x:row>
    <x:row r="483" ht="42" customHeight="1">
      <x:c r="A483" s="15" t="str">
        <x:v>API-279</x:v>
      </x:c>
      <x:c r="B483" s="13" t="str">
        <x:v>GET</x:v>
      </x:c>
      <x:c r="C483" s="13" t="str">
        <x:v>/api/v1/investment-decision/admin/configurations</x:v>
      </x:c>
      <x:c r="D483" s="13" t="str">
        <x:v>ADMIN MODE</x:v>
      </x:c>
      <x:c r="E483" s="13" t="str">
        <x:v>investment_decision</x:v>
      </x:c>
      <x:c r="F483" s="13" t="str">
        <x:v>configurations</x:v>
      </x:c>
      <x:c r="G483" s="13" t="str">
        <x:v>investment_decision.admin.configure</x:v>
      </x:c>
      <x:c r="H483" s="13" t="str">
        <x:v>LIVE_ROUTER_REGISTERED</x:v>
      </x:c>
      <x:c r="I483" s="13" t="str">
        <x:v>frontend/src/features/investment-decision/api.ts</x:v>
      </x:c>
      <x:c r="J483" s="13" t="str">
        <x:v>NOT_EXECUTED_BY_INVENTORY. SOURCE_LITERAL_OR_TRANSITIVE_HELPER_UNION</x:v>
      </x:c>
    </x:row>
    <x:row r="484" ht="42" customHeight="1">
      <x:c r="A484" s="14" t="str">
        <x:v>API-280</x:v>
      </x:c>
      <x:c r="B484" s="6" t="str">
        <x:v>POST</x:v>
      </x:c>
      <x:c r="C484" s="6" t="str">
        <x:v>/api/v1/investment-decision/admin/configurations/preview</x:v>
      </x:c>
      <x:c r="D484" s="6" t="str">
        <x:v>ADMIN MODE</x:v>
      </x:c>
      <x:c r="E484" s="6" t="str">
        <x:v>investment_decision</x:v>
      </x:c>
      <x:c r="F484" s="6" t="str">
        <x:v>configuration preview</x:v>
      </x:c>
      <x:c r="G484" s="6" t="str">
        <x:v>investment_decision.admin.configure</x:v>
      </x:c>
      <x:c r="H484" s="6" t="str">
        <x:v>LIVE_ROUTER_REGISTERED</x:v>
      </x:c>
      <x:c r="I484" s="6" t="str">
        <x:v>frontend/src/features/investment-decision/api.ts</x:v>
      </x:c>
      <x:c r="J484" s="6" t="str">
        <x:v>NOT_EXECUTED_BY_INVENTORY. SOURCE_LITERAL_OR_TRANSITIVE_HELPER_UNION</x:v>
      </x:c>
    </x:row>
    <x:row r="485" ht="42" customHeight="1">
      <x:c r="A485" s="15" t="str">
        <x:v>API-281</x:v>
      </x:c>
      <x:c r="B485" s="13" t="str">
        <x:v>PUT</x:v>
      </x:c>
      <x:c r="C485" s="13" t="str">
        <x:v>/api/v1/investment-decision/admin/configurations/{configuration_id}</x:v>
      </x:c>
      <x:c r="D485" s="13" t="str">
        <x:v>ADMIN MODE</x:v>
      </x:c>
      <x:c r="E485" s="13" t="str">
        <x:v>investment_decision</x:v>
      </x:c>
      <x:c r="F485" s="13" t="str">
        <x:v>update configuration</x:v>
      </x:c>
      <x:c r="G485" s="13" t="str">
        <x:v>investment_decision.admin.configure</x:v>
      </x:c>
      <x:c r="H485" s="13" t="str">
        <x:v>LIVE_ROUTER_REGISTERED</x:v>
      </x:c>
      <x:c r="I485" s="13" t="str">
        <x:v>frontend/src/features/investment-decision/api.ts</x:v>
      </x:c>
      <x:c r="J485" s="13" t="str">
        <x:v>NOT_EXECUTED_BY_INVENTORY. SOURCE_LITERAL_OR_TRANSITIVE_HELPER_UNION</x:v>
      </x:c>
    </x:row>
    <x:row r="486" ht="42" customHeight="1">
      <x:c r="A486" s="14" t="str">
        <x:v>API-282</x:v>
      </x:c>
      <x:c r="B486" s="6" t="str">
        <x:v>POST</x:v>
      </x:c>
      <x:c r="C486" s="6" t="str">
        <x:v>/api/v1/investment-decision/admin/configurations/{configuration_id}/clone</x:v>
      </x:c>
      <x:c r="D486" s="6" t="str">
        <x:v>ADMIN MODE</x:v>
      </x:c>
      <x:c r="E486" s="6" t="str">
        <x:v>investment_decision</x:v>
      </x:c>
      <x:c r="F486" s="6" t="str">
        <x:v>clone configuration</x:v>
      </x:c>
      <x:c r="G486" s="6" t="str">
        <x:v>investment_decision.admin.configure</x:v>
      </x:c>
      <x:c r="H486" s="6" t="str">
        <x:v>LIVE_ROUTER_REGISTERED</x:v>
      </x:c>
      <x:c r="I486" s="6" t="str">
        <x:v>frontend/src/features/investment-decision/api.ts</x:v>
      </x:c>
      <x:c r="J486" s="6" t="str">
        <x:v>NOT_EXECUTED_BY_INVENTORY. SOURCE_LITERAL_OR_TRANSITIVE_HELPER_UNION</x:v>
      </x:c>
    </x:row>
    <x:row r="487" ht="42" customHeight="1">
      <x:c r="A487" s="15" t="str">
        <x:v>API-283</x:v>
      </x:c>
      <x:c r="B487" s="13" t="str">
        <x:v>POST</x:v>
      </x:c>
      <x:c r="C487" s="13" t="str">
        <x:v>/api/v1/investment-decision/admin/configurations/{configuration_id}/publish</x:v>
      </x:c>
      <x:c r="D487" s="13" t="str">
        <x:v>ADMIN MODE</x:v>
      </x:c>
      <x:c r="E487" s="13" t="str">
        <x:v>investment_decision</x:v>
      </x:c>
      <x:c r="F487" s="13" t="str">
        <x:v>publish configuration</x:v>
      </x:c>
      <x:c r="G487" s="13" t="str">
        <x:v>investment_decision.admin.publish</x:v>
      </x:c>
      <x:c r="H487" s="13" t="str">
        <x:v>LIVE_ROUTER_REGISTERED</x:v>
      </x:c>
      <x:c r="I487" s="13" t="str">
        <x:v>frontend/src/features/investment-decision/api.ts</x:v>
      </x:c>
      <x:c r="J487" s="13" t="str">
        <x:v>NOT_EXECUTED_BY_INVENTORY. SOURCE_LITERAL_OR_TRANSITIVE_HELPER_UNION</x:v>
      </x:c>
    </x:row>
    <x:row r="488" ht="42" customHeight="1">
      <x:c r="A488" s="14" t="str">
        <x:v>API-284</x:v>
      </x:c>
      <x:c r="B488" s="6" t="str">
        <x:v>GET</x:v>
      </x:c>
      <x:c r="C488" s="6" t="str">
        <x:v>/api/v1/investment-decisions</x:v>
      </x:c>
      <x:c r="D488" s="6" t="str">
        <x:v>READ-ONLY SHARED CONTEXT</x:v>
      </x:c>
      <x:c r="E488" s="6" t="str">
        <x:v>investment_decision</x:v>
      </x:c>
      <x:c r="F488" s="6" t="str">
        <x:v>decisions</x:v>
      </x:c>
      <x:c r="G488" s="6" t="str">
        <x:v>investment_decision.read</x:v>
      </x:c>
      <x:c r="H488" s="6" t="str">
        <x:v>LIVE_ROUTER_REGISTERED</x:v>
      </x:c>
      <x:c r="I488" s="6" t="str">
        <x:v>frontend/src/features/investment-decision/api.ts</x:v>
      </x:c>
      <x:c r="J488" s="6" t="str">
        <x:v>NOT_EXECUTED_BY_INVENTORY. SOURCE_LITERAL_OR_TRANSITIVE_HELPER_UNION</x:v>
      </x:c>
    </x:row>
    <x:row r="489" ht="42" customHeight="1">
      <x:c r="A489" s="15" t="str">
        <x:v>API-285</x:v>
      </x:c>
      <x:c r="B489" s="13" t="str">
        <x:v>POST</x:v>
      </x:c>
      <x:c r="C489" s="13" t="str">
        <x:v>/api/v1/investment-decisions</x:v>
      </x:c>
      <x:c r="D489" s="13" t="str">
        <x:v>USER MODE</x:v>
      </x:c>
      <x:c r="E489" s="13" t="str">
        <x:v>investment_decision</x:v>
      </x:c>
      <x:c r="F489" s="13" t="str">
        <x:v>create decision</x:v>
      </x:c>
      <x:c r="G489" s="13" t="str">
        <x:v>investment_decision.create</x:v>
      </x:c>
      <x:c r="H489" s="13" t="str">
        <x:v>LIVE_ROUTER_REGISTERED</x:v>
      </x:c>
      <x:c r="I489" s="13" t="str">
        <x:v>frontend/src/features/investment-decision/api.ts</x:v>
      </x:c>
      <x:c r="J489" s="13" t="str">
        <x:v>NOT_EXECUTED_BY_INVENTORY. SOURCE_LITERAL_OR_TRANSITIVE_HELPER_UNION</x:v>
      </x:c>
    </x:row>
    <x:row r="490" ht="42" customHeight="1">
      <x:c r="A490" s="14" t="str">
        <x:v>API-286</x:v>
      </x:c>
      <x:c r="B490" s="6" t="str">
        <x:v>GET</x:v>
      </x:c>
      <x:c r="C490" s="6" t="str">
        <x:v>/api/v1/investment-decisions/{decision_id}</x:v>
      </x:c>
      <x:c r="D490" s="6" t="str">
        <x:v>READ-ONLY SHARED CONTEXT</x:v>
      </x:c>
      <x:c r="E490" s="6" t="str">
        <x:v>investment_decision</x:v>
      </x:c>
      <x:c r="F490" s="6" t="str">
        <x:v>decision</x:v>
      </x:c>
      <x:c r="G490" s="6" t="str">
        <x:v>investment_decision.read</x:v>
      </x:c>
      <x:c r="H490" s="6" t="str">
        <x:v>LIVE_ROUTER_REGISTERED</x:v>
      </x:c>
      <x:c r="I490" s="6" t="str">
        <x:v>frontend/src/features/investment-decision/api.ts</x:v>
      </x:c>
      <x:c r="J490" s="6" t="str">
        <x:v>NOT_EXECUTED_BY_INVENTORY. SOURCE_LITERAL_OR_TRANSITIVE_HELPER_UNION</x:v>
      </x:c>
    </x:row>
    <x:row r="491" ht="42" customHeight="1">
      <x:c r="A491" s="15" t="str">
        <x:v>API-287</x:v>
      </x:c>
      <x:c r="B491" s="13" t="str">
        <x:v>PUT</x:v>
      </x:c>
      <x:c r="C491" s="13" t="str">
        <x:v>/api/v1/investment-decisions/{decision_id}</x:v>
      </x:c>
      <x:c r="D491" s="13" t="str">
        <x:v>USER MODE</x:v>
      </x:c>
      <x:c r="E491" s="13" t="str">
        <x:v>investment_decision</x:v>
      </x:c>
      <x:c r="F491" s="13" t="str">
        <x:v>update decision</x:v>
      </x:c>
      <x:c r="G491" s="13" t="str">
        <x:v>investment_decision.edit</x:v>
      </x:c>
      <x:c r="H491" s="13" t="str">
        <x:v>LIVE_ROUTER_REGISTERED</x:v>
      </x:c>
      <x:c r="I491" s="13" t="str">
        <x:v>frontend/src/features/investment-decision/api.ts</x:v>
      </x:c>
      <x:c r="J491" s="13" t="str">
        <x:v>NOT_EXECUTED_BY_INVENTORY. SOURCE_LITERAL_OR_TRANSITIVE_HELPER_UNION</x:v>
      </x:c>
    </x:row>
    <x:row r="492" ht="42" customHeight="1">
      <x:c r="A492" s="14" t="str">
        <x:v>API-288</x:v>
      </x:c>
      <x:c r="B492" s="6" t="str">
        <x:v>GET</x:v>
      </x:c>
      <x:c r="C492" s="6" t="str">
        <x:v>/api/v1/investment-decisions/{decision_id}/authorization-output</x:v>
      </x:c>
      <x:c r="D492" s="6" t="str">
        <x:v>READ-ONLY SHARED CONTEXT</x:v>
      </x:c>
      <x:c r="E492" s="6" t="str">
        <x:v>investment_decision</x:v>
      </x:c>
      <x:c r="F492" s="6" t="str">
        <x:v>authorization output</x:v>
      </x:c>
      <x:c r="G492" s="6" t="str">
        <x:v>investment_decision.read</x:v>
      </x:c>
      <x:c r="H492" s="6" t="str">
        <x:v>LIVE_ROUTER_REGISTERED</x:v>
      </x:c>
      <x:c r="I492" s="6" t="str">
        <x:v>NO_DIRECT_LITERAL_MATCH_NOT_PROOF_UNUSED</x:v>
      </x:c>
      <x:c r="J492" s="6" t="str">
        <x:v>NOT_EXECUTED_BY_INVENTORY. SOURCE_LITERAL_OR_TRANSITIVE_HELPER_UNION</x:v>
      </x:c>
    </x:row>
    <x:row r="493" ht="42" customHeight="1">
      <x:c r="A493" s="15" t="str">
        <x:v>API-289</x:v>
      </x:c>
      <x:c r="B493" s="13" t="str">
        <x:v>GET</x:v>
      </x:c>
      <x:c r="C493" s="13" t="str">
        <x:v>/api/v1/investment-decisions/{decision_id}/committee</x:v>
      </x:c>
      <x:c r="D493" s="13" t="str">
        <x:v>READ-ONLY SHARED CONTEXT</x:v>
      </x:c>
      <x:c r="E493" s="13" t="str">
        <x:v>investment_decision</x:v>
      </x:c>
      <x:c r="F493" s="13" t="str">
        <x:v>committee</x:v>
      </x:c>
      <x:c r="G493" s="13" t="str">
        <x:v>investment_decision.read</x:v>
      </x:c>
      <x:c r="H493" s="13" t="str">
        <x:v>LIVE_ROUTER_REGISTERED</x:v>
      </x:c>
      <x:c r="I493" s="13" t="str">
        <x:v>NO_DIRECT_LITERAL_MATCH_NOT_PROOF_UNUSED</x:v>
      </x:c>
      <x:c r="J493" s="13" t="str">
        <x:v>NOT_EXECUTED_BY_INVENTORY. SOURCE_LITERAL_OR_TRANSITIVE_HELPER_UNION</x:v>
      </x:c>
    </x:row>
    <x:row r="494" ht="42" customHeight="1">
      <x:c r="A494" s="14" t="str">
        <x:v>API-290</x:v>
      </x:c>
      <x:c r="B494" s="6" t="str">
        <x:v>POST</x:v>
      </x:c>
      <x:c r="C494" s="6" t="str">
        <x:v>/api/v1/investment-decisions/{decision_id}/decide</x:v>
      </x:c>
      <x:c r="D494" s="6" t="str">
        <x:v>USER MODE</x:v>
      </x:c>
      <x:c r="E494" s="6" t="str">
        <x:v>investment_decision</x:v>
      </x:c>
      <x:c r="F494" s="6" t="str">
        <x:v>decide</x:v>
      </x:c>
      <x:c r="G494" s="6" t="str">
        <x:v>investment_decision.decide</x:v>
      </x:c>
      <x:c r="H494" s="6" t="str">
        <x:v>LIVE_ROUTER_REGISTERED</x:v>
      </x:c>
      <x:c r="I494" s="6" t="str">
        <x:v>frontend/src/features/investment-decision/api.ts</x:v>
      </x:c>
      <x:c r="J494" s="6" t="str">
        <x:v>NOT_EXECUTED_BY_INVENTORY. SOURCE_LITERAL_OR_TRANSITIVE_HELPER_UNION</x:v>
      </x:c>
    </x:row>
    <x:row r="495" ht="42" customHeight="1">
      <x:c r="A495" s="15" t="str">
        <x:v>API-291</x:v>
      </x:c>
      <x:c r="B495" s="13" t="str">
        <x:v>GET</x:v>
      </x:c>
      <x:c r="C495" s="13" t="str">
        <x:v>/api/v1/investment-decisions/{decision_id}/history</x:v>
      </x:c>
      <x:c r="D495" s="13" t="str">
        <x:v>READ-ONLY SHARED CONTEXT</x:v>
      </x:c>
      <x:c r="E495" s="13" t="str">
        <x:v>investment_decision</x:v>
      </x:c>
      <x:c r="F495" s="13" t="str">
        <x:v>history</x:v>
      </x:c>
      <x:c r="G495" s="13" t="str">
        <x:v>investment_decision.read</x:v>
      </x:c>
      <x:c r="H495" s="13" t="str">
        <x:v>LIVE_ROUTER_REGISTERED</x:v>
      </x:c>
      <x:c r="I495" s="13" t="str">
        <x:v>frontend/src/features/investment-decision/api.ts</x:v>
      </x:c>
      <x:c r="J495" s="13" t="str">
        <x:v>NOT_EXECUTED_BY_INVENTORY. SOURCE_LITERAL_OR_TRANSITIVE_HELPER_UNION</x:v>
      </x:c>
    </x:row>
    <x:row r="496" ht="42" customHeight="1">
      <x:c r="A496" s="14" t="str">
        <x:v>API-292</x:v>
      </x:c>
      <x:c r="B496" s="6" t="str">
        <x:v>GET</x:v>
      </x:c>
      <x:c r="C496" s="6" t="str">
        <x:v>/api/v1/investment-decisions/{decision_id}/package</x:v>
      </x:c>
      <x:c r="D496" s="6" t="str">
        <x:v>READ-ONLY SHARED CONTEXT</x:v>
      </x:c>
      <x:c r="E496" s="6" t="str">
        <x:v>investment_decision</x:v>
      </x:c>
      <x:c r="F496" s="6" t="str">
        <x:v>package</x:v>
      </x:c>
      <x:c r="G496" s="6" t="str">
        <x:v>investment_decision.read</x:v>
      </x:c>
      <x:c r="H496" s="6" t="str">
        <x:v>LIVE_ROUTER_REGISTERED</x:v>
      </x:c>
      <x:c r="I496" s="6" t="str">
        <x:v>NO_DIRECT_LITERAL_MATCH_NOT_PROOF_UNUSED</x:v>
      </x:c>
      <x:c r="J496" s="6" t="str">
        <x:v>NOT_EXECUTED_BY_INVENTORY. SOURCE_LITERAL_OR_TRANSITIVE_HELPER_UNION</x:v>
      </x:c>
    </x:row>
    <x:row r="497" ht="42" customHeight="1">
      <x:c r="A497" s="15" t="str">
        <x:v>API-293</x:v>
      </x:c>
      <x:c r="B497" s="13" t="str">
        <x:v>GET</x:v>
      </x:c>
      <x:c r="C497" s="13" t="str">
        <x:v>/api/v1/investment-decisions/{decision_id}/readiness</x:v>
      </x:c>
      <x:c r="D497" s="13" t="str">
        <x:v>READ-ONLY SHARED CONTEXT</x:v>
      </x:c>
      <x:c r="E497" s="13" t="str">
        <x:v>investment_decision</x:v>
      </x:c>
      <x:c r="F497" s="13" t="str">
        <x:v>readiness</x:v>
      </x:c>
      <x:c r="G497" s="13" t="str">
        <x:v>investment_decision.read</x:v>
      </x:c>
      <x:c r="H497" s="13" t="str">
        <x:v>LIVE_ROUTER_REGISTERED</x:v>
      </x:c>
      <x:c r="I497" s="13" t="str">
        <x:v>NO_DIRECT_LITERAL_MATCH_NOT_PROOF_UNUSED</x:v>
      </x:c>
      <x:c r="J497" s="13" t="str">
        <x:v>NOT_EXECUTED_BY_INVENTORY. SOURCE_LITERAL_OR_TRANSITIVE_HELPER_UNION</x:v>
      </x:c>
    </x:row>
    <x:row r="498" ht="42" customHeight="1">
      <x:c r="A498" s="14" t="str">
        <x:v>API-294</x:v>
      </x:c>
      <x:c r="B498" s="6" t="str">
        <x:v>POST</x:v>
      </x:c>
      <x:c r="C498" s="6" t="str">
        <x:v>/api/v1/investment-decisions/{decision_id}/ready</x:v>
      </x:c>
      <x:c r="D498" s="6" t="str">
        <x:v>USER MODE</x:v>
      </x:c>
      <x:c r="E498" s="6" t="str">
        <x:v>investment_decision</x:v>
      </x:c>
      <x:c r="F498" s="6" t="str">
        <x:v>ready decision</x:v>
      </x:c>
      <x:c r="G498" s="6" t="str">
        <x:v>investment_decision.review</x:v>
      </x:c>
      <x:c r="H498" s="6" t="str">
        <x:v>LIVE_ROUTER_REGISTERED</x:v>
      </x:c>
      <x:c r="I498" s="6" t="str">
        <x:v>frontend/src/features/investment-decision/api.ts</x:v>
      </x:c>
      <x:c r="J498" s="6" t="str">
        <x:v>NOT_EXECUTED_BY_INVENTORY. SOURCE_LITERAL_OR_TRANSITIVE_HELPER_UNION</x:v>
      </x:c>
    </x:row>
    <x:row r="499" ht="42" customHeight="1">
      <x:c r="A499" s="15" t="str">
        <x:v>API-295</x:v>
      </x:c>
      <x:c r="B499" s="13" t="str">
        <x:v>POST</x:v>
      </x:c>
      <x:c r="C499" s="13" t="str">
        <x:v>/api/v1/investment-decisions/{decision_id}/start-review</x:v>
      </x:c>
      <x:c r="D499" s="13" t="str">
        <x:v>USER MODE</x:v>
      </x:c>
      <x:c r="E499" s="13" t="str">
        <x:v>investment_decision</x:v>
      </x:c>
      <x:c r="F499" s="13" t="str">
        <x:v>start review</x:v>
      </x:c>
      <x:c r="G499" s="13" t="str">
        <x:v>HELPER_OR_SERVICE_AUTHORIZATION_REQUIRES_REVIEW</x:v>
      </x:c>
      <x:c r="H499" s="13" t="str">
        <x:v>LIVE_ROUTER_REGISTERED</x:v>
      </x:c>
      <x:c r="I499" s="13" t="str">
        <x:v>NO_DIRECT_LITERAL_MATCH_NOT_PROOF_UNUSED</x:v>
      </x:c>
      <x:c r="J499" s="13" t="str">
        <x:v>NOT_EXECUTED_BY_INVENTORY. SOURCE_LITERAL_OR_TRANSITIVE_HELPER_UNION</x:v>
      </x:c>
    </x:row>
    <x:row r="500" ht="42" customHeight="1">
      <x:c r="A500" s="14" t="str">
        <x:v>API-296</x:v>
      </x:c>
      <x:c r="B500" s="6" t="str">
        <x:v>POST</x:v>
      </x:c>
      <x:c r="C500" s="6" t="str">
        <x:v>/api/v1/investment-decisions/{decision_id}/submit</x:v>
      </x:c>
      <x:c r="D500" s="6" t="str">
        <x:v>USER MODE</x:v>
      </x:c>
      <x:c r="E500" s="6" t="str">
        <x:v>investment_decision</x:v>
      </x:c>
      <x:c r="F500" s="6" t="str">
        <x:v>submit decision</x:v>
      </x:c>
      <x:c r="G500" s="6" t="str">
        <x:v>HELPER_OR_SERVICE_AUTHORIZATION_REQUIRES_REVIEW</x:v>
      </x:c>
      <x:c r="H500" s="6" t="str">
        <x:v>LIVE_ROUTER_REGISTERED</x:v>
      </x:c>
      <x:c r="I500" s="6" t="str">
        <x:v>NO_DIRECT_LITERAL_MATCH_NOT_PROOF_UNUSED</x:v>
      </x:c>
      <x:c r="J500" s="6" t="str">
        <x:v>NOT_EXECUTED_BY_INVENTORY. SOURCE_LITERAL_OR_TRANSITIVE_HELPER_UNION</x:v>
      </x:c>
    </x:row>
    <x:row r="501" ht="42" customHeight="1">
      <x:c r="A501" s="15" t="str">
        <x:v>API-297</x:v>
      </x:c>
      <x:c r="B501" s="13" t="str">
        <x:v>POST</x:v>
      </x:c>
      <x:c r="C501" s="13" t="str">
        <x:v>/api/v1/investment-decisions/{decision_id}/void</x:v>
      </x:c>
      <x:c r="D501" s="13" t="str">
        <x:v>USER MODE</x:v>
      </x:c>
      <x:c r="E501" s="13" t="str">
        <x:v>investment_decision</x:v>
      </x:c>
      <x:c r="F501" s="13" t="str">
        <x:v>void decision</x:v>
      </x:c>
      <x:c r="G501" s="13" t="str">
        <x:v>HELPER_OR_SERVICE_AUTHORIZATION_REQUIRES_REVIEW</x:v>
      </x:c>
      <x:c r="H501" s="13" t="str">
        <x:v>LIVE_ROUTER_REGISTERED</x:v>
      </x:c>
      <x:c r="I501" s="13" t="str">
        <x:v>NO_DIRECT_LITERAL_MATCH_NOT_PROOF_UNUSED</x:v>
      </x:c>
      <x:c r="J501" s="13" t="str">
        <x:v>NOT_EXECUTED_BY_INVENTORY. SOURCE_LITERAL_OR_TRANSITIVE_HELPER_UNION</x:v>
      </x:c>
    </x:row>
    <x:row r="502" ht="42" customHeight="1">
      <x:c r="A502" s="14" t="str">
        <x:v>API-298</x:v>
      </x:c>
      <x:c r="B502" s="6" t="str">
        <x:v>POST</x:v>
      </x:c>
      <x:c r="C502" s="6" t="str">
        <x:v>/api/v1/investment-decisions/{decision_id}/votes</x:v>
      </x:c>
      <x:c r="D502" s="6" t="str">
        <x:v>USER MODE</x:v>
      </x:c>
      <x:c r="E502" s="6" t="str">
        <x:v>investment_decision</x:v>
      </x:c>
      <x:c r="F502" s="6" t="str">
        <x:v>vote</x:v>
      </x:c>
      <x:c r="G502" s="6" t="str">
        <x:v>investment_decision.vote</x:v>
      </x:c>
      <x:c r="H502" s="6" t="str">
        <x:v>LIVE_ROUTER_REGISTERED</x:v>
      </x:c>
      <x:c r="I502" s="6" t="str">
        <x:v>frontend/src/features/investment-decision/api.ts</x:v>
      </x:c>
      <x:c r="J502" s="6" t="str">
        <x:v>NOT_EXECUTED_BY_INVENTORY. SOURCE_LITERAL_OR_TRANSITIVE_HELPER_UNION</x:v>
      </x:c>
    </x:row>
    <x:row r="503" ht="42" customHeight="1">
      <x:c r="A503" s="15" t="str">
        <x:v>API-299</x:v>
      </x:c>
      <x:c r="B503" s="13" t="str">
        <x:v>GET</x:v>
      </x:c>
      <x:c r="C503" s="13" t="str">
        <x:v>/api/v1/investment-evidence-policy/configurations</x:v>
      </x:c>
      <x:c r="D503" s="13" t="str">
        <x:v>ADMIN MODE</x:v>
      </x:c>
      <x:c r="E503" s="13" t="str">
        <x:v>investment_evidence_policy</x:v>
      </x:c>
      <x:c r="F503" s="13" t="str">
        <x:v>configurations</x:v>
      </x:c>
      <x:c r="G503" s="13" t="str">
        <x:v>investment_evidence_policy.read</x:v>
      </x:c>
      <x:c r="H503" s="13" t="str">
        <x:v>LIVE_ROUTER_REGISTERED</x:v>
      </x:c>
      <x:c r="I503" s="13" t="str">
        <x:v>NO_DIRECT_LITERAL_MATCH_NOT_PROOF_UNUSED</x:v>
      </x:c>
      <x:c r="J503" s="13" t="str">
        <x:v>NOT_EXECUTED_BY_INVENTORY. SOURCE_LITERAL_OR_TRANSITIVE_HELPER_UNION</x:v>
      </x:c>
    </x:row>
    <x:row r="504" ht="42" customHeight="1">
      <x:c r="A504" s="14" t="str">
        <x:v>API-300</x:v>
      </x:c>
      <x:c r="B504" s="6" t="str">
        <x:v>PUT</x:v>
      </x:c>
      <x:c r="C504" s="6" t="str">
        <x:v>/api/v1/investment-evidence-policy/configurations/{configuration_id}</x:v>
      </x:c>
      <x:c r="D504" s="6" t="str">
        <x:v>ADMIN MODE</x:v>
      </x:c>
      <x:c r="E504" s="6" t="str">
        <x:v>investment_evidence_policy</x:v>
      </x:c>
      <x:c r="F504" s="6" t="str">
        <x:v>update configuration</x:v>
      </x:c>
      <x:c r="G504" s="6" t="str">
        <x:v>investment_evidence_policy.configure</x:v>
      </x:c>
      <x:c r="H504" s="6" t="str">
        <x:v>LIVE_ROUTER_REGISTERED</x:v>
      </x:c>
      <x:c r="I504" s="6" t="str">
        <x:v>frontend/src/features/investment-evidence-policy/api.ts</x:v>
      </x:c>
      <x:c r="J504" s="6" t="str">
        <x:v>NOT_EXECUTED_BY_INVENTORY. SOURCE_LITERAL_OR_TRANSITIVE_HELPER_UNION</x:v>
      </x:c>
    </x:row>
    <x:row r="505" ht="42" customHeight="1">
      <x:c r="A505" s="15" t="str">
        <x:v>API-301</x:v>
      </x:c>
      <x:c r="B505" s="13" t="str">
        <x:v>POST</x:v>
      </x:c>
      <x:c r="C505" s="13" t="str">
        <x:v>/api/v1/investment-evidence-policy/configurations/{configuration_id}/clone</x:v>
      </x:c>
      <x:c r="D505" s="13" t="str">
        <x:v>ADMIN MODE</x:v>
      </x:c>
      <x:c r="E505" s="13" t="str">
        <x:v>investment_evidence_policy</x:v>
      </x:c>
      <x:c r="F505" s="13" t="str">
        <x:v>clone configuration</x:v>
      </x:c>
      <x:c r="G505" s="13" t="str">
        <x:v>investment_evidence_policy.configure</x:v>
      </x:c>
      <x:c r="H505" s="13" t="str">
        <x:v>LIVE_ROUTER_REGISTERED</x:v>
      </x:c>
      <x:c r="I505" s="13" t="str">
        <x:v>frontend/src/features/investment-evidence-policy/api.ts</x:v>
      </x:c>
      <x:c r="J505" s="13" t="str">
        <x:v>NOT_EXECUTED_BY_INVENTORY. SOURCE_LITERAL_OR_TRANSITIVE_HELPER_UNION</x:v>
      </x:c>
    </x:row>
    <x:row r="506" ht="42" customHeight="1">
      <x:c r="A506" s="14" t="str">
        <x:v>API-302</x:v>
      </x:c>
      <x:c r="B506" s="6" t="str">
        <x:v>POST</x:v>
      </x:c>
      <x:c r="C506" s="6" t="str">
        <x:v>/api/v1/investment-evidence-policy/configurations/{configuration_id}/clone-gate07j-evid2</x:v>
      </x:c>
      <x:c r="D506" s="6" t="str">
        <x:v>ADMIN MODE</x:v>
      </x:c>
      <x:c r="E506" s="6" t="str">
        <x:v>investment_evidence_policy</x:v>
      </x:c>
      <x:c r="F506" s="6" t="str">
        <x:v>clone gate07j evid2 configuration</x:v>
      </x:c>
      <x:c r="G506" s="6" t="str">
        <x:v>investment_evidence_policy.configure</x:v>
      </x:c>
      <x:c r="H506" s="6" t="str">
        <x:v>LIVE_ROUTER_REGISTERED</x:v>
      </x:c>
      <x:c r="I506" s="6" t="str">
        <x:v>frontend/src/features/investment-evidence-policy/api.ts</x:v>
      </x:c>
      <x:c r="J506" s="6" t="str">
        <x:v>NOT_EXECUTED_BY_INVENTORY. SOURCE_LITERAL_OR_TRANSITIVE_HELPER_UNION</x:v>
      </x:c>
    </x:row>
    <x:row r="507" ht="42" customHeight="1">
      <x:c r="A507" s="15" t="str">
        <x:v>API-303</x:v>
      </x:c>
      <x:c r="B507" s="13" t="str">
        <x:v>POST</x:v>
      </x:c>
      <x:c r="C507" s="13" t="str">
        <x:v>/api/v1/investment-evidence-policy/configurations/{configuration_id}/preview</x:v>
      </x:c>
      <x:c r="D507" s="13" t="str">
        <x:v>ADMIN MODE</x:v>
      </x:c>
      <x:c r="E507" s="13" t="str">
        <x:v>investment_evidence_policy</x:v>
      </x:c>
      <x:c r="F507" s="13" t="str">
        <x:v>configuration preview</x:v>
      </x:c>
      <x:c r="G507" s="13" t="str">
        <x:v>investment_evidence_policy.configure</x:v>
      </x:c>
      <x:c r="H507" s="13" t="str">
        <x:v>LIVE_ROUTER_REGISTERED</x:v>
      </x:c>
      <x:c r="I507" s="13" t="str">
        <x:v>frontend/src/features/investment-evidence-policy/api.ts</x:v>
      </x:c>
      <x:c r="J507" s="13" t="str">
        <x:v>NOT_EXECUTED_BY_INVENTORY. SOURCE_LITERAL_OR_TRANSITIVE_HELPER_UNION</x:v>
      </x:c>
    </x:row>
    <x:row r="508" ht="42" customHeight="1">
      <x:c r="A508" s="14" t="str">
        <x:v>API-304</x:v>
      </x:c>
      <x:c r="B508" s="6" t="str">
        <x:v>POST</x:v>
      </x:c>
      <x:c r="C508" s="6" t="str">
        <x:v>/api/v1/investment-evidence-policy/configurations/{configuration_id}/publish</x:v>
      </x:c>
      <x:c r="D508" s="6" t="str">
        <x:v>ADMIN MODE</x:v>
      </x:c>
      <x:c r="E508" s="6" t="str">
        <x:v>investment_evidence_policy</x:v>
      </x:c>
      <x:c r="F508" s="6" t="str">
        <x:v>publish configuration</x:v>
      </x:c>
      <x:c r="G508" s="6" t="str">
        <x:v>investment_evidence_policy.publish</x:v>
      </x:c>
      <x:c r="H508" s="6" t="str">
        <x:v>LIVE_ROUTER_REGISTERED</x:v>
      </x:c>
      <x:c r="I508" s="6" t="str">
        <x:v>frontend/src/features/investment-evidence-policy/api.ts</x:v>
      </x:c>
      <x:c r="J508" s="6" t="str">
        <x:v>NOT_EXECUTED_BY_INVENTORY. SOURCE_LITERAL_OR_TRANSITIVE_HELPER_UNION</x:v>
      </x:c>
    </x:row>
    <x:row r="509" ht="42" customHeight="1">
      <x:c r="A509" s="15" t="str">
        <x:v>API-305</x:v>
      </x:c>
      <x:c r="B509" s="13" t="str">
        <x:v>POST</x:v>
      </x:c>
      <x:c r="C509" s="13" t="str">
        <x:v>/api/v1/investment-evidence-policy/effective/preview</x:v>
      </x:c>
      <x:c r="D509" s="13" t="str">
        <x:v>ADMIN MODE</x:v>
      </x:c>
      <x:c r="E509" s="13" t="str">
        <x:v>investment_evidence_policy</x:v>
      </x:c>
      <x:c r="F509" s="13" t="str">
        <x:v>effective preview</x:v>
      </x:c>
      <x:c r="G509" s="13" t="str">
        <x:v>investment_evidence_policy.configure</x:v>
      </x:c>
      <x:c r="H509" s="13" t="str">
        <x:v>LIVE_ROUTER_REGISTERED</x:v>
      </x:c>
      <x:c r="I509" s="13" t="str">
        <x:v>NO_DIRECT_LITERAL_MATCH_NOT_PROOF_UNUSED</x:v>
      </x:c>
      <x:c r="J509" s="13" t="str">
        <x:v>NOT_EXECUTED_BY_INVENTORY. SOURCE_LITERAL_OR_TRANSITIVE_HELPER_UNION</x:v>
      </x:c>
    </x:row>
    <x:row r="510" ht="42" customHeight="1">
      <x:c r="A510" s="14" t="str">
        <x:v>API-306</x:v>
      </x:c>
      <x:c r="B510" s="6" t="str">
        <x:v>GET</x:v>
      </x:c>
      <x:c r="C510" s="6" t="str">
        <x:v>/api/v1/investment-evidence-policy/missing-providers</x:v>
      </x:c>
      <x:c r="D510" s="6" t="str">
        <x:v>ADMIN MODE</x:v>
      </x:c>
      <x:c r="E510" s="6" t="str">
        <x:v>investment_evidence_policy</x:v>
      </x:c>
      <x:c r="F510" s="6" t="str">
        <x:v>missing providers</x:v>
      </x:c>
      <x:c r="G510" s="6" t="str">
        <x:v>investment_evidence_policy.read</x:v>
      </x:c>
      <x:c r="H510" s="6" t="str">
        <x:v>LIVE_ROUTER_REGISTERED</x:v>
      </x:c>
      <x:c r="I510" s="6" t="str">
        <x:v>NO_DIRECT_LITERAL_MATCH_NOT_PROOF_UNUSED</x:v>
      </x:c>
      <x:c r="J510" s="6" t="str">
        <x:v>NOT_EXECUTED_BY_INVENTORY. SOURCE_LITERAL_OR_TRANSITIVE_HELPER_UNION</x:v>
      </x:c>
    </x:row>
    <x:row r="511" ht="42" customHeight="1">
      <x:c r="A511" s="15" t="str">
        <x:v>API-307</x:v>
      </x:c>
      <x:c r="B511" s="13" t="str">
        <x:v>GET</x:v>
      </x:c>
      <x:c r="C511" s="13" t="str">
        <x:v>/api/v1/investment-evidence-policy/overview</x:v>
      </x:c>
      <x:c r="D511" s="13" t="str">
        <x:v>ADMIN MODE</x:v>
      </x:c>
      <x:c r="E511" s="13" t="str">
        <x:v>investment_evidence_policy</x:v>
      </x:c>
      <x:c r="F511" s="13" t="str">
        <x:v>overview</x:v>
      </x:c>
      <x:c r="G511" s="13" t="str">
        <x:v>investment_evidence_policy.read</x:v>
      </x:c>
      <x:c r="H511" s="13" t="str">
        <x:v>LIVE_ROUTER_REGISTERED</x:v>
      </x:c>
      <x:c r="I511" s="13" t="str">
        <x:v>frontend/src/features/investment-evidence-policy/api.ts</x:v>
      </x:c>
      <x:c r="J511" s="13" t="str">
        <x:v>NOT_EXECUTED_BY_INVENTORY. SOURCE_LITERAL_OR_TRANSITIVE_HELPER_UNION</x:v>
      </x:c>
    </x:row>
    <x:row r="512" ht="42" customHeight="1">
      <x:c r="A512" s="14" t="str">
        <x:v>API-308</x:v>
      </x:c>
      <x:c r="B512" s="6" t="str">
        <x:v>GET</x:v>
      </x:c>
      <x:c r="C512" s="6" t="str">
        <x:v>/api/v1/investment-evidence-policy/providers</x:v>
      </x:c>
      <x:c r="D512" s="6" t="str">
        <x:v>ADMIN MODE</x:v>
      </x:c>
      <x:c r="E512" s="6" t="str">
        <x:v>investment_evidence_policy</x:v>
      </x:c>
      <x:c r="F512" s="6" t="str">
        <x:v>providers</x:v>
      </x:c>
      <x:c r="G512" s="6" t="str">
        <x:v>investment_evidence_provider.read</x:v>
      </x:c>
      <x:c r="H512" s="6" t="str">
        <x:v>LIVE_ROUTER_REGISTERED</x:v>
      </x:c>
      <x:c r="I512" s="6" t="str">
        <x:v>NO_DIRECT_LITERAL_MATCH_NOT_PROOF_UNUSED</x:v>
      </x:c>
      <x:c r="J512" s="6" t="str">
        <x:v>NOT_EXECUTED_BY_INVENTORY. SOURCE_LITERAL_OR_TRANSITIVE_HELPER_UNION</x:v>
      </x:c>
    </x:row>
    <x:row r="513" ht="42" customHeight="1">
      <x:c r="A513" s="15" t="str">
        <x:v>API-309</x:v>
      </x:c>
      <x:c r="B513" s="13" t="str">
        <x:v>GET</x:v>
      </x:c>
      <x:c r="C513" s="13" t="str">
        <x:v>/api/v1/investment-evidence-policy/providers/{provider_key}</x:v>
      </x:c>
      <x:c r="D513" s="13" t="str">
        <x:v>ADMIN MODE</x:v>
      </x:c>
      <x:c r="E513" s="13" t="str">
        <x:v>investment_evidence_policy</x:v>
      </x:c>
      <x:c r="F513" s="13" t="str">
        <x:v>provider</x:v>
      </x:c>
      <x:c r="G513" s="13" t="str">
        <x:v>investment_evidence_provider.read</x:v>
      </x:c>
      <x:c r="H513" s="13" t="str">
        <x:v>LIVE_ROUTER_REGISTERED</x:v>
      </x:c>
      <x:c r="I513" s="13" t="str">
        <x:v>NO_DIRECT_LITERAL_MATCH_NOT_PROOF_UNUSED</x:v>
      </x:c>
      <x:c r="J513" s="13" t="str">
        <x:v>NOT_EXECUTED_BY_INVENTORY. SOURCE_LITERAL_OR_TRANSITIVE_HELPER_UNION</x:v>
      </x:c>
    </x:row>
    <x:row r="514" ht="42" customHeight="1">
      <x:c r="A514" s="14" t="str">
        <x:v>API-310</x:v>
      </x:c>
      <x:c r="B514" s="6" t="str">
        <x:v>DELETE</x:v>
      </x:c>
      <x:c r="C514" s="6" t="str">
        <x:v>/api/v1/investment-gate-evidence/{evidence_id}</x:v>
      </x:c>
      <x:c r="D514" s="6" t="str">
        <x:v>USER MODE</x:v>
      </x:c>
      <x:c r="E514" s="6" t="str">
        <x:v>investment_gate_preparation</x:v>
      </x:c>
      <x:c r="F514" s="6" t="str">
        <x:v>remove evidence</x:v>
      </x:c>
      <x:c r="G514" s="6" t="str">
        <x:v>investment_gate_evidence.add</x:v>
      </x:c>
      <x:c r="H514" s="6" t="str">
        <x:v>LIVE_ROUTER_REGISTERED</x:v>
      </x:c>
      <x:c r="I514" s="6" t="str">
        <x:v>frontend/src/features/investment-gate-preparation/api.ts</x:v>
      </x:c>
      <x:c r="J514" s="6" t="str">
        <x:v>NOT_EXECUTED_BY_INVENTORY. SOURCE_LITERAL_OR_TRANSITIVE_HELPER_UNION</x:v>
      </x:c>
    </x:row>
    <x:row r="515" ht="42" customHeight="1">
      <x:c r="A515" s="15" t="str">
        <x:v>API-311</x:v>
      </x:c>
      <x:c r="B515" s="13" t="str">
        <x:v>PUT</x:v>
      </x:c>
      <x:c r="C515" s="13" t="str">
        <x:v>/api/v1/investment-gate-evidence/{evidence_id}</x:v>
      </x:c>
      <x:c r="D515" s="13" t="str">
        <x:v>USER MODE</x:v>
      </x:c>
      <x:c r="E515" s="13" t="str">
        <x:v>investment_gate_preparation</x:v>
      </x:c>
      <x:c r="F515" s="13" t="str">
        <x:v>update evidence</x:v>
      </x:c>
      <x:c r="G515" s="13" t="str">
        <x:v>investment_gate_evidence.add</x:v>
      </x:c>
      <x:c r="H515" s="13" t="str">
        <x:v>LIVE_ROUTER_REGISTERED</x:v>
      </x:c>
      <x:c r="I515" s="13" t="str">
        <x:v>frontend/src/features/investment-gate-preparation/api.ts</x:v>
      </x:c>
      <x:c r="J515" s="13" t="str">
        <x:v>NOT_EXECUTED_BY_INVENTORY. SOURCE_LITERAL_OR_TRANSITIVE_HELPER_UNION</x:v>
      </x:c>
    </x:row>
    <x:row r="516" ht="42" customHeight="1">
      <x:c r="A516" s="14" t="str">
        <x:v>API-312</x:v>
      </x:c>
      <x:c r="B516" s="6" t="str">
        <x:v>POST</x:v>
      </x:c>
      <x:c r="C516" s="6" t="str">
        <x:v>/api/v1/investment-gate-evidence/{evidence_id}/validate</x:v>
      </x:c>
      <x:c r="D516" s="6" t="str">
        <x:v>USER MODE</x:v>
      </x:c>
      <x:c r="E516" s="6" t="str">
        <x:v>investment_gate_preparation</x:v>
      </x:c>
      <x:c r="F516" s="6" t="str">
        <x:v>validate evidence</x:v>
      </x:c>
      <x:c r="G516" s="6" t="str">
        <x:v>investment_gate_evidence.validate</x:v>
      </x:c>
      <x:c r="H516" s="6" t="str">
        <x:v>LIVE_ROUTER_REGISTERED</x:v>
      </x:c>
      <x:c r="I516" s="6" t="str">
        <x:v>frontend/src/features/investment-gate-preparation/api.ts</x:v>
      </x:c>
      <x:c r="J516" s="6" t="str">
        <x:v>NOT_EXECUTED_BY_INVENTORY. SOURCE_LITERAL_OR_TRANSITIVE_HELPER_UNION</x:v>
      </x:c>
    </x:row>
    <x:row r="517" ht="42" customHeight="1">
      <x:c r="A517" s="15" t="str">
        <x:v>API-313</x:v>
      </x:c>
      <x:c r="B517" s="13" t="str">
        <x:v>GET</x:v>
      </x:c>
      <x:c r="C517" s="13" t="str">
        <x:v>/api/v1/investment-gate-preparation/admin/configurations</x:v>
      </x:c>
      <x:c r="D517" s="13" t="str">
        <x:v>ADMIN MODE</x:v>
      </x:c>
      <x:c r="E517" s="13" t="str">
        <x:v>investment_gate_preparation</x:v>
      </x:c>
      <x:c r="F517" s="13" t="str">
        <x:v>configurations</x:v>
      </x:c>
      <x:c r="G517" s="13" t="str">
        <x:v>investment_gate_preparation.admin.configure</x:v>
      </x:c>
      <x:c r="H517" s="13" t="str">
        <x:v>LIVE_ROUTER_REGISTERED</x:v>
      </x:c>
      <x:c r="I517" s="13" t="str">
        <x:v>frontend/src/features/investment-gate-preparation/api.ts</x:v>
      </x:c>
      <x:c r="J517" s="13" t="str">
        <x:v>NOT_EXECUTED_BY_INVENTORY. SOURCE_LITERAL_OR_TRANSITIVE_HELPER_UNION</x:v>
      </x:c>
    </x:row>
    <x:row r="518" ht="42" customHeight="1">
      <x:c r="A518" s="14" t="str">
        <x:v>API-314</x:v>
      </x:c>
      <x:c r="B518" s="6" t="str">
        <x:v>POST</x:v>
      </x:c>
      <x:c r="C518" s="6" t="str">
        <x:v>/api/v1/investment-gate-preparation/admin/configurations/preview</x:v>
      </x:c>
      <x:c r="D518" s="6" t="str">
        <x:v>ADMIN MODE</x:v>
      </x:c>
      <x:c r="E518" s="6" t="str">
        <x:v>investment_gate_preparation</x:v>
      </x:c>
      <x:c r="F518" s="6" t="str">
        <x:v>configuration preview</x:v>
      </x:c>
      <x:c r="G518" s="6" t="str">
        <x:v>investment_gate_preparation.admin.configure</x:v>
      </x:c>
      <x:c r="H518" s="6" t="str">
        <x:v>LIVE_ROUTER_REGISTERED</x:v>
      </x:c>
      <x:c r="I518" s="6" t="str">
        <x:v>frontend/src/features/investment-gate-preparation/api.ts</x:v>
      </x:c>
      <x:c r="J518" s="6" t="str">
        <x:v>NOT_EXECUTED_BY_INVENTORY. SOURCE_LITERAL_OR_TRANSITIVE_HELPER_UNION</x:v>
      </x:c>
    </x:row>
    <x:row r="519" ht="42" customHeight="1">
      <x:c r="A519" s="15" t="str">
        <x:v>API-315</x:v>
      </x:c>
      <x:c r="B519" s="13" t="str">
        <x:v>PUT</x:v>
      </x:c>
      <x:c r="C519" s="13" t="str">
        <x:v>/api/v1/investment-gate-preparation/admin/configurations/{configuration_id}</x:v>
      </x:c>
      <x:c r="D519" s="13" t="str">
        <x:v>ADMIN MODE</x:v>
      </x:c>
      <x:c r="E519" s="13" t="str">
        <x:v>investment_gate_preparation</x:v>
      </x:c>
      <x:c r="F519" s="13" t="str">
        <x:v>update configuration</x:v>
      </x:c>
      <x:c r="G519" s="13" t="str">
        <x:v>investment_gate_preparation.admin.configure</x:v>
      </x:c>
      <x:c r="H519" s="13" t="str">
        <x:v>LIVE_ROUTER_REGISTERED</x:v>
      </x:c>
      <x:c r="I519" s="13" t="str">
        <x:v>frontend/src/features/investment-gate-preparation/api.ts</x:v>
      </x:c>
      <x:c r="J519" s="13" t="str">
        <x:v>NOT_EXECUTED_BY_INVENTORY. SOURCE_LITERAL_OR_TRANSITIVE_HELPER_UNION</x:v>
      </x:c>
    </x:row>
    <x:row r="520" ht="42" customHeight="1">
      <x:c r="A520" s="14" t="str">
        <x:v>API-316</x:v>
      </x:c>
      <x:c r="B520" s="6" t="str">
        <x:v>POST</x:v>
      </x:c>
      <x:c r="C520" s="6" t="str">
        <x:v>/api/v1/investment-gate-preparation/admin/configurations/{configuration_id}/clone</x:v>
      </x:c>
      <x:c r="D520" s="6" t="str">
        <x:v>ADMIN MODE</x:v>
      </x:c>
      <x:c r="E520" s="6" t="str">
        <x:v>investment_gate_preparation</x:v>
      </x:c>
      <x:c r="F520" s="6" t="str">
        <x:v>clone configuration</x:v>
      </x:c>
      <x:c r="G520" s="6" t="str">
        <x:v>investment_gate_preparation.admin.configure</x:v>
      </x:c>
      <x:c r="H520" s="6" t="str">
        <x:v>LIVE_ROUTER_REGISTERED</x:v>
      </x:c>
      <x:c r="I520" s="6" t="str">
        <x:v>frontend/src/features/investment-gate-preparation/api.ts</x:v>
      </x:c>
      <x:c r="J520" s="6" t="str">
        <x:v>NOT_EXECUTED_BY_INVENTORY. SOURCE_LITERAL_OR_TRANSITIVE_HELPER_UNION</x:v>
      </x:c>
    </x:row>
    <x:row r="521" ht="42" customHeight="1">
      <x:c r="A521" s="15" t="str">
        <x:v>API-317</x:v>
      </x:c>
      <x:c r="B521" s="13" t="str">
        <x:v>POST</x:v>
      </x:c>
      <x:c r="C521" s="13" t="str">
        <x:v>/api/v1/investment-gate-preparation/admin/configurations/{configuration_id}/publish</x:v>
      </x:c>
      <x:c r="D521" s="13" t="str">
        <x:v>ADMIN MODE</x:v>
      </x:c>
      <x:c r="E521" s="13" t="str">
        <x:v>investment_gate_preparation</x:v>
      </x:c>
      <x:c r="F521" s="13" t="str">
        <x:v>publish configuration</x:v>
      </x:c>
      <x:c r="G521" s="13" t="str">
        <x:v>investment_gate_preparation.admin.publish</x:v>
      </x:c>
      <x:c r="H521" s="13" t="str">
        <x:v>LIVE_ROUTER_REGISTERED</x:v>
      </x:c>
      <x:c r="I521" s="13" t="str">
        <x:v>frontend/src/features/investment-gate-preparation/api.ts</x:v>
      </x:c>
      <x:c r="J521" s="13" t="str">
        <x:v>NOT_EXECUTED_BY_INVENTORY. SOURCE_LITERAL_OR_TRANSITIVE_HELPER_UNION</x:v>
      </x:c>
    </x:row>
    <x:row r="522" ht="42" customHeight="1">
      <x:c r="A522" s="14" t="str">
        <x:v>API-318</x:v>
      </x:c>
      <x:c r="B522" s="6" t="str">
        <x:v>GET</x:v>
      </x:c>
      <x:c r="C522" s="6" t="str">
        <x:v>/api/v1/investment-gate-preparations</x:v>
      </x:c>
      <x:c r="D522" s="6" t="str">
        <x:v>READ-ONLY SHARED CONTEXT</x:v>
      </x:c>
      <x:c r="E522" s="6" t="str">
        <x:v>investment_gate_preparation</x:v>
      </x:c>
      <x:c r="F522" s="6" t="str">
        <x:v>preparations</x:v>
      </x:c>
      <x:c r="G522" s="6" t="str">
        <x:v>investment_gate_preparation.read</x:v>
      </x:c>
      <x:c r="H522" s="6" t="str">
        <x:v>LIVE_ROUTER_REGISTERED</x:v>
      </x:c>
      <x:c r="I522" s="6" t="str">
        <x:v>frontend/src/features/investment-decision/api.ts; frontend/src/features/investment-gate-preparation/api.ts</x:v>
      </x:c>
      <x:c r="J522" s="6" t="str">
        <x:v>NOT_EXECUTED_BY_INVENTORY. SOURCE_LITERAL_OR_TRANSITIVE_HELPER_UNION</x:v>
      </x:c>
    </x:row>
    <x:row r="523" ht="42" customHeight="1">
      <x:c r="A523" s="15" t="str">
        <x:v>API-319</x:v>
      </x:c>
      <x:c r="B523" s="13" t="str">
        <x:v>POST</x:v>
      </x:c>
      <x:c r="C523" s="13" t="str">
        <x:v>/api/v1/investment-gate-preparations</x:v>
      </x:c>
      <x:c r="D523" s="13" t="str">
        <x:v>USER MODE</x:v>
      </x:c>
      <x:c r="E523" s="13" t="str">
        <x:v>investment_gate_preparation</x:v>
      </x:c>
      <x:c r="F523" s="13" t="str">
        <x:v>create</x:v>
      </x:c>
      <x:c r="G523" s="13" t="str">
        <x:v>investment_gate_preparation.create</x:v>
      </x:c>
      <x:c r="H523" s="13" t="str">
        <x:v>LIVE_ROUTER_REGISTERED</x:v>
      </x:c>
      <x:c r="I523" s="13" t="str">
        <x:v>frontend/src/features/investment-decision/api.ts; frontend/src/features/investment-gate-preparation/api.ts</x:v>
      </x:c>
      <x:c r="J523" s="13" t="str">
        <x:v>NOT_EXECUTED_BY_INVENTORY. SOURCE_LITERAL_OR_TRANSITIVE_HELPER_UNION</x:v>
      </x:c>
    </x:row>
    <x:row r="524" ht="42" customHeight="1">
      <x:c r="A524" s="14" t="str">
        <x:v>API-320</x:v>
      </x:c>
      <x:c r="B524" s="6" t="str">
        <x:v>GET</x:v>
      </x:c>
      <x:c r="C524" s="6" t="str">
        <x:v>/api/v1/investment-gate-preparations/{preparation_id}</x:v>
      </x:c>
      <x:c r="D524" s="6" t="str">
        <x:v>READ-ONLY SHARED CONTEXT</x:v>
      </x:c>
      <x:c r="E524" s="6" t="str">
        <x:v>investment_gate_preparation</x:v>
      </x:c>
      <x:c r="F524" s="6" t="str">
        <x:v>preparation</x:v>
      </x:c>
      <x:c r="G524" s="6" t="str">
        <x:v>investment_gate_preparation.read</x:v>
      </x:c>
      <x:c r="H524" s="6" t="str">
        <x:v>LIVE_ROUTER_REGISTERED</x:v>
      </x:c>
      <x:c r="I524" s="6" t="str">
        <x:v>NO_DIRECT_LITERAL_MATCH_NOT_PROOF_UNUSED</x:v>
      </x:c>
      <x:c r="J524" s="6" t="str">
        <x:v>NOT_EXECUTED_BY_INVENTORY. SOURCE_LITERAL_OR_TRANSITIVE_HELPER_UNION</x:v>
      </x:c>
    </x:row>
    <x:row r="525" ht="42" customHeight="1">
      <x:c r="A525" s="15" t="str">
        <x:v>API-321</x:v>
      </x:c>
      <x:c r="B525" s="13" t="str">
        <x:v>PUT</x:v>
      </x:c>
      <x:c r="C525" s="13" t="str">
        <x:v>/api/v1/investment-gate-preparations/{preparation_id}</x:v>
      </x:c>
      <x:c r="D525" s="13" t="str">
        <x:v>USER MODE</x:v>
      </x:c>
      <x:c r="E525" s="13" t="str">
        <x:v>investment_gate_preparation</x:v>
      </x:c>
      <x:c r="F525" s="13" t="str">
        <x:v>update</x:v>
      </x:c>
      <x:c r="G525" s="13" t="str">
        <x:v>investment_gate_preparation.edit</x:v>
      </x:c>
      <x:c r="H525" s="13" t="str">
        <x:v>LIVE_ROUTER_REGISTERED</x:v>
      </x:c>
      <x:c r="I525" s="13" t="str">
        <x:v>NO_DIRECT_LITERAL_MATCH_NOT_PROOF_UNUSED</x:v>
      </x:c>
      <x:c r="J525" s="13" t="str">
        <x:v>NOT_EXECUTED_BY_INVENTORY. SOURCE_LITERAL_OR_TRANSITIVE_HELPER_UNION</x:v>
      </x:c>
    </x:row>
    <x:row r="526" ht="42" customHeight="1">
      <x:c r="A526" s="14" t="str">
        <x:v>API-322</x:v>
      </x:c>
      <x:c r="B526" s="6" t="str">
        <x:v>POST</x:v>
      </x:c>
      <x:c r="C526" s="6" t="str">
        <x:v>/api/v1/investment-gate-preparations/{preparation_id}/clone</x:v>
      </x:c>
      <x:c r="D526" s="6" t="str">
        <x:v>USER MODE</x:v>
      </x:c>
      <x:c r="E526" s="6" t="str">
        <x:v>investment_gate_preparation</x:v>
      </x:c>
      <x:c r="F526" s="6" t="str">
        <x:v>clone</x:v>
      </x:c>
      <x:c r="G526" s="6" t="str">
        <x:v>HELPER_OR_SERVICE_AUTHORIZATION_REQUIRES_REVIEW</x:v>
      </x:c>
      <x:c r="H526" s="6" t="str">
        <x:v>LIVE_ROUTER_REGISTERED</x:v>
      </x:c>
      <x:c r="I526" s="6" t="str">
        <x:v>NO_DIRECT_LITERAL_MATCH_NOT_PROOF_UNUSED</x:v>
      </x:c>
      <x:c r="J526" s="6" t="str">
        <x:v>NOT_EXECUTED_BY_INVENTORY. SOURCE_LITERAL_OR_TRANSITIVE_HELPER_UNION</x:v>
      </x:c>
    </x:row>
    <x:row r="527" ht="42" customHeight="1">
      <x:c r="A527" s="15" t="str">
        <x:v>API-323</x:v>
      </x:c>
      <x:c r="B527" s="13" t="str">
        <x:v>PUT</x:v>
      </x:c>
      <x:c r="C527" s="13" t="str">
        <x:v>/api/v1/investment-gate-preparations/{preparation_id}/conditions/{condition_index}</x:v>
      </x:c>
      <x:c r="D527" s="13" t="str">
        <x:v>USER MODE</x:v>
      </x:c>
      <x:c r="E527" s="13" t="str">
        <x:v>investment_gate_preparation</x:v>
      </x:c>
      <x:c r="F527" s="13" t="str">
        <x:v>update condition</x:v>
      </x:c>
      <x:c r="G527" s="13" t="str">
        <x:v>investment_gate_preparation.edit</x:v>
      </x:c>
      <x:c r="H527" s="13" t="str">
        <x:v>LIVE_ROUTER_REGISTERED</x:v>
      </x:c>
      <x:c r="I527" s="13" t="str">
        <x:v>frontend/src/features/investment-gate-preparation/api.ts</x:v>
      </x:c>
      <x:c r="J527" s="13" t="str">
        <x:v>NOT_EXECUTED_BY_INVENTORY. SOURCE_LITERAL_OR_TRANSITIVE_HELPER_UNION</x:v>
      </x:c>
    </x:row>
    <x:row r="528" ht="42" customHeight="1">
      <x:c r="A528" s="14" t="str">
        <x:v>API-324</x:v>
      </x:c>
      <x:c r="B528" s="6" t="str">
        <x:v>POST</x:v>
      </x:c>
      <x:c r="C528" s="6" t="str">
        <x:v>/api/v1/investment-gate-preparations/{preparation_id}/evidence</x:v>
      </x:c>
      <x:c r="D528" s="6" t="str">
        <x:v>USER MODE</x:v>
      </x:c>
      <x:c r="E528" s="6" t="str">
        <x:v>investment_gate_preparation</x:v>
      </x:c>
      <x:c r="F528" s="6" t="str">
        <x:v>add evidence</x:v>
      </x:c>
      <x:c r="G528" s="6" t="str">
        <x:v>investment_gate_evidence.add</x:v>
      </x:c>
      <x:c r="H528" s="6" t="str">
        <x:v>LIVE_ROUTER_REGISTERED</x:v>
      </x:c>
      <x:c r="I528" s="6" t="str">
        <x:v>frontend/src/features/investment-gate-preparation/api.ts</x:v>
      </x:c>
      <x:c r="J528" s="6" t="str">
        <x:v>NOT_EXECUTED_BY_INVENTORY. SOURCE_LITERAL_OR_TRANSITIVE_HELPER_UNION</x:v>
      </x:c>
    </x:row>
    <x:row r="529" ht="42" customHeight="1">
      <x:c r="A529" s="15" t="str">
        <x:v>API-325</x:v>
      </x:c>
      <x:c r="B529" s="13" t="str">
        <x:v>POST</x:v>
      </x:c>
      <x:c r="C529" s="13" t="str">
        <x:v>/api/v1/investment-gate-preparations/{preparation_id}/freeze</x:v>
      </x:c>
      <x:c r="D529" s="13" t="str">
        <x:v>USER MODE</x:v>
      </x:c>
      <x:c r="E529" s="13" t="str">
        <x:v>investment_gate_preparation</x:v>
      </x:c>
      <x:c r="F529" s="13" t="str">
        <x:v>freeze</x:v>
      </x:c>
      <x:c r="G529" s="13" t="str">
        <x:v>HELPER_OR_SERVICE_AUTHORIZATION_REQUIRES_REVIEW</x:v>
      </x:c>
      <x:c r="H529" s="13" t="str">
        <x:v>LIVE_ROUTER_REGISTERED</x:v>
      </x:c>
      <x:c r="I529" s="13" t="str">
        <x:v>NO_DIRECT_LITERAL_MATCH_NOT_PROOF_UNUSED</x:v>
      </x:c>
      <x:c r="J529" s="13" t="str">
        <x:v>NOT_EXECUTED_BY_INVENTORY. SOURCE_LITERAL_OR_TRANSITIVE_HELPER_UNION</x:v>
      </x:c>
    </x:row>
    <x:row r="530" ht="42" customHeight="1">
      <x:c r="A530" s="14" t="str">
        <x:v>API-326</x:v>
      </x:c>
      <x:c r="B530" s="6" t="str">
        <x:v>GET</x:v>
      </x:c>
      <x:c r="C530" s="6" t="str">
        <x:v>/api/v1/investment-gate-preparations/{preparation_id}/handoff</x:v>
      </x:c>
      <x:c r="D530" s="6" t="str">
        <x:v>READ-ONLY SHARED CONTEXT</x:v>
      </x:c>
      <x:c r="E530" s="6" t="str">
        <x:v>investment_gate_preparation</x:v>
      </x:c>
      <x:c r="F530" s="6" t="str">
        <x:v>handoff</x:v>
      </x:c>
      <x:c r="G530" s="6" t="str">
        <x:v>investment_gate_preparation.read</x:v>
      </x:c>
      <x:c r="H530" s="6" t="str">
        <x:v>LIVE_ROUTER_REGISTERED</x:v>
      </x:c>
      <x:c r="I530" s="6" t="str">
        <x:v>frontend/src/features/investment-gate-preparation/api.ts</x:v>
      </x:c>
      <x:c r="J530" s="6" t="str">
        <x:v>NOT_EXECUTED_BY_INVENTORY. SOURCE_LITERAL_OR_TRANSITIVE_HELPER_UNION</x:v>
      </x:c>
    </x:row>
    <x:row r="531" ht="42" customHeight="1">
      <x:c r="A531" s="15" t="str">
        <x:v>API-327</x:v>
      </x:c>
      <x:c r="B531" s="13" t="str">
        <x:v>GET</x:v>
      </x:c>
      <x:c r="C531" s="13" t="str">
        <x:v>/api/v1/investment-gate-preparations/{preparation_id}/project-readiness</x:v>
      </x:c>
      <x:c r="D531" s="13" t="str">
        <x:v>READ-ONLY SHARED CONTEXT</x:v>
      </x:c>
      <x:c r="E531" s="13" t="str">
        <x:v>investment_gate_preparation</x:v>
      </x:c>
      <x:c r="F531" s="13" t="str">
        <x:v>project readiness</x:v>
      </x:c>
      <x:c r="G531" s="13" t="str">
        <x:v>investment_gate_preparation.read</x:v>
      </x:c>
      <x:c r="H531" s="13" t="str">
        <x:v>LIVE_ROUTER_REGISTERED</x:v>
      </x:c>
      <x:c r="I531" s="13" t="str">
        <x:v>frontend/src/features/investment-gate-preparation/api.ts</x:v>
      </x:c>
      <x:c r="J531" s="13" t="str">
        <x:v>NOT_EXECUTED_BY_INVENTORY. SOURCE_LITERAL_OR_TRANSITIVE_HELPER_UNION</x:v>
      </x:c>
    </x:row>
    <x:row r="532" ht="42" customHeight="1">
      <x:c r="A532" s="14" t="str">
        <x:v>API-328</x:v>
      </x:c>
      <x:c r="B532" s="6" t="str">
        <x:v>GET</x:v>
      </x:c>
      <x:c r="C532" s="6" t="str">
        <x:v>/api/v1/investment-gate-preparations/{preparation_id}/readiness</x:v>
      </x:c>
      <x:c r="D532" s="6" t="str">
        <x:v>READ-ONLY SHARED CONTEXT</x:v>
      </x:c>
      <x:c r="E532" s="6" t="str">
        <x:v>investment_gate_preparation</x:v>
      </x:c>
      <x:c r="F532" s="6" t="str">
        <x:v>readiness</x:v>
      </x:c>
      <x:c r="G532" s="6" t="str">
        <x:v>investment_gate_preparation.read</x:v>
      </x:c>
      <x:c r="H532" s="6" t="str">
        <x:v>LIVE_ROUTER_REGISTERED</x:v>
      </x:c>
      <x:c r="I532" s="6" t="str">
        <x:v>NO_DIRECT_LITERAL_MATCH_NOT_PROOF_UNUSED</x:v>
      </x:c>
      <x:c r="J532" s="6" t="str">
        <x:v>NOT_EXECUTED_BY_INVENTORY. SOURCE_LITERAL_OR_TRANSITIVE_HELPER_UNION</x:v>
      </x:c>
    </x:row>
    <x:row r="533" ht="42" customHeight="1">
      <x:c r="A533" s="15" t="str">
        <x:v>API-329</x:v>
      </x:c>
      <x:c r="B533" s="13" t="str">
        <x:v>POST</x:v>
      </x:c>
      <x:c r="C533" s="13" t="str">
        <x:v>/api/v1/investment-gate-preparations/{preparation_id}/ready-for-review</x:v>
      </x:c>
      <x:c r="D533" s="13" t="str">
        <x:v>USER MODE</x:v>
      </x:c>
      <x:c r="E533" s="13" t="str">
        <x:v>investment_gate_preparation</x:v>
      </x:c>
      <x:c r="F533" s="13" t="str">
        <x:v>ready for review</x:v>
      </x:c>
      <x:c r="G533" s="13" t="str">
        <x:v>HELPER_OR_SERVICE_AUTHORIZATION_REQUIRES_REVIEW</x:v>
      </x:c>
      <x:c r="H533" s="13" t="str">
        <x:v>LIVE_ROUTER_REGISTERED</x:v>
      </x:c>
      <x:c r="I533" s="13" t="str">
        <x:v>NO_DIRECT_LITERAL_MATCH_NOT_PROOF_UNUSED</x:v>
      </x:c>
      <x:c r="J533" s="13" t="str">
        <x:v>NOT_EXECUTED_BY_INVENTORY. SOURCE_LITERAL_OR_TRANSITIVE_HELPER_UNION</x:v>
      </x:c>
    </x:row>
    <x:row r="534" ht="42" customHeight="1">
      <x:c r="A534" s="14" t="str">
        <x:v>API-330</x:v>
      </x:c>
      <x:c r="B534" s="6" t="str">
        <x:v>POST</x:v>
      </x:c>
      <x:c r="C534" s="6" t="str">
        <x:v>/api/v1/investment-gate-preparations/{preparation_id}/refresh</x:v>
      </x:c>
      <x:c r="D534" s="6" t="str">
        <x:v>USER MODE</x:v>
      </x:c>
      <x:c r="E534" s="6" t="str">
        <x:v>investment_gate_preparation</x:v>
      </x:c>
      <x:c r="F534" s="6" t="str">
        <x:v>refresh</x:v>
      </x:c>
      <x:c r="G534" s="6" t="str">
        <x:v>investment_gate_preparation.refresh</x:v>
      </x:c>
      <x:c r="H534" s="6" t="str">
        <x:v>LIVE_ROUTER_REGISTERED</x:v>
      </x:c>
      <x:c r="I534" s="6" t="str">
        <x:v>frontend/src/features/investment-gate-preparation/api.ts</x:v>
      </x:c>
      <x:c r="J534" s="6" t="str">
        <x:v>NOT_EXECUTED_BY_INVENTORY. SOURCE_LITERAL_OR_TRANSITIVE_HELPER_UNION</x:v>
      </x:c>
    </x:row>
    <x:row r="535" ht="42" customHeight="1">
      <x:c r="A535" s="15" t="str">
        <x:v>API-331</x:v>
      </x:c>
      <x:c r="B535" s="13" t="str">
        <x:v>POST</x:v>
      </x:c>
      <x:c r="C535" s="13" t="str">
        <x:v>/api/v1/investment-gate-preparations/{preparation_id}/refresh/preview</x:v>
      </x:c>
      <x:c r="D535" s="13" t="str">
        <x:v>USER MODE</x:v>
      </x:c>
      <x:c r="E535" s="13" t="str">
        <x:v>investment_gate_preparation</x:v>
      </x:c>
      <x:c r="F535" s="13" t="str">
        <x:v>refresh preview</x:v>
      </x:c>
      <x:c r="G535" s="13" t="str">
        <x:v>investment_gate_preparation.refresh</x:v>
      </x:c>
      <x:c r="H535" s="13" t="str">
        <x:v>LIVE_ROUTER_REGISTERED</x:v>
      </x:c>
      <x:c r="I535" s="13" t="str">
        <x:v>frontend/src/features/investment-gate-preparation/api.ts</x:v>
      </x:c>
      <x:c r="J535" s="13" t="str">
        <x:v>NOT_EXECUTED_BY_INVENTORY. SOURCE_LITERAL_OR_TRANSITIVE_HELPER_UNION</x:v>
      </x:c>
    </x:row>
    <x:row r="536" ht="42" customHeight="1">
      <x:c r="A536" s="14" t="str">
        <x:v>API-332</x:v>
      </x:c>
      <x:c r="B536" s="6" t="str">
        <x:v>POST</x:v>
      </x:c>
      <x:c r="C536" s="6" t="str">
        <x:v>/api/v1/investment-gate-preparations/{preparation_id}/void</x:v>
      </x:c>
      <x:c r="D536" s="6" t="str">
        <x:v>USER MODE</x:v>
      </x:c>
      <x:c r="E536" s="6" t="str">
        <x:v>investment_gate_preparation</x:v>
      </x:c>
      <x:c r="F536" s="6" t="str">
        <x:v>void</x:v>
      </x:c>
      <x:c r="G536" s="6" t="str">
        <x:v>HELPER_OR_SERVICE_AUTHORIZATION_REQUIRES_REVIEW</x:v>
      </x:c>
      <x:c r="H536" s="6" t="str">
        <x:v>LIVE_ROUTER_REGISTERED</x:v>
      </x:c>
      <x:c r="I536" s="6" t="str">
        <x:v>NO_DIRECT_LITERAL_MATCH_NOT_PROOF_UNUSED</x:v>
      </x:c>
      <x:c r="J536" s="6" t="str">
        <x:v>NOT_EXECUTED_BY_INVENTORY. SOURCE_LITERAL_OR_TRANSITIVE_HELPER_UNION</x:v>
      </x:c>
    </x:row>
    <x:row r="537" ht="42" customHeight="1">
      <x:c r="A537" s="15" t="str">
        <x:v>API-333</x:v>
      </x:c>
      <x:c r="B537" s="13" t="str">
        <x:v>GET</x:v>
      </x:c>
      <x:c r="C537" s="13" t="str">
        <x:v>/api/v1/portfolios/{portfolio_id}/investment-gate-preparation</x:v>
      </x:c>
      <x:c r="D537" s="13" t="str">
        <x:v>READ-ONLY SHARED CONTEXT</x:v>
      </x:c>
      <x:c r="E537" s="13" t="str">
        <x:v>investment_gate_preparation</x:v>
      </x:c>
      <x:c r="F537" s="13" t="str">
        <x:v>overview</x:v>
      </x:c>
      <x:c r="G537" s="13" t="str">
        <x:v>investment_gate_preparation.read</x:v>
      </x:c>
      <x:c r="H537" s="13" t="str">
        <x:v>LIVE_ROUTER_REGISTERED</x:v>
      </x:c>
      <x:c r="I537" s="13" t="str">
        <x:v>frontend/src/features/investment-gate-preparation/api.ts</x:v>
      </x:c>
      <x:c r="J537" s="13" t="str">
        <x:v>NOT_EXECUTED_BY_INVENTORY. SOURCE_LITERAL_OR_TRANSITIVE_HELPER_UNION</x:v>
      </x:c>
    </x:row>
    <x:row r="538" ht="42" customHeight="1">
      <x:c r="A538" s="14" t="str">
        <x:v>API-334</x:v>
      </x:c>
      <x:c r="B538" s="6" t="str">
        <x:v>GET</x:v>
      </x:c>
      <x:c r="C538" s="6" t="str">
        <x:v>/api/v1/owner-capability/admin/configurations</x:v>
      </x:c>
      <x:c r="D538" s="6" t="str">
        <x:v>ADMIN MODE</x:v>
      </x:c>
      <x:c r="E538" s="6" t="str">
        <x:v>owner_capability</x:v>
      </x:c>
      <x:c r="F538" s="6" t="str">
        <x:v>configurations</x:v>
      </x:c>
      <x:c r="G538" s="6" t="str">
        <x:v>admin.configure</x:v>
      </x:c>
      <x:c r="H538" s="6" t="str">
        <x:v>LIVE_ROUTER_REGISTERED</x:v>
      </x:c>
      <x:c r="I538" s="6" t="str">
        <x:v>NO_DIRECT_LITERAL_MATCH_NOT_PROOF_UNUSED</x:v>
      </x:c>
      <x:c r="J538" s="6" t="str">
        <x:v>NOT_EXECUTED_BY_INVENTORY. SOURCE_LITERAL_OR_TRANSITIVE_HELPER_UNION</x:v>
      </x:c>
    </x:row>
    <x:row r="539" ht="42" customHeight="1">
      <x:c r="A539" s="15" t="str">
        <x:v>API-335</x:v>
      </x:c>
      <x:c r="B539" s="13" t="str">
        <x:v>GET</x:v>
      </x:c>
      <x:c r="C539" s="13" t="str">
        <x:v>/api/v1/owner-capability/admin/configurations/{configuration_id}</x:v>
      </x:c>
      <x:c r="D539" s="13" t="str">
        <x:v>ADMIN MODE</x:v>
      </x:c>
      <x:c r="E539" s="13" t="str">
        <x:v>owner_capability</x:v>
      </x:c>
      <x:c r="F539" s="13" t="str">
        <x:v>configuration</x:v>
      </x:c>
      <x:c r="G539" s="13" t="str">
        <x:v>admin.configure</x:v>
      </x:c>
      <x:c r="H539" s="13" t="str">
        <x:v>LIVE_ROUTER_REGISTERED</x:v>
      </x:c>
      <x:c r="I539" s="13" t="str">
        <x:v>NO_DIRECT_LITERAL_MATCH_NOT_PROOF_UNUSED</x:v>
      </x:c>
      <x:c r="J539" s="13" t="str">
        <x:v>NOT_EXECUTED_BY_INVENTORY. SOURCE_LITERAL_OR_TRANSITIVE_HELPER_UNION</x:v>
      </x:c>
    </x:row>
    <x:row r="540" ht="42" customHeight="1">
      <x:c r="A540" s="14" t="str">
        <x:v>API-336</x:v>
      </x:c>
      <x:c r="B540" s="6" t="str">
        <x:v>PUT</x:v>
      </x:c>
      <x:c r="C540" s="6" t="str">
        <x:v>/api/v1/owner-capability/admin/configurations/{configuration_id}</x:v>
      </x:c>
      <x:c r="D540" s="6" t="str">
        <x:v>ADMIN MODE</x:v>
      </x:c>
      <x:c r="E540" s="6" t="str">
        <x:v>owner_capability</x:v>
      </x:c>
      <x:c r="F540" s="6" t="str">
        <x:v>edit configuration</x:v>
      </x:c>
      <x:c r="G540" s="6" t="str">
        <x:v>admin.configure</x:v>
      </x:c>
      <x:c r="H540" s="6" t="str">
        <x:v>LIVE_ROUTER_REGISTERED</x:v>
      </x:c>
      <x:c r="I540" s="6" t="str">
        <x:v>NO_DIRECT_LITERAL_MATCH_NOT_PROOF_UNUSED</x:v>
      </x:c>
      <x:c r="J540" s="6" t="str">
        <x:v>NOT_EXECUTED_BY_INVENTORY. SOURCE_LITERAL_OR_TRANSITIVE_HELPER_UNION</x:v>
      </x:c>
    </x:row>
    <x:row r="541" ht="42" customHeight="1">
      <x:c r="A541" s="15" t="str">
        <x:v>API-337</x:v>
      </x:c>
      <x:c r="B541" s="13" t="str">
        <x:v>POST</x:v>
      </x:c>
      <x:c r="C541" s="13" t="str">
        <x:v>/api/v1/owner-capability/admin/configurations/{configuration_id}/archive</x:v>
      </x:c>
      <x:c r="D541" s="13" t="str">
        <x:v>ADMIN MODE</x:v>
      </x:c>
      <x:c r="E541" s="13" t="str">
        <x:v>owner_capability</x:v>
      </x:c>
      <x:c r="F541" s="13" t="str">
        <x:v>archive</x:v>
      </x:c>
      <x:c r="G541" s="13" t="str">
        <x:v>admin.publish</x:v>
      </x:c>
      <x:c r="H541" s="13" t="str">
        <x:v>LIVE_ROUTER_REGISTERED</x:v>
      </x:c>
      <x:c r="I541" s="13" t="str">
        <x:v>NO_DIRECT_LITERAL_MATCH_NOT_PROOF_UNUSED</x:v>
      </x:c>
      <x:c r="J541" s="13" t="str">
        <x:v>NOT_EXECUTED_BY_INVENTORY. SOURCE_LITERAL_OR_TRANSITIVE_HELPER_UNION</x:v>
      </x:c>
    </x:row>
    <x:row r="542" ht="42" customHeight="1">
      <x:c r="A542" s="14" t="str">
        <x:v>API-338</x:v>
      </x:c>
      <x:c r="B542" s="6" t="str">
        <x:v>POST</x:v>
      </x:c>
      <x:c r="C542" s="6" t="str">
        <x:v>/api/v1/owner-capability/admin/configurations/{configuration_id}/clone</x:v>
      </x:c>
      <x:c r="D542" s="6" t="str">
        <x:v>ADMIN MODE</x:v>
      </x:c>
      <x:c r="E542" s="6" t="str">
        <x:v>owner_capability</x:v>
      </x:c>
      <x:c r="F542" s="6" t="str">
        <x:v>clone</x:v>
      </x:c>
      <x:c r="G542" s="6" t="str">
        <x:v>admin.configure</x:v>
      </x:c>
      <x:c r="H542" s="6" t="str">
        <x:v>LIVE_ROUTER_REGISTERED</x:v>
      </x:c>
      <x:c r="I542" s="6" t="str">
        <x:v>NO_DIRECT_LITERAL_MATCH_NOT_PROOF_UNUSED</x:v>
      </x:c>
      <x:c r="J542" s="6" t="str">
        <x:v>NOT_EXECUTED_BY_INVENTORY. SOURCE_LITERAL_OR_TRANSITIVE_HELPER_UNION</x:v>
      </x:c>
    </x:row>
    <x:row r="543" ht="42" customHeight="1">
      <x:c r="A543" s="15" t="str">
        <x:v>API-339</x:v>
      </x:c>
      <x:c r="B543" s="13" t="str">
        <x:v>GET</x:v>
      </x:c>
      <x:c r="C543" s="13" t="str">
        <x:v>/api/v1/owner-capability/admin/configurations/{configuration_id}/history</x:v>
      </x:c>
      <x:c r="D543" s="13" t="str">
        <x:v>ADMIN MODE</x:v>
      </x:c>
      <x:c r="E543" s="13" t="str">
        <x:v>owner_capability</x:v>
      </x:c>
      <x:c r="F543" s="13" t="str">
        <x:v>configuration history</x:v>
      </x:c>
      <x:c r="G543" s="13" t="str">
        <x:v>admin.configure</x:v>
      </x:c>
      <x:c r="H543" s="13" t="str">
        <x:v>LIVE_ROUTER_REGISTERED</x:v>
      </x:c>
      <x:c r="I543" s="13" t="str">
        <x:v>NO_DIRECT_LITERAL_MATCH_NOT_PROOF_UNUSED</x:v>
      </x:c>
      <x:c r="J543" s="13" t="str">
        <x:v>NOT_EXECUTED_BY_INVENTORY. SOURCE_LITERAL_OR_TRANSITIVE_HELPER_UNION</x:v>
      </x:c>
    </x:row>
    <x:row r="544" ht="42" customHeight="1">
      <x:c r="A544" s="14" t="str">
        <x:v>API-340</x:v>
      </x:c>
      <x:c r="B544" s="6" t="str">
        <x:v>POST</x:v>
      </x:c>
      <x:c r="C544" s="6" t="str">
        <x:v>/api/v1/owner-capability/admin/configurations/{configuration_id}/publish</x:v>
      </x:c>
      <x:c r="D544" s="6" t="str">
        <x:v>ADMIN MODE</x:v>
      </x:c>
      <x:c r="E544" s="6" t="str">
        <x:v>owner_capability</x:v>
      </x:c>
      <x:c r="F544" s="6" t="str">
        <x:v>publish</x:v>
      </x:c>
      <x:c r="G544" s="6" t="str">
        <x:v>admin.publish</x:v>
      </x:c>
      <x:c r="H544" s="6" t="str">
        <x:v>LIVE_ROUTER_REGISTERED</x:v>
      </x:c>
      <x:c r="I544" s="6" t="str">
        <x:v>NO_DIRECT_LITERAL_MATCH_NOT_PROOF_UNUSED</x:v>
      </x:c>
      <x:c r="J544" s="6" t="str">
        <x:v>NOT_EXECUTED_BY_INVENTORY. SOURCE_LITERAL_OR_TRANSITIVE_HELPER_UNION</x:v>
      </x:c>
    </x:row>
    <x:row r="545" ht="42" customHeight="1">
      <x:c r="A545" s="15" t="str">
        <x:v>API-341</x:v>
      </x:c>
      <x:c r="B545" s="13" t="str">
        <x:v>POST</x:v>
      </x:c>
      <x:c r="C545" s="13" t="str">
        <x:v>/api/v1/owner-capability/admin/effective-preview</x:v>
      </x:c>
      <x:c r="D545" s="13" t="str">
        <x:v>ADMIN MODE</x:v>
      </x:c>
      <x:c r="E545" s="13" t="str">
        <x:v>owner_capability</x:v>
      </x:c>
      <x:c r="F545" s="13" t="str">
        <x:v>configuration preview</x:v>
      </x:c>
      <x:c r="G545" s="13" t="str">
        <x:v>admin.configure</x:v>
      </x:c>
      <x:c r="H545" s="13" t="str">
        <x:v>LIVE_ROUTER_REGISTERED</x:v>
      </x:c>
      <x:c r="I545" s="13" t="str">
        <x:v>NO_DIRECT_LITERAL_MATCH_NOT_PROOF_UNUSED</x:v>
      </x:c>
      <x:c r="J545" s="13" t="str">
        <x:v>NOT_EXECUTED_BY_INVENTORY. SOURCE_LITERAL_OR_TRANSITIVE_HELPER_UNION</x:v>
      </x:c>
    </x:row>
    <x:row r="546" ht="42" customHeight="1">
      <x:c r="A546" s="14" t="str">
        <x:v>API-342</x:v>
      </x:c>
      <x:c r="B546" s="6" t="str">
        <x:v>POST</x:v>
      </x:c>
      <x:c r="C546" s="6" t="str">
        <x:v>/api/v1/owner-capability/admin/preview</x:v>
      </x:c>
      <x:c r="D546" s="6" t="str">
        <x:v>ADMIN MODE</x:v>
      </x:c>
      <x:c r="E546" s="6" t="str">
        <x:v>owner_capability</x:v>
      </x:c>
      <x:c r="F546" s="6" t="str">
        <x:v>configuration preview</x:v>
      </x:c>
      <x:c r="G546" s="6" t="str">
        <x:v>admin.configure</x:v>
      </x:c>
      <x:c r="H546" s="6" t="str">
        <x:v>LIVE_ROUTER_REGISTERED</x:v>
      </x:c>
      <x:c r="I546" s="6" t="str">
        <x:v>NO_DIRECT_LITERAL_MATCH_NOT_PROOF_UNUSED</x:v>
      </x:c>
      <x:c r="J546" s="6" t="str">
        <x:v>NOT_EXECUTED_BY_INVENTORY. SOURCE_LITERAL_OR_TRANSITIVE_HELPER_UNION</x:v>
      </x:c>
    </x:row>
    <x:row r="547" ht="42" customHeight="1">
      <x:c r="A547" s="15" t="str">
        <x:v>API-343</x:v>
      </x:c>
      <x:c r="B547" s="13" t="str">
        <x:v>GET</x:v>
      </x:c>
      <x:c r="C547" s="13" t="str">
        <x:v>/api/v1/owner-capability/assessments/{assessment_id}</x:v>
      </x:c>
      <x:c r="D547" s="13" t="str">
        <x:v>READ-ONLY SHARED CONTEXT</x:v>
      </x:c>
      <x:c r="E547" s="13" t="str">
        <x:v>owner_capability</x:v>
      </x:c>
      <x:c r="F547" s="13" t="str">
        <x:v>assessment</x:v>
      </x:c>
      <x:c r="G547" s="13" t="str">
        <x:v>HELPER_OR_SERVICE_AUTHORIZATION_REQUIRES_REVIEW</x:v>
      </x:c>
      <x:c r="H547" s="13" t="str">
        <x:v>LIVE_ROUTER_REGISTERED</x:v>
      </x:c>
      <x:c r="I547" s="13" t="str">
        <x:v>frontend/src/features/owner-capability/api.ts</x:v>
      </x:c>
      <x:c r="J547" s="13" t="str">
        <x:v>NOT_EXECUTED_BY_INVENTORY. SOURCE_LITERAL_OR_TRANSITIVE_HELPER_UNION</x:v>
      </x:c>
    </x:row>
    <x:row r="548" ht="42" customHeight="1">
      <x:c r="A548" s="14" t="str">
        <x:v>API-344</x:v>
      </x:c>
      <x:c r="B548" s="6" t="str">
        <x:v>PUT</x:v>
      </x:c>
      <x:c r="C548" s="6" t="str">
        <x:v>/api/v1/owner-capability/assessments/{assessment_id}</x:v>
      </x:c>
      <x:c r="D548" s="6" t="str">
        <x:v>USER MODE</x:v>
      </x:c>
      <x:c r="E548" s="6" t="str">
        <x:v>owner_capability</x:v>
      </x:c>
      <x:c r="F548" s="6" t="str">
        <x:v>update</x:v>
      </x:c>
      <x:c r="G548" s="6" t="str">
        <x:v>assessment.edit</x:v>
      </x:c>
      <x:c r="H548" s="6" t="str">
        <x:v>LIVE_ROUTER_REGISTERED</x:v>
      </x:c>
      <x:c r="I548" s="6" t="str">
        <x:v>frontend/src/features/owner-capability/api.ts</x:v>
      </x:c>
      <x:c r="J548" s="6" t="str">
        <x:v>NOT_EXECUTED_BY_INVENTORY. SOURCE_LITERAL_OR_TRANSITIVE_HELPER_UNION</x:v>
      </x:c>
    </x:row>
    <x:row r="549" ht="42" customHeight="1">
      <x:c r="A549" s="15" t="str">
        <x:v>API-345</x:v>
      </x:c>
      <x:c r="B549" s="13" t="str">
        <x:v>POST</x:v>
      </x:c>
      <x:c r="C549" s="13" t="str">
        <x:v>/api/v1/owner-capability/assessments/{assessment_id}/complete</x:v>
      </x:c>
      <x:c r="D549" s="13" t="str">
        <x:v>USER MODE</x:v>
      </x:c>
      <x:c r="E549" s="13" t="str">
        <x:v>owner_capability</x:v>
      </x:c>
      <x:c r="F549" s="13" t="str">
        <x:v>complete</x:v>
      </x:c>
      <x:c r="G549" s="13" t="str">
        <x:v>assessment.complete</x:v>
      </x:c>
      <x:c r="H549" s="13" t="str">
        <x:v>LIVE_ROUTER_REGISTERED</x:v>
      </x:c>
      <x:c r="I549" s="13" t="str">
        <x:v>NO_DIRECT_LITERAL_MATCH_NOT_PROOF_UNUSED</x:v>
      </x:c>
      <x:c r="J549" s="13" t="str">
        <x:v>NOT_EXECUTED_BY_INVENTORY. SOURCE_LITERAL_OR_TRANSITIVE_HELPER_UNION</x:v>
      </x:c>
    </x:row>
    <x:row r="550" ht="42" customHeight="1">
      <x:c r="A550" s="14" t="str">
        <x:v>API-346</x:v>
      </x:c>
      <x:c r="B550" s="6" t="str">
        <x:v>GET</x:v>
      </x:c>
      <x:c r="C550" s="6" t="str">
        <x:v>/api/v1/owner-capability/assessments/{assessment_id}/mitigations</x:v>
      </x:c>
      <x:c r="D550" s="6" t="str">
        <x:v>READ-ONLY SHARED CONTEXT</x:v>
      </x:c>
      <x:c r="E550" s="6" t="str">
        <x:v>owner_capability</x:v>
      </x:c>
      <x:c r="F550" s="6" t="str">
        <x:v>mitigations</x:v>
      </x:c>
      <x:c r="G550" s="6" t="str">
        <x:v>HELPER_OR_SERVICE_AUTHORIZATION_REQUIRES_REVIEW</x:v>
      </x:c>
      <x:c r="H550" s="6" t="str">
        <x:v>LIVE_ROUTER_REGISTERED</x:v>
      </x:c>
      <x:c r="I550" s="6" t="str">
        <x:v>frontend/src/features/owner-capability/api.ts</x:v>
      </x:c>
      <x:c r="J550" s="6" t="str">
        <x:v>NOT_EXECUTED_BY_INVENTORY. SOURCE_LITERAL_OR_TRANSITIVE_HELPER_UNION</x:v>
      </x:c>
    </x:row>
    <x:row r="551" ht="42" customHeight="1">
      <x:c r="A551" s="15" t="str">
        <x:v>API-347</x:v>
      </x:c>
      <x:c r="B551" s="13" t="str">
        <x:v>POST</x:v>
      </x:c>
      <x:c r="C551" s="13" t="str">
        <x:v>/api/v1/owner-capability/assessments/{assessment_id}/mitigations</x:v>
      </x:c>
      <x:c r="D551" s="13" t="str">
        <x:v>USER MODE</x:v>
      </x:c>
      <x:c r="E551" s="13" t="str">
        <x:v>owner_capability</x:v>
      </x:c>
      <x:c r="F551" s="13" t="str">
        <x:v>create mitigation</x:v>
      </x:c>
      <x:c r="G551" s="13" t="str">
        <x:v>mitigation.edit</x:v>
      </x:c>
      <x:c r="H551" s="13" t="str">
        <x:v>LIVE_ROUTER_REGISTERED</x:v>
      </x:c>
      <x:c r="I551" s="13" t="str">
        <x:v>frontend/src/features/owner-capability/api.ts</x:v>
      </x:c>
      <x:c r="J551" s="13" t="str">
        <x:v>NOT_EXECUTED_BY_INVENTORY. SOURCE_LITERAL_OR_TRANSITIVE_HELPER_UNION</x:v>
      </x:c>
    </x:row>
    <x:row r="552" ht="42" customHeight="1">
      <x:c r="A552" s="14" t="str">
        <x:v>API-348</x:v>
      </x:c>
      <x:c r="B552" s="6" t="str">
        <x:v>PUT</x:v>
      </x:c>
      <x:c r="C552" s="6" t="str">
        <x:v>/api/v1/owner-capability/assessments/{assessment_id}/mitigations/{mitigation_id}</x:v>
      </x:c>
      <x:c r="D552" s="6" t="str">
        <x:v>USER MODE</x:v>
      </x:c>
      <x:c r="E552" s="6" t="str">
        <x:v>owner_capability</x:v>
      </x:c>
      <x:c r="F552" s="6" t="str">
        <x:v>update mitigation</x:v>
      </x:c>
      <x:c r="G552" s="6" t="str">
        <x:v>mitigation.edit</x:v>
      </x:c>
      <x:c r="H552" s="6" t="str">
        <x:v>LIVE_ROUTER_REGISTERED</x:v>
      </x:c>
      <x:c r="I552" s="6" t="str">
        <x:v>frontend/src/features/owner-capability/api.ts</x:v>
      </x:c>
      <x:c r="J552" s="6" t="str">
        <x:v>NOT_EXECUTED_BY_INVENTORY. SOURCE_LITERAL_OR_TRANSITIVE_HELPER_UNION</x:v>
      </x:c>
    </x:row>
    <x:row r="553" ht="42" customHeight="1">
      <x:c r="A553" s="15" t="str">
        <x:v>API-349</x:v>
      </x:c>
      <x:c r="B553" s="13" t="str">
        <x:v>POST</x:v>
      </x:c>
      <x:c r="C553" s="13" t="str">
        <x:v>/api/v1/owner-capability/assessments/{assessment_id}/preview</x:v>
      </x:c>
      <x:c r="D553" s="13" t="str">
        <x:v>USER MODE</x:v>
      </x:c>
      <x:c r="E553" s="13" t="str">
        <x:v>owner_capability</x:v>
      </x:c>
      <x:c r="F553" s="13" t="str">
        <x:v>preview</x:v>
      </x:c>
      <x:c r="G553" s="13" t="str">
        <x:v>HELPER_OR_SERVICE_AUTHORIZATION_REQUIRES_REVIEW</x:v>
      </x:c>
      <x:c r="H553" s="13" t="str">
        <x:v>LIVE_ROUTER_REGISTERED</x:v>
      </x:c>
      <x:c r="I553" s="13" t="str">
        <x:v>NO_DIRECT_LITERAL_MATCH_NOT_PROOF_UNUSED</x:v>
      </x:c>
      <x:c r="J553" s="13" t="str">
        <x:v>NOT_EXECUTED_BY_INVENTORY. SOURCE_LITERAL_OR_TRANSITIVE_HELPER_UNION</x:v>
      </x:c>
    </x:row>
    <x:row r="554" ht="42" customHeight="1">
      <x:c r="A554" s="14" t="str">
        <x:v>API-350</x:v>
      </x:c>
      <x:c r="B554" s="6" t="str">
        <x:v>POST</x:v>
      </x:c>
      <x:c r="C554" s="6" t="str">
        <x:v>/api/v1/owner-capability/assessments/{assessment_id}/refresh-apply</x:v>
      </x:c>
      <x:c r="D554" s="6" t="str">
        <x:v>USER MODE</x:v>
      </x:c>
      <x:c r="E554" s="6" t="str">
        <x:v>owner_capability</x:v>
      </x:c>
      <x:c r="F554" s="6" t="str">
        <x:v>refresh</x:v>
      </x:c>
      <x:c r="G554" s="6" t="str">
        <x:v>assessment.create</x:v>
      </x:c>
      <x:c r="H554" s="6" t="str">
        <x:v>LIVE_ROUTER_REGISTERED</x:v>
      </x:c>
      <x:c r="I554" s="6" t="str">
        <x:v>NO_DIRECT_LITERAL_MATCH_NOT_PROOF_UNUSED</x:v>
      </x:c>
      <x:c r="J554" s="6" t="str">
        <x:v>NOT_EXECUTED_BY_INVENTORY. SOURCE_LITERAL_OR_TRANSITIVE_HELPER_UNION</x:v>
      </x:c>
    </x:row>
    <x:row r="555" ht="42" customHeight="1">
      <x:c r="A555" s="15" t="str">
        <x:v>API-351</x:v>
      </x:c>
      <x:c r="B555" s="13" t="str">
        <x:v>GET</x:v>
      </x:c>
      <x:c r="C555" s="13" t="str">
        <x:v>/api/v1/owner-capability/assessments/{assessment_id}/refresh-preview</x:v>
      </x:c>
      <x:c r="D555" s="13" t="str">
        <x:v>READ-ONLY SHARED CONTEXT</x:v>
      </x:c>
      <x:c r="E555" s="13" t="str">
        <x:v>owner_capability</x:v>
      </x:c>
      <x:c r="F555" s="13" t="str">
        <x:v>refresh preview</x:v>
      </x:c>
      <x:c r="G555" s="13" t="str">
        <x:v>HELPER_OR_SERVICE_AUTHORIZATION_REQUIRES_REVIEW</x:v>
      </x:c>
      <x:c r="H555" s="13" t="str">
        <x:v>LIVE_ROUTER_REGISTERED</x:v>
      </x:c>
      <x:c r="I555" s="13" t="str">
        <x:v>frontend/src/features/owner-capability/api.ts</x:v>
      </x:c>
      <x:c r="J555" s="13" t="str">
        <x:v>NOT_EXECUTED_BY_INVENTORY. SOURCE_LITERAL_OR_TRANSITIVE_HELPER_UNION</x:v>
      </x:c>
    </x:row>
    <x:row r="556" ht="42" customHeight="1">
      <x:c r="A556" s="14" t="str">
        <x:v>API-352</x:v>
      </x:c>
      <x:c r="B556" s="6" t="str">
        <x:v>POST</x:v>
      </x:c>
      <x:c r="C556" s="6" t="str">
        <x:v>/api/v1/owner-capability/assessments/{assessment_id}/refresh-preview</x:v>
      </x:c>
      <x:c r="D556" s="6" t="str">
        <x:v>USER MODE</x:v>
      </x:c>
      <x:c r="E556" s="6" t="str">
        <x:v>owner_capability</x:v>
      </x:c>
      <x:c r="F556" s="6" t="str">
        <x:v>refresh preview</x:v>
      </x:c>
      <x:c r="G556" s="6" t="str">
        <x:v>HELPER_OR_SERVICE_AUTHORIZATION_REQUIRES_REVIEW</x:v>
      </x:c>
      <x:c r="H556" s="6" t="str">
        <x:v>LIVE_ROUTER_REGISTERED</x:v>
      </x:c>
      <x:c r="I556" s="6" t="str">
        <x:v>frontend/src/features/owner-capability/api.ts</x:v>
      </x:c>
      <x:c r="J556" s="6" t="str">
        <x:v>NOT_EXECUTED_BY_INVENTORY. SOURCE_LITERAL_OR_TRANSITIVE_HELPER_UNION</x:v>
      </x:c>
    </x:row>
    <x:row r="557" ht="42" customHeight="1">
      <x:c r="A557" s="15" t="str">
        <x:v>API-353</x:v>
      </x:c>
      <x:c r="B557" s="13" t="str">
        <x:v>POST</x:v>
      </x:c>
      <x:c r="C557" s="13" t="str">
        <x:v>/api/v1/owner-capability/assessments/{assessment_id}/review</x:v>
      </x:c>
      <x:c r="D557" s="13" t="str">
        <x:v>USER MODE</x:v>
      </x:c>
      <x:c r="E557" s="13" t="str">
        <x:v>owner_capability</x:v>
      </x:c>
      <x:c r="F557" s="13" t="str">
        <x:v>review</x:v>
      </x:c>
      <x:c r="G557" s="13" t="str">
        <x:v>assessment.review</x:v>
      </x:c>
      <x:c r="H557" s="13" t="str">
        <x:v>LIVE_ROUTER_REGISTERED</x:v>
      </x:c>
      <x:c r="I557" s="13" t="str">
        <x:v>NO_DIRECT_LITERAL_MATCH_NOT_PROOF_UNUSED</x:v>
      </x:c>
      <x:c r="J557" s="13" t="str">
        <x:v>NOT_EXECUTED_BY_INVENTORY. SOURCE_LITERAL_OR_TRANSITIVE_HELPER_UNION</x:v>
      </x:c>
    </x:row>
    <x:row r="558" ht="42" customHeight="1">
      <x:c r="A558" s="14" t="str">
        <x:v>API-354</x:v>
      </x:c>
      <x:c r="B558" s="6" t="str">
        <x:v>POST</x:v>
      </x:c>
      <x:c r="C558" s="6" t="str">
        <x:v>/api/v1/owner-capability/assessments/{assessment_id}/submit</x:v>
      </x:c>
      <x:c r="D558" s="6" t="str">
        <x:v>USER MODE</x:v>
      </x:c>
      <x:c r="E558" s="6" t="str">
        <x:v>owner_capability</x:v>
      </x:c>
      <x:c r="F558" s="6" t="str">
        <x:v>submit</x:v>
      </x:c>
      <x:c r="G558" s="6" t="str">
        <x:v>assessment.submit</x:v>
      </x:c>
      <x:c r="H558" s="6" t="str">
        <x:v>LIVE_ROUTER_REGISTERED</x:v>
      </x:c>
      <x:c r="I558" s="6" t="str">
        <x:v>NO_DIRECT_LITERAL_MATCH_NOT_PROOF_UNUSED</x:v>
      </x:c>
      <x:c r="J558" s="6" t="str">
        <x:v>NOT_EXECUTED_BY_INVENTORY. SOURCE_LITERAL_OR_TRANSITIVE_HELPER_UNION</x:v>
      </x:c>
    </x:row>
    <x:row r="559" ht="42" customHeight="1">
      <x:c r="A559" s="15" t="str">
        <x:v>API-355</x:v>
      </x:c>
      <x:c r="B559" s="13" t="str">
        <x:v>GET</x:v>
      </x:c>
      <x:c r="C559" s="13" t="str">
        <x:v>/api/v1/owner-capability/options</x:v>
      </x:c>
      <x:c r="D559" s="13" t="str">
        <x:v>READ-ONLY SHARED CONTEXT</x:v>
      </x:c>
      <x:c r="E559" s="13" t="str">
        <x:v>owner_capability</x:v>
      </x:c>
      <x:c r="F559" s="13" t="str">
        <x:v>options</x:v>
      </x:c>
      <x:c r="G559" s="13" t="str">
        <x:v>HELPER_OR_SERVICE_AUTHORIZATION_REQUIRES_REVIEW</x:v>
      </x:c>
      <x:c r="H559" s="13" t="str">
        <x:v>LIVE_ROUTER_REGISTERED</x:v>
      </x:c>
      <x:c r="I559" s="13" t="str">
        <x:v>frontend/src/features/owner-capability/api.ts</x:v>
      </x:c>
      <x:c r="J559" s="13" t="str">
        <x:v>NOT_EXECUTED_BY_INVENTORY. SOURCE_LITERAL_OR_TRANSITIVE_HELPER_UNION</x:v>
      </x:c>
    </x:row>
    <x:row r="560" ht="42" customHeight="1">
      <x:c r="A560" s="14" t="str">
        <x:v>API-356</x:v>
      </x:c>
      <x:c r="B560" s="6" t="str">
        <x:v>GET</x:v>
      </x:c>
      <x:c r="C560" s="6" t="str">
        <x:v>/api/v1/owner-capability/projects/{project_id}/assessments</x:v>
      </x:c>
      <x:c r="D560" s="6" t="str">
        <x:v>READ-ONLY SHARED CONTEXT</x:v>
      </x:c>
      <x:c r="E560" s="6" t="str">
        <x:v>owner_capability</x:v>
      </x:c>
      <x:c r="F560" s="6" t="str">
        <x:v>assessments</x:v>
      </x:c>
      <x:c r="G560" s="6" t="str">
        <x:v>HELPER_OR_SERVICE_AUTHORIZATION_REQUIRES_REVIEW</x:v>
      </x:c>
      <x:c r="H560" s="6" t="str">
        <x:v>LIVE_ROUTER_REGISTERED</x:v>
      </x:c>
      <x:c r="I560" s="6" t="str">
        <x:v>frontend/src/features/owner-capability/api.ts</x:v>
      </x:c>
      <x:c r="J560" s="6" t="str">
        <x:v>NOT_EXECUTED_BY_INVENTORY. SOURCE_LITERAL_OR_TRANSITIVE_HELPER_UNION</x:v>
      </x:c>
    </x:row>
    <x:row r="561" ht="42" customHeight="1">
      <x:c r="A561" s="15" t="str">
        <x:v>API-357</x:v>
      </x:c>
      <x:c r="B561" s="13" t="str">
        <x:v>POST</x:v>
      </x:c>
      <x:c r="C561" s="13" t="str">
        <x:v>/api/v1/owner-capability/projects/{project_id}/assessments</x:v>
      </x:c>
      <x:c r="D561" s="13" t="str">
        <x:v>USER MODE</x:v>
      </x:c>
      <x:c r="E561" s="13" t="str">
        <x:v>owner_capability</x:v>
      </x:c>
      <x:c r="F561" s="13" t="str">
        <x:v>create</x:v>
      </x:c>
      <x:c r="G561" s="13" t="str">
        <x:v>assessment.create</x:v>
      </x:c>
      <x:c r="H561" s="13" t="str">
        <x:v>LIVE_ROUTER_REGISTERED</x:v>
      </x:c>
      <x:c r="I561" s="13" t="str">
        <x:v>frontend/src/features/owner-capability/api.ts</x:v>
      </x:c>
      <x:c r="J561" s="13" t="str">
        <x:v>NOT_EXECUTED_BY_INVENTORY. SOURCE_LITERAL_OR_TRANSITIVE_HELPER_UNION</x:v>
      </x:c>
    </x:row>
    <x:row r="562" ht="42" customHeight="1">
      <x:c r="A562" s="14" t="str">
        <x:v>API-358</x:v>
      </x:c>
      <x:c r="B562" s="6" t="str">
        <x:v>GET</x:v>
      </x:c>
      <x:c r="C562" s="6" t="str">
        <x:v>/api/v1/owner-capability/projects/{project_id}/contexts</x:v>
      </x:c>
      <x:c r="D562" s="6" t="str">
        <x:v>READ-ONLY SHARED CONTEXT</x:v>
      </x:c>
      <x:c r="E562" s="6" t="str">
        <x:v>owner_capability</x:v>
      </x:c>
      <x:c r="F562" s="6" t="str">
        <x:v>contexts</x:v>
      </x:c>
      <x:c r="G562" s="6" t="str">
        <x:v>HELPER_OR_SERVICE_AUTHORIZATION_REQUIRES_REVIEW</x:v>
      </x:c>
      <x:c r="H562" s="6" t="str">
        <x:v>LIVE_ROUTER_REGISTERED</x:v>
      </x:c>
      <x:c r="I562" s="6" t="str">
        <x:v>frontend/src/features/owner-capability/api.ts</x:v>
      </x:c>
      <x:c r="J562" s="6" t="str">
        <x:v>NOT_EXECUTED_BY_INVENTORY. SOURCE_LITERAL_OR_TRANSITIVE_HELPER_UNION</x:v>
      </x:c>
    </x:row>
    <x:row r="563" ht="42" customHeight="1">
      <x:c r="A563" s="15" t="str">
        <x:v>API-359</x:v>
      </x:c>
      <x:c r="B563" s="13" t="str">
        <x:v>GET</x:v>
      </x:c>
      <x:c r="C563" s="13" t="str">
        <x:v>/api/v1/owner-capability/projects/{project_id}/current-readiness</x:v>
      </x:c>
      <x:c r="D563" s="13" t="str">
        <x:v>READ-ONLY SHARED CONTEXT</x:v>
      </x:c>
      <x:c r="E563" s="13" t="str">
        <x:v>owner_capability</x:v>
      </x:c>
      <x:c r="F563" s="13" t="str">
        <x:v>current</x:v>
      </x:c>
      <x:c r="G563" s="13" t="str">
        <x:v>HELPER_OR_SERVICE_AUTHORIZATION_REQUIRES_REVIEW</x:v>
      </x:c>
      <x:c r="H563" s="13" t="str">
        <x:v>LIVE_ROUTER_REGISTERED</x:v>
      </x:c>
      <x:c r="I563" s="13" t="str">
        <x:v>frontend/src/features/owner-capability/api.ts</x:v>
      </x:c>
      <x:c r="J563" s="13" t="str">
        <x:v>NOT_EXECUTED_BY_INVENTORY. SOURCE_LITERAL_OR_TRANSITIVE_HELPER_UNION</x:v>
      </x:c>
    </x:row>
    <x:row r="564" ht="42" customHeight="1">
      <x:c r="A564" s="14" t="str">
        <x:v>API-360</x:v>
      </x:c>
      <x:c r="B564" s="6" t="str">
        <x:v>GET</x:v>
      </x:c>
      <x:c r="C564" s="6" t="str">
        <x:v>/api/v1/owner-capability/projects/{project_id}/provider-evidence</x:v>
      </x:c>
      <x:c r="D564" s="6" t="str">
        <x:v>READ-ONLY SHARED CONTEXT</x:v>
      </x:c>
      <x:c r="E564" s="6" t="str">
        <x:v>owner_capability</x:v>
      </x:c>
      <x:c r="F564" s="6" t="str">
        <x:v>evidence</x:v>
      </x:c>
      <x:c r="G564" s="6" t="str">
        <x:v>HELPER_OR_SERVICE_AUTHORIZATION_REQUIRES_REVIEW</x:v>
      </x:c>
      <x:c r="H564" s="6" t="str">
        <x:v>LIVE_ROUTER_REGISTERED</x:v>
      </x:c>
      <x:c r="I564" s="6" t="str">
        <x:v>NO_DIRECT_LITERAL_MATCH_NOT_PROOF_UNUSED</x:v>
      </x:c>
      <x:c r="J564" s="6" t="str">
        <x:v>NOT_EXECUTED_BY_INVENTORY. SOURCE_LITERAL_OR_TRANSITIVE_HELPER_UNION</x:v>
      </x:c>
    </x:row>
    <x:row r="565" ht="42" customHeight="1">
      <x:c r="A565" s="15" t="str">
        <x:v>API-361</x:v>
      </x:c>
      <x:c r="B565" s="13" t="str">
        <x:v>GET</x:v>
      </x:c>
      <x:c r="C565" s="13" t="str">
        <x:v>/api/v1/owner-capability/projects/{project_id}/requirements</x:v>
      </x:c>
      <x:c r="D565" s="13" t="str">
        <x:v>READ-ONLY SHARED CONTEXT</x:v>
      </x:c>
      <x:c r="E565" s="13" t="str">
        <x:v>owner_capability</x:v>
      </x:c>
      <x:c r="F565" s="13" t="str">
        <x:v>requirements</x:v>
      </x:c>
      <x:c r="G565" s="13" t="str">
        <x:v>HELPER_OR_SERVICE_AUTHORIZATION_REQUIRES_REVIEW</x:v>
      </x:c>
      <x:c r="H565" s="13" t="str">
        <x:v>LIVE_ROUTER_REGISTERED</x:v>
      </x:c>
      <x:c r="I565" s="13" t="str">
        <x:v>frontend/src/features/owner-capability/api.ts</x:v>
      </x:c>
      <x:c r="J565" s="13" t="str">
        <x:v>NOT_EXECUTED_BY_INVENTORY. SOURCE_LITERAL_OR_TRANSITIVE_HELPER_UNION</x:v>
      </x:c>
    </x:row>
    <x:row r="566" ht="42" customHeight="1">
      <x:c r="A566" s="14" t="str">
        <x:v>API-362</x:v>
      </x:c>
      <x:c r="B566" s="6" t="str">
        <x:v>PUT</x:v>
      </x:c>
      <x:c r="C566" s="6" t="str">
        <x:v>/api/v1/permit-conditions/{condition_id}</x:v>
      </x:c>
      <x:c r="D566" s="6" t="str">
        <x:v>USER MODE</x:v>
      </x:c>
      <x:c r="E566" s="6" t="str">
        <x:v>permit_readiness</x:v>
      </x:c>
      <x:c r="F566" s="6" t="str">
        <x:v>update condition</x:v>
      </x:c>
      <x:c r="G566" s="6" t="str">
        <x:v>permit.condition.manage</x:v>
      </x:c>
      <x:c r="H566" s="6" t="str">
        <x:v>LIVE_ROUTER_REGISTERED</x:v>
      </x:c>
      <x:c r="I566" s="6" t="str">
        <x:v>NO_DIRECT_LITERAL_MATCH_NOT_PROOF_UNUSED</x:v>
      </x:c>
      <x:c r="J566" s="6" t="str">
        <x:v>NOT_EXECUTED_BY_INVENTORY. SOURCE_LITERAL_OR_TRANSITIVE_HELPER_UNION</x:v>
      </x:c>
    </x:row>
    <x:row r="567" ht="42" customHeight="1">
      <x:c r="A567" s="15" t="str">
        <x:v>API-363</x:v>
      </x:c>
      <x:c r="B567" s="13" t="str">
        <x:v>GET</x:v>
      </x:c>
      <x:c r="C567" s="13" t="str">
        <x:v>/api/v1/permit-readiness-assessments/{assessment_id}</x:v>
      </x:c>
      <x:c r="D567" s="13" t="str">
        <x:v>READ-ONLY SHARED CONTEXT</x:v>
      </x:c>
      <x:c r="E567" s="13" t="str">
        <x:v>permit_readiness</x:v>
      </x:c>
      <x:c r="F567" s="13" t="str">
        <x:v>assessment</x:v>
      </x:c>
      <x:c r="G567" s="13" t="str">
        <x:v>permit_readiness.read</x:v>
      </x:c>
      <x:c r="H567" s="13" t="str">
        <x:v>LIVE_ROUTER_REGISTERED</x:v>
      </x:c>
      <x:c r="I567" s="13" t="str">
        <x:v>NO_DIRECT_LITERAL_MATCH_NOT_PROOF_UNUSED</x:v>
      </x:c>
      <x:c r="J567" s="13" t="str">
        <x:v>NOT_EXECUTED_BY_INVENTORY. SOURCE_LITERAL_OR_TRANSITIVE_HELPER_UNION</x:v>
      </x:c>
    </x:row>
    <x:row r="568" ht="42" customHeight="1">
      <x:c r="A568" s="14" t="str">
        <x:v>API-364</x:v>
      </x:c>
      <x:c r="B568" s="6" t="str">
        <x:v>PUT</x:v>
      </x:c>
      <x:c r="C568" s="6" t="str">
        <x:v>/api/v1/permit-readiness-assessments/{assessment_id}</x:v>
      </x:c>
      <x:c r="D568" s="6" t="str">
        <x:v>USER MODE</x:v>
      </x:c>
      <x:c r="E568" s="6" t="str">
        <x:v>permit_readiness</x:v>
      </x:c>
      <x:c r="F568" s="6" t="str">
        <x:v>update assessment</x:v>
      </x:c>
      <x:c r="G568" s="6" t="str">
        <x:v>permit_readiness.edit</x:v>
      </x:c>
      <x:c r="H568" s="6" t="str">
        <x:v>LIVE_ROUTER_REGISTERED</x:v>
      </x:c>
      <x:c r="I568" s="6" t="str">
        <x:v>NO_DIRECT_LITERAL_MATCH_NOT_PROOF_UNUSED</x:v>
      </x:c>
      <x:c r="J568" s="6" t="str">
        <x:v>NOT_EXECUTED_BY_INVENTORY. SOURCE_LITERAL_OR_TRANSITIVE_HELPER_UNION</x:v>
      </x:c>
    </x:row>
    <x:row r="569" ht="42" customHeight="1">
      <x:c r="A569" s="15" t="str">
        <x:v>API-365</x:v>
      </x:c>
      <x:c r="B569" s="13" t="str">
        <x:v>POST</x:v>
      </x:c>
      <x:c r="C569" s="13" t="str">
        <x:v>/api/v1/permit-readiness-assessments/{assessment_id}/complete</x:v>
      </x:c>
      <x:c r="D569" s="13" t="str">
        <x:v>USER MODE</x:v>
      </x:c>
      <x:c r="E569" s="13" t="str">
        <x:v>permit_readiness</x:v>
      </x:c>
      <x:c r="F569" s="13" t="str">
        <x:v>complete assessment</x:v>
      </x:c>
      <x:c r="G569" s="13" t="str">
        <x:v>permit_readiness.complete</x:v>
      </x:c>
      <x:c r="H569" s="13" t="str">
        <x:v>LIVE_ROUTER_REGISTERED</x:v>
      </x:c>
      <x:c r="I569" s="13" t="str">
        <x:v>frontend/src/features/permit-readiness/api.ts</x:v>
      </x:c>
      <x:c r="J569" s="13" t="str">
        <x:v>NOT_EXECUTED_BY_INVENTORY. SOURCE_LITERAL_OR_TRANSITIVE_HELPER_UNION</x:v>
      </x:c>
    </x:row>
    <x:row r="570" ht="42" customHeight="1">
      <x:c r="A570" s="14" t="str">
        <x:v>API-366</x:v>
      </x:c>
      <x:c r="B570" s="6" t="str">
        <x:v>POST</x:v>
      </x:c>
      <x:c r="C570" s="6" t="str">
        <x:v>/api/v1/permit-readiness-assessments/{assessment_id}/reassess</x:v>
      </x:c>
      <x:c r="D570" s="6" t="str">
        <x:v>USER MODE</x:v>
      </x:c>
      <x:c r="E570" s="6" t="str">
        <x:v>permit_readiness</x:v>
      </x:c>
      <x:c r="F570" s="6" t="str">
        <x:v>reassess</x:v>
      </x:c>
      <x:c r="G570" s="6" t="str">
        <x:v>permit_readiness.reassess</x:v>
      </x:c>
      <x:c r="H570" s="6" t="str">
        <x:v>LIVE_ROUTER_REGISTERED</x:v>
      </x:c>
      <x:c r="I570" s="6" t="str">
        <x:v>NO_DIRECT_LITERAL_MATCH_NOT_PROOF_UNUSED</x:v>
      </x:c>
      <x:c r="J570" s="6" t="str">
        <x:v>NOT_EXECUTED_BY_INVENTORY. SOURCE_LITERAL_OR_TRANSITIVE_HELPER_UNION</x:v>
      </x:c>
    </x:row>
    <x:row r="571" ht="42" customHeight="1">
      <x:c r="A571" s="15" t="str">
        <x:v>API-367</x:v>
      </x:c>
      <x:c r="B571" s="13" t="str">
        <x:v>GET</x:v>
      </x:c>
      <x:c r="C571" s="13" t="str">
        <x:v>/api/v1/permit-readiness/admin/configurations</x:v>
      </x:c>
      <x:c r="D571" s="13" t="str">
        <x:v>ADMIN MODE</x:v>
      </x:c>
      <x:c r="E571" s="13" t="str">
        <x:v>permit_readiness</x:v>
      </x:c>
      <x:c r="F571" s="13" t="str">
        <x:v>configurations</x:v>
      </x:c>
      <x:c r="G571" s="13" t="str">
        <x:v>permit_readiness.admin.configure</x:v>
      </x:c>
      <x:c r="H571" s="13" t="str">
        <x:v>LIVE_ROUTER_REGISTERED</x:v>
      </x:c>
      <x:c r="I571" s="13" t="str">
        <x:v>frontend/src/features/permit-readiness/api.ts</x:v>
      </x:c>
      <x:c r="J571" s="13" t="str">
        <x:v>NOT_EXECUTED_BY_INVENTORY. SOURCE_LITERAL_OR_TRANSITIVE_HELPER_UNION</x:v>
      </x:c>
    </x:row>
    <x:row r="572" ht="42" customHeight="1">
      <x:c r="A572" s="14" t="str">
        <x:v>API-368</x:v>
      </x:c>
      <x:c r="B572" s="6" t="str">
        <x:v>POST</x:v>
      </x:c>
      <x:c r="C572" s="6" t="str">
        <x:v>/api/v1/permit-readiness/admin/configurations/preview</x:v>
      </x:c>
      <x:c r="D572" s="6" t="str">
        <x:v>ADMIN MODE</x:v>
      </x:c>
      <x:c r="E572" s="6" t="str">
        <x:v>permit_readiness</x:v>
      </x:c>
      <x:c r="F572" s="6" t="str">
        <x:v>preview configuration</x:v>
      </x:c>
      <x:c r="G572" s="6" t="str">
        <x:v>permit_readiness.admin.configure</x:v>
      </x:c>
      <x:c r="H572" s="6" t="str">
        <x:v>LIVE_ROUTER_REGISTERED</x:v>
      </x:c>
      <x:c r="I572" s="6" t="str">
        <x:v>frontend/src/features/permit-readiness/api.ts</x:v>
      </x:c>
      <x:c r="J572" s="6" t="str">
        <x:v>NOT_EXECUTED_BY_INVENTORY. SOURCE_LITERAL_OR_TRANSITIVE_HELPER_UNION</x:v>
      </x:c>
    </x:row>
    <x:row r="573" ht="42" customHeight="1">
      <x:c r="A573" s="15" t="str">
        <x:v>API-369</x:v>
      </x:c>
      <x:c r="B573" s="13" t="str">
        <x:v>PUT</x:v>
      </x:c>
      <x:c r="C573" s="13" t="str">
        <x:v>/api/v1/permit-readiness/admin/configurations/{configuration_id}</x:v>
      </x:c>
      <x:c r="D573" s="13" t="str">
        <x:v>ADMIN MODE</x:v>
      </x:c>
      <x:c r="E573" s="13" t="str">
        <x:v>permit_readiness</x:v>
      </x:c>
      <x:c r="F573" s="13" t="str">
        <x:v>update configuration</x:v>
      </x:c>
      <x:c r="G573" s="13" t="str">
        <x:v>permit_readiness.admin.configure</x:v>
      </x:c>
      <x:c r="H573" s="13" t="str">
        <x:v>LIVE_ROUTER_REGISTERED</x:v>
      </x:c>
      <x:c r="I573" s="13" t="str">
        <x:v>frontend/src/features/permit-readiness/api.ts</x:v>
      </x:c>
      <x:c r="J573" s="13" t="str">
        <x:v>NOT_EXECUTED_BY_INVENTORY. SOURCE_LITERAL_OR_TRANSITIVE_HELPER_UNION</x:v>
      </x:c>
    </x:row>
    <x:row r="574" ht="42" customHeight="1">
      <x:c r="A574" s="14" t="str">
        <x:v>API-370</x:v>
      </x:c>
      <x:c r="B574" s="6" t="str">
        <x:v>POST</x:v>
      </x:c>
      <x:c r="C574" s="6" t="str">
        <x:v>/api/v1/permit-readiness/admin/configurations/{configuration_id}/clone</x:v>
      </x:c>
      <x:c r="D574" s="6" t="str">
        <x:v>ADMIN MODE</x:v>
      </x:c>
      <x:c r="E574" s="6" t="str">
        <x:v>permit_readiness</x:v>
      </x:c>
      <x:c r="F574" s="6" t="str">
        <x:v>clone configuration</x:v>
      </x:c>
      <x:c r="G574" s="6" t="str">
        <x:v>permit_readiness.admin.configure</x:v>
      </x:c>
      <x:c r="H574" s="6" t="str">
        <x:v>LIVE_ROUTER_REGISTERED</x:v>
      </x:c>
      <x:c r="I574" s="6" t="str">
        <x:v>frontend/src/features/permit-readiness/api.ts</x:v>
      </x:c>
      <x:c r="J574" s="6" t="str">
        <x:v>NOT_EXECUTED_BY_INVENTORY. SOURCE_LITERAL_OR_TRANSITIVE_HELPER_UNION</x:v>
      </x:c>
    </x:row>
    <x:row r="575" ht="42" customHeight="1">
      <x:c r="A575" s="15" t="str">
        <x:v>API-371</x:v>
      </x:c>
      <x:c r="B575" s="13" t="str">
        <x:v>POST</x:v>
      </x:c>
      <x:c r="C575" s="13" t="str">
        <x:v>/api/v1/permit-readiness/admin/configurations/{configuration_id}/publish</x:v>
      </x:c>
      <x:c r="D575" s="13" t="str">
        <x:v>ADMIN MODE</x:v>
      </x:c>
      <x:c r="E575" s="13" t="str">
        <x:v>permit_readiness</x:v>
      </x:c>
      <x:c r="F575" s="13" t="str">
        <x:v>publish configuration</x:v>
      </x:c>
      <x:c r="G575" s="13" t="str">
        <x:v>permit_readiness.admin.publish</x:v>
      </x:c>
      <x:c r="H575" s="13" t="str">
        <x:v>LIVE_ROUTER_REGISTERED</x:v>
      </x:c>
      <x:c r="I575" s="13" t="str">
        <x:v>frontend/src/features/permit-readiness/api.ts</x:v>
      </x:c>
      <x:c r="J575" s="13" t="str">
        <x:v>NOT_EXECUTED_BY_INVENTORY. SOURCE_LITERAL_OR_TRANSITIVE_HELPER_UNION</x:v>
      </x:c>
    </x:row>
    <x:row r="576" ht="42" customHeight="1">
      <x:c r="A576" s="14" t="str">
        <x:v>API-372</x:v>
      </x:c>
      <x:c r="B576" s="6" t="str">
        <x:v>GET</x:v>
      </x:c>
      <x:c r="C576" s="6" t="str">
        <x:v>/api/v1/permit-readiness/overview</x:v>
      </x:c>
      <x:c r="D576" s="6" t="str">
        <x:v>READ-ONLY SHARED CONTEXT</x:v>
      </x:c>
      <x:c r="E576" s="6" t="str">
        <x:v>permit_readiness</x:v>
      </x:c>
      <x:c r="F576" s="6" t="str">
        <x:v>overview</x:v>
      </x:c>
      <x:c r="G576" s="6" t="str">
        <x:v>permit_readiness.read</x:v>
      </x:c>
      <x:c r="H576" s="6" t="str">
        <x:v>LIVE_ROUTER_REGISTERED</x:v>
      </x:c>
      <x:c r="I576" s="6" t="str">
        <x:v>frontend/src/features/permit-readiness/api.ts</x:v>
      </x:c>
      <x:c r="J576" s="6" t="str">
        <x:v>NOT_EXECUTED_BY_INVENTORY. SOURCE_LITERAL_OR_TRANSITIVE_HELPER_UNION</x:v>
      </x:c>
    </x:row>
    <x:row r="577" ht="42" customHeight="1">
      <x:c r="A577" s="15" t="str">
        <x:v>API-373</x:v>
      </x:c>
      <x:c r="B577" s="13" t="str">
        <x:v>GET</x:v>
      </x:c>
      <x:c r="C577" s="13" t="str">
        <x:v>/api/v1/permits/{permit_id}</x:v>
      </x:c>
      <x:c r="D577" s="13" t="str">
        <x:v>READ-ONLY SHARED CONTEXT</x:v>
      </x:c>
      <x:c r="E577" s="13" t="str">
        <x:v>permit_readiness</x:v>
      </x:c>
      <x:c r="F577" s="13" t="str">
        <x:v>permit</x:v>
      </x:c>
      <x:c r="G577" s="13" t="str">
        <x:v>permit.read</x:v>
      </x:c>
      <x:c r="H577" s="13" t="str">
        <x:v>LIVE_ROUTER_REGISTERED</x:v>
      </x:c>
      <x:c r="I577" s="13" t="str">
        <x:v>NO_DIRECT_LITERAL_MATCH_NOT_PROOF_UNUSED</x:v>
      </x:c>
      <x:c r="J577" s="13" t="str">
        <x:v>NOT_EXECUTED_BY_INVENTORY. SOURCE_LITERAL_OR_TRANSITIVE_HELPER_UNION</x:v>
      </x:c>
    </x:row>
    <x:row r="578" ht="42" customHeight="1">
      <x:c r="A578" s="14" t="str">
        <x:v>API-374</x:v>
      </x:c>
      <x:c r="B578" s="6" t="str">
        <x:v>PUT</x:v>
      </x:c>
      <x:c r="C578" s="6" t="str">
        <x:v>/api/v1/permits/{permit_id}</x:v>
      </x:c>
      <x:c r="D578" s="6" t="str">
        <x:v>USER MODE</x:v>
      </x:c>
      <x:c r="E578" s="6" t="str">
        <x:v>permit_readiness</x:v>
      </x:c>
      <x:c r="F578" s="6" t="str">
        <x:v>update permit</x:v>
      </x:c>
      <x:c r="G578" s="6" t="str">
        <x:v>permit.edit</x:v>
      </x:c>
      <x:c r="H578" s="6" t="str">
        <x:v>LIVE_ROUTER_REGISTERED</x:v>
      </x:c>
      <x:c r="I578" s="6" t="str">
        <x:v>NO_DIRECT_LITERAL_MATCH_NOT_PROOF_UNUSED</x:v>
      </x:c>
      <x:c r="J578" s="6" t="str">
        <x:v>NOT_EXECUTED_BY_INVENTORY. SOURCE_LITERAL_OR_TRANSITIVE_HELPER_UNION</x:v>
      </x:c>
    </x:row>
    <x:row r="579" ht="42" customHeight="1">
      <x:c r="A579" s="15" t="str">
        <x:v>API-375</x:v>
      </x:c>
      <x:c r="B579" s="13" t="str">
        <x:v>GET</x:v>
      </x:c>
      <x:c r="C579" s="13" t="str">
        <x:v>/api/v1/permits/{permit_id}/conditions</x:v>
      </x:c>
      <x:c r="D579" s="13" t="str">
        <x:v>READ-ONLY SHARED CONTEXT</x:v>
      </x:c>
      <x:c r="E579" s="13" t="str">
        <x:v>permit_readiness</x:v>
      </x:c>
      <x:c r="F579" s="13" t="str">
        <x:v>conditions</x:v>
      </x:c>
      <x:c r="G579" s="13" t="str">
        <x:v>permit.read</x:v>
      </x:c>
      <x:c r="H579" s="13" t="str">
        <x:v>LIVE_ROUTER_REGISTERED</x:v>
      </x:c>
      <x:c r="I579" s="13" t="str">
        <x:v>frontend/src/features/permit-readiness/api.ts</x:v>
      </x:c>
      <x:c r="J579" s="13" t="str">
        <x:v>NOT_EXECUTED_BY_INVENTORY. SOURCE_LITERAL_OR_TRANSITIVE_HELPER_UNION</x:v>
      </x:c>
    </x:row>
    <x:row r="580" ht="42" customHeight="1">
      <x:c r="A580" s="14" t="str">
        <x:v>API-376</x:v>
      </x:c>
      <x:c r="B580" s="6" t="str">
        <x:v>POST</x:v>
      </x:c>
      <x:c r="C580" s="6" t="str">
        <x:v>/api/v1/permits/{permit_id}/conditions</x:v>
      </x:c>
      <x:c r="D580" s="6" t="str">
        <x:v>USER MODE</x:v>
      </x:c>
      <x:c r="E580" s="6" t="str">
        <x:v>permit_readiness</x:v>
      </x:c>
      <x:c r="F580" s="6" t="str">
        <x:v>create condition</x:v>
      </x:c>
      <x:c r="G580" s="6" t="str">
        <x:v>permit.condition.manage</x:v>
      </x:c>
      <x:c r="H580" s="6" t="str">
        <x:v>LIVE_ROUTER_REGISTERED</x:v>
      </x:c>
      <x:c r="I580" s="6" t="str">
        <x:v>frontend/src/features/permit-readiness/api.ts</x:v>
      </x:c>
      <x:c r="J580" s="6" t="str">
        <x:v>NOT_EXECUTED_BY_INVENTORY. SOURCE_LITERAL_OR_TRANSITIVE_HELPER_UNION</x:v>
      </x:c>
    </x:row>
    <x:row r="581" ht="42" customHeight="1">
      <x:c r="A581" s="15" t="str">
        <x:v>API-377</x:v>
      </x:c>
      <x:c r="B581" s="13" t="str">
        <x:v>POST</x:v>
      </x:c>
      <x:c r="C581" s="13" t="str">
        <x:v>/api/v1/permits/{permit_id}/status</x:v>
      </x:c>
      <x:c r="D581" s="13" t="str">
        <x:v>USER MODE</x:v>
      </x:c>
      <x:c r="E581" s="13" t="str">
        <x:v>permit_readiness</x:v>
      </x:c>
      <x:c r="F581" s="13" t="str">
        <x:v>change permit status</x:v>
      </x:c>
      <x:c r="G581" s="13" t="str">
        <x:v>permit.status.manage</x:v>
      </x:c>
      <x:c r="H581" s="13" t="str">
        <x:v>LIVE_ROUTER_REGISTERED</x:v>
      </x:c>
      <x:c r="I581" s="13" t="str">
        <x:v>frontend/src/features/permit-readiness/api.ts</x:v>
      </x:c>
      <x:c r="J581" s="13" t="str">
        <x:v>NOT_EXECUTED_BY_INVENTORY. SOURCE_LITERAL_OR_TRANSITIVE_HELPER_UNION</x:v>
      </x:c>
    </x:row>
    <x:row r="582" ht="42" customHeight="1">
      <x:c r="A582" s="14" t="str">
        <x:v>API-378</x:v>
      </x:c>
      <x:c r="B582" s="6" t="str">
        <x:v>GET</x:v>
      </x:c>
      <x:c r="C582" s="6" t="str">
        <x:v>/api/v1/portfolios/{portfolio_id}/investment-gate-permit-evidence</x:v>
      </x:c>
      <x:c r="D582" s="6" t="str">
        <x:v>READ-ONLY SHARED CONTEXT</x:v>
      </x:c>
      <x:c r="E582" s="6" t="str">
        <x:v>permit_readiness</x:v>
      </x:c>
      <x:c r="F582" s="6" t="str">
        <x:v>portfolio investment gate evidence</x:v>
      </x:c>
      <x:c r="G582" s="6" t="str">
        <x:v>investment_gate_permit_evidence.read</x:v>
      </x:c>
      <x:c r="H582" s="6" t="str">
        <x:v>LIVE_ROUTER_REGISTERED</x:v>
      </x:c>
      <x:c r="I582" s="6" t="str">
        <x:v>frontend/src/features/permit-readiness/api.ts</x:v>
      </x:c>
      <x:c r="J582" s="6" t="str">
        <x:v>NOT_EXECUTED_BY_INVENTORY. SOURCE_LITERAL_OR_TRANSITIVE_HELPER_UNION</x:v>
      </x:c>
    </x:row>
    <x:row r="583" ht="42" customHeight="1">
      <x:c r="A583" s="15" t="str">
        <x:v>API-379</x:v>
      </x:c>
      <x:c r="B583" s="13" t="str">
        <x:v>GET</x:v>
      </x:c>
      <x:c r="C583" s="13" t="str">
        <x:v>/api/v1/portfolios/{portfolio_id}/permit-readiness</x:v>
      </x:c>
      <x:c r="D583" s="13" t="str">
        <x:v>READ-ONLY SHARED CONTEXT</x:v>
      </x:c>
      <x:c r="E583" s="13" t="str">
        <x:v>permit_readiness</x:v>
      </x:c>
      <x:c r="F583" s="13" t="str">
        <x:v>portfolio readiness</x:v>
      </x:c>
      <x:c r="G583" s="13" t="str">
        <x:v>permit_readiness.read</x:v>
      </x:c>
      <x:c r="H583" s="13" t="str">
        <x:v>LIVE_ROUTER_REGISTERED</x:v>
      </x:c>
      <x:c r="I583" s="13" t="str">
        <x:v>frontend/src/features/permit-readiness/api.ts</x:v>
      </x:c>
      <x:c r="J583" s="13" t="str">
        <x:v>NOT_EXECUTED_BY_INVENTORY. SOURCE_LITERAL_OR_TRANSITIVE_HELPER_UNION</x:v>
      </x:c>
    </x:row>
    <x:row r="584" ht="42" customHeight="1">
      <x:c r="A584" s="14" t="str">
        <x:v>API-380</x:v>
      </x:c>
      <x:c r="B584" s="6" t="str">
        <x:v>GET</x:v>
      </x:c>
      <x:c r="C584" s="6" t="str">
        <x:v>/api/v1/portfolios/{portfolio_id}/projects-permit-readiness</x:v>
      </x:c>
      <x:c r="D584" s="6" t="str">
        <x:v>READ-ONLY SHARED CONTEXT</x:v>
      </x:c>
      <x:c r="E584" s="6" t="str">
        <x:v>permit_readiness</x:v>
      </x:c>
      <x:c r="F584" s="6" t="str">
        <x:v>portfolio projects</x:v>
      </x:c>
      <x:c r="G584" s="6" t="str">
        <x:v>permit_readiness.read</x:v>
      </x:c>
      <x:c r="H584" s="6" t="str">
        <x:v>LIVE_ROUTER_REGISTERED</x:v>
      </x:c>
      <x:c r="I584" s="6" t="str">
        <x:v>NO_DIRECT_LITERAL_MATCH_NOT_PROOF_UNUSED</x:v>
      </x:c>
      <x:c r="J584" s="6" t="str">
        <x:v>NOT_EXECUTED_BY_INVENTORY. SOURCE_LITERAL_OR_TRANSITIVE_HELPER_UNION</x:v>
      </x:c>
    </x:row>
    <x:row r="585" ht="42" customHeight="1">
      <x:c r="A585" s="15" t="str">
        <x:v>API-381</x:v>
      </x:c>
      <x:c r="B585" s="13" t="str">
        <x:v>GET</x:v>
      </x:c>
      <x:c r="C585" s="13" t="str">
        <x:v>/api/v1/projects/{project_id}/investment-gate-permit-evidence</x:v>
      </x:c>
      <x:c r="D585" s="13" t="str">
        <x:v>READ-ONLY SHARED CONTEXT</x:v>
      </x:c>
      <x:c r="E585" s="13" t="str">
        <x:v>permit_readiness</x:v>
      </x:c>
      <x:c r="F585" s="13" t="str">
        <x:v>project investment gate evidence</x:v>
      </x:c>
      <x:c r="G585" s="13" t="str">
        <x:v>investment_gate_permit_evidence.read</x:v>
      </x:c>
      <x:c r="H585" s="13" t="str">
        <x:v>LIVE_ROUTER_REGISTERED</x:v>
      </x:c>
      <x:c r="I585" s="13" t="str">
        <x:v>NO_DIRECT_LITERAL_MATCH_NOT_PROOF_UNUSED</x:v>
      </x:c>
      <x:c r="J585" s="13" t="str">
        <x:v>NOT_EXECUTED_BY_INVENTORY. SOURCE_LITERAL_OR_TRANSITIVE_HELPER_UNION</x:v>
      </x:c>
    </x:row>
    <x:row r="586" ht="42" customHeight="1">
      <x:c r="A586" s="14" t="str">
        <x:v>API-382</x:v>
      </x:c>
      <x:c r="B586" s="6" t="str">
        <x:v>GET</x:v>
      </x:c>
      <x:c r="C586" s="6" t="str">
        <x:v>/api/v1/projects/{project_id}/permit-readiness</x:v>
      </x:c>
      <x:c r="D586" s="6" t="str">
        <x:v>READ-ONLY SHARED CONTEXT</x:v>
      </x:c>
      <x:c r="E586" s="6" t="str">
        <x:v>permit_readiness</x:v>
      </x:c>
      <x:c r="F586" s="6" t="str">
        <x:v>project readiness</x:v>
      </x:c>
      <x:c r="G586" s="6" t="str">
        <x:v>permit_readiness.read</x:v>
      </x:c>
      <x:c r="H586" s="6" t="str">
        <x:v>LIVE_ROUTER_REGISTERED</x:v>
      </x:c>
      <x:c r="I586" s="6" t="str">
        <x:v>frontend/src/features/permit-readiness/api.ts</x:v>
      </x:c>
      <x:c r="J586" s="6" t="str">
        <x:v>NOT_EXECUTED_BY_INVENTORY. SOURCE_LITERAL_OR_TRANSITIVE_HELPER_UNION</x:v>
      </x:c>
    </x:row>
    <x:row r="587" ht="42" customHeight="1">
      <x:c r="A587" s="15" t="str">
        <x:v>API-383</x:v>
      </x:c>
      <x:c r="B587" s="13" t="str">
        <x:v>GET</x:v>
      </x:c>
      <x:c r="C587" s="13" t="str">
        <x:v>/api/v1/projects/{project_id}/permit-readiness-assessments</x:v>
      </x:c>
      <x:c r="D587" s="13" t="str">
        <x:v>READ-ONLY SHARED CONTEXT</x:v>
      </x:c>
      <x:c r="E587" s="13" t="str">
        <x:v>permit_readiness</x:v>
      </x:c>
      <x:c r="F587" s="13" t="str">
        <x:v>assessments</x:v>
      </x:c>
      <x:c r="G587" s="13" t="str">
        <x:v>permit_readiness.read</x:v>
      </x:c>
      <x:c r="H587" s="13" t="str">
        <x:v>LIVE_ROUTER_REGISTERED</x:v>
      </x:c>
      <x:c r="I587" s="13" t="str">
        <x:v>frontend/src/features/permit-readiness/api.ts</x:v>
      </x:c>
      <x:c r="J587" s="13" t="str">
        <x:v>NOT_EXECUTED_BY_INVENTORY. SOURCE_LITERAL_OR_TRANSITIVE_HELPER_UNION</x:v>
      </x:c>
    </x:row>
    <x:row r="588" ht="42" customHeight="1">
      <x:c r="A588" s="14" t="str">
        <x:v>API-384</x:v>
      </x:c>
      <x:c r="B588" s="6" t="str">
        <x:v>POST</x:v>
      </x:c>
      <x:c r="C588" s="6" t="str">
        <x:v>/api/v1/projects/{project_id}/permit-readiness-assessments</x:v>
      </x:c>
      <x:c r="D588" s="6" t="str">
        <x:v>USER MODE</x:v>
      </x:c>
      <x:c r="E588" s="6" t="str">
        <x:v>permit_readiness</x:v>
      </x:c>
      <x:c r="F588" s="6" t="str">
        <x:v>create assessment</x:v>
      </x:c>
      <x:c r="G588" s="6" t="str">
        <x:v>permit_readiness.create</x:v>
      </x:c>
      <x:c r="H588" s="6" t="str">
        <x:v>LIVE_ROUTER_REGISTERED</x:v>
      </x:c>
      <x:c r="I588" s="6" t="str">
        <x:v>frontend/src/features/permit-readiness/api.ts</x:v>
      </x:c>
      <x:c r="J588" s="6" t="str">
        <x:v>NOT_EXECUTED_BY_INVENTORY. SOURCE_LITERAL_OR_TRANSITIVE_HELPER_UNION</x:v>
      </x:c>
    </x:row>
    <x:row r="589" ht="42" customHeight="1">
      <x:c r="A589" s="15" t="str">
        <x:v>API-385</x:v>
      </x:c>
      <x:c r="B589" s="13" t="str">
        <x:v>POST</x:v>
      </x:c>
      <x:c r="C589" s="13" t="str">
        <x:v>/api/v1/projects/{project_id}/permit-readiness/refresh</x:v>
      </x:c>
      <x:c r="D589" s="13" t="str">
        <x:v>USER MODE</x:v>
      </x:c>
      <x:c r="E589" s="13" t="str">
        <x:v>permit_readiness</x:v>
      </x:c>
      <x:c r="F589" s="13" t="str">
        <x:v>refresh apply</x:v>
      </x:c>
      <x:c r="G589" s="13" t="str">
        <x:v>permit_readiness.refresh</x:v>
      </x:c>
      <x:c r="H589" s="13" t="str">
        <x:v>LIVE_ROUTER_REGISTERED</x:v>
      </x:c>
      <x:c r="I589" s="13" t="str">
        <x:v>NO_DIRECT_LITERAL_MATCH_NOT_PROOF_UNUSED</x:v>
      </x:c>
      <x:c r="J589" s="13" t="str">
        <x:v>NOT_EXECUTED_BY_INVENTORY. SOURCE_LITERAL_OR_TRANSITIVE_HELPER_UNION</x:v>
      </x:c>
    </x:row>
    <x:row r="590" ht="42" customHeight="1">
      <x:c r="A590" s="14" t="str">
        <x:v>API-386</x:v>
      </x:c>
      <x:c r="B590" s="6" t="str">
        <x:v>GET</x:v>
      </x:c>
      <x:c r="C590" s="6" t="str">
        <x:v>/api/v1/projects/{project_id}/permit-readiness/refresh-preview</x:v>
      </x:c>
      <x:c r="D590" s="6" t="str">
        <x:v>READ-ONLY SHARED CONTEXT</x:v>
      </x:c>
      <x:c r="E590" s="6" t="str">
        <x:v>permit_readiness</x:v>
      </x:c>
      <x:c r="F590" s="6" t="str">
        <x:v>refresh preview</x:v>
      </x:c>
      <x:c r="G590" s="6" t="str">
        <x:v>permit_readiness.refresh</x:v>
      </x:c>
      <x:c r="H590" s="6" t="str">
        <x:v>LIVE_ROUTER_REGISTERED</x:v>
      </x:c>
      <x:c r="I590" s="6" t="str">
        <x:v>frontend/src/features/permit-readiness/api.ts</x:v>
      </x:c>
      <x:c r="J590" s="6" t="str">
        <x:v>NOT_EXECUTED_BY_INVENTORY. SOURCE_LITERAL_OR_TRANSITIVE_HELPER_UNION</x:v>
      </x:c>
    </x:row>
    <x:row r="591" ht="42" customHeight="1">
      <x:c r="A591" s="15" t="str">
        <x:v>API-387</x:v>
      </x:c>
      <x:c r="B591" s="13" t="str">
        <x:v>GET</x:v>
      </x:c>
      <x:c r="C591" s="13" t="str">
        <x:v>/api/v1/projects/{project_id}/permits</x:v>
      </x:c>
      <x:c r="D591" s="13" t="str">
        <x:v>READ-ONLY SHARED CONTEXT</x:v>
      </x:c>
      <x:c r="E591" s="13" t="str">
        <x:v>permit_readiness</x:v>
      </x:c>
      <x:c r="F591" s="13" t="str">
        <x:v>permits</x:v>
      </x:c>
      <x:c r="G591" s="13" t="str">
        <x:v>permit.read</x:v>
      </x:c>
      <x:c r="H591" s="13" t="str">
        <x:v>LIVE_ROUTER_REGISTERED</x:v>
      </x:c>
      <x:c r="I591" s="13" t="str">
        <x:v>frontend/src/features/permit-readiness/api.ts</x:v>
      </x:c>
      <x:c r="J591" s="13" t="str">
        <x:v>NOT_EXECUTED_BY_INVENTORY. SOURCE_LITERAL_OR_TRANSITIVE_HELPER_UNION</x:v>
      </x:c>
    </x:row>
    <x:row r="592" ht="42" customHeight="1">
      <x:c r="A592" s="14" t="str">
        <x:v>API-388</x:v>
      </x:c>
      <x:c r="B592" s="6" t="str">
        <x:v>POST</x:v>
      </x:c>
      <x:c r="C592" s="6" t="str">
        <x:v>/api/v1/projects/{project_id}/permits</x:v>
      </x:c>
      <x:c r="D592" s="6" t="str">
        <x:v>USER MODE</x:v>
      </x:c>
      <x:c r="E592" s="6" t="str">
        <x:v>permit_readiness</x:v>
      </x:c>
      <x:c r="F592" s="6" t="str">
        <x:v>create permit</x:v>
      </x:c>
      <x:c r="G592" s="6" t="str">
        <x:v>permit.create</x:v>
      </x:c>
      <x:c r="H592" s="6" t="str">
        <x:v>LIVE_ROUTER_REGISTERED</x:v>
      </x:c>
      <x:c r="I592" s="6" t="str">
        <x:v>frontend/src/features/permit-readiness/api.ts</x:v>
      </x:c>
      <x:c r="J592" s="6" t="str">
        <x:v>NOT_EXECUTED_BY_INVENTORY. SOURCE_LITERAL_OR_TRANSITIVE_HELPER_UNION</x:v>
      </x:c>
    </x:row>
    <x:row r="593" ht="42" customHeight="1">
      <x:c r="A593" s="15" t="str">
        <x:v>API-389</x:v>
      </x:c>
      <x:c r="B593" s="13" t="str">
        <x:v>GET</x:v>
      </x:c>
      <x:c r="C593" s="13" t="str">
        <x:v>/api/v1/physical-workspace-creation-requests</x:v>
      </x:c>
      <x:c r="D593" s="13" t="str">
        <x:v>READ-ONLY SHARED CONTEXT</x:v>
      </x:c>
      <x:c r="E593" s="13" t="str">
        <x:v>physical_workspace_creation</x:v>
      </x:c>
      <x:c r="F593" s="13" t="str">
        <x:v>list requests</x:v>
      </x:c>
      <x:c r="G593" s="13" t="str">
        <x:v>physical_workspace_creation.request.read</x:v>
      </x:c>
      <x:c r="H593" s="13" t="str">
        <x:v>LIVE_ROUTER_REGISTERED</x:v>
      </x:c>
      <x:c r="I593" s="13" t="str">
        <x:v>frontend/src/features/enterprise-structure/api/index.ts</x:v>
      </x:c>
      <x:c r="J593" s="13" t="str">
        <x:v>NOT_EXECUTED_BY_INVENTORY. SOURCE_LITERAL_OR_TRANSITIVE_HELPER_UNION</x:v>
      </x:c>
    </x:row>
    <x:row r="594" ht="42" customHeight="1">
      <x:c r="A594" s="14" t="str">
        <x:v>API-390</x:v>
      </x:c>
      <x:c r="B594" s="6" t="str">
        <x:v>POST</x:v>
      </x:c>
      <x:c r="C594" s="6" t="str">
        <x:v>/api/v1/physical-workspace-creation-requests</x:v>
      </x:c>
      <x:c r="D594" s="6" t="str">
        <x:v>USER MODE</x:v>
      </x:c>
      <x:c r="E594" s="6" t="str">
        <x:v>physical_workspace_creation</x:v>
      </x:c>
      <x:c r="F594" s="6" t="str">
        <x:v>create request</x:v>
      </x:c>
      <x:c r="G594" s="6" t="str">
        <x:v>physical_workspace_creation.request.create</x:v>
      </x:c>
      <x:c r="H594" s="6" t="str">
        <x:v>LIVE_ROUTER_REGISTERED</x:v>
      </x:c>
      <x:c r="I594" s="6" t="str">
        <x:v>frontend/src/features/enterprise-structure/api/index.ts</x:v>
      </x:c>
      <x:c r="J594" s="6" t="str">
        <x:v>NOT_EXECUTED_BY_INVENTORY. SOURCE_LITERAL_OR_TRANSITIVE_HELPER_UNION</x:v>
      </x:c>
    </x:row>
    <x:row r="595" ht="42" customHeight="1">
      <x:c r="A595" s="15" t="str">
        <x:v>API-391</x:v>
      </x:c>
      <x:c r="B595" s="13" t="str">
        <x:v>GET</x:v>
      </x:c>
      <x:c r="C595" s="13" t="str">
        <x:v>/api/v1/physical-workspace-creation-requests/options</x:v>
      </x:c>
      <x:c r="D595" s="13" t="str">
        <x:v>READ-ONLY SHARED CONTEXT</x:v>
      </x:c>
      <x:c r="E595" s="13" t="str">
        <x:v>physical_workspace_creation</x:v>
      </x:c>
      <x:c r="F595" s="13" t="str">
        <x:v>options</x:v>
      </x:c>
      <x:c r="G595" s="13" t="str">
        <x:v>physical_workspace_creation.request.create</x:v>
      </x:c>
      <x:c r="H595" s="13" t="str">
        <x:v>LIVE_ROUTER_REGISTERED</x:v>
      </x:c>
      <x:c r="I595" s="13" t="str">
        <x:v>frontend/src/features/enterprise-structure/api/index.ts</x:v>
      </x:c>
      <x:c r="J595" s="13" t="str">
        <x:v>NOT_EXECUTED_BY_INVENTORY. SOURCE_LITERAL_OR_TRANSITIVE_HELPER_UNION</x:v>
      </x:c>
    </x:row>
    <x:row r="596" ht="42" customHeight="1">
      <x:c r="A596" s="14" t="str">
        <x:v>API-392</x:v>
      </x:c>
      <x:c r="B596" s="6" t="str">
        <x:v>GET</x:v>
      </x:c>
      <x:c r="C596" s="6" t="str">
        <x:v>/api/v1/physical-workspace-creation-requests/{request_id}</x:v>
      </x:c>
      <x:c r="D596" s="6" t="str">
        <x:v>READ-ONLY SHARED CONTEXT</x:v>
      </x:c>
      <x:c r="E596" s="6" t="str">
        <x:v>physical_workspace_creation</x:v>
      </x:c>
      <x:c r="F596" s="6" t="str">
        <x:v>get request</x:v>
      </x:c>
      <x:c r="G596" s="6" t="str">
        <x:v>physical_workspace_creation.request.read</x:v>
      </x:c>
      <x:c r="H596" s="6" t="str">
        <x:v>LIVE_ROUTER_REGISTERED</x:v>
      </x:c>
      <x:c r="I596" s="6" t="str">
        <x:v>frontend/src/features/enterprise-structure/api/index.ts</x:v>
      </x:c>
      <x:c r="J596" s="6" t="str">
        <x:v>NOT_EXECUTED_BY_INVENTORY. SOURCE_LITERAL_OR_TRANSITIVE_HELPER_UNION</x:v>
      </x:c>
    </x:row>
    <x:row r="597" ht="42" customHeight="1">
      <x:c r="A597" s="15" t="str">
        <x:v>API-393</x:v>
      </x:c>
      <x:c r="B597" s="13" t="str">
        <x:v>PUT</x:v>
      </x:c>
      <x:c r="C597" s="13" t="str">
        <x:v>/api/v1/physical-workspace-creation-requests/{request_id}</x:v>
      </x:c>
      <x:c r="D597" s="13" t="str">
        <x:v>USER MODE</x:v>
      </x:c>
      <x:c r="E597" s="13" t="str">
        <x:v>physical_workspace_creation</x:v>
      </x:c>
      <x:c r="F597" s="13" t="str">
        <x:v>update request</x:v>
      </x:c>
      <x:c r="G597" s="13" t="str">
        <x:v>physical_workspace_creation.request.edit</x:v>
      </x:c>
      <x:c r="H597" s="13" t="str">
        <x:v>LIVE_ROUTER_REGISTERED</x:v>
      </x:c>
      <x:c r="I597" s="13" t="str">
        <x:v>frontend/src/features/enterprise-structure/api/index.ts</x:v>
      </x:c>
      <x:c r="J597" s="13" t="str">
        <x:v>NOT_EXECUTED_BY_INVENTORY. SOURCE_LITERAL_OR_TRANSITIVE_HELPER_UNION</x:v>
      </x:c>
    </x:row>
    <x:row r="598" ht="42" customHeight="1">
      <x:c r="A598" s="14" t="str">
        <x:v>API-394</x:v>
      </x:c>
      <x:c r="B598" s="6" t="str">
        <x:v>POST</x:v>
      </x:c>
      <x:c r="C598" s="6" t="str">
        <x:v>/api/v1/physical-workspace-creation-requests/{request_id}/approve</x:v>
      </x:c>
      <x:c r="D598" s="6" t="str">
        <x:v>USER MODE</x:v>
      </x:c>
      <x:c r="E598" s="6" t="str">
        <x:v>physical_workspace_creation</x:v>
      </x:c>
      <x:c r="F598" s="6" t="str">
        <x:v>approve request</x:v>
      </x:c>
      <x:c r="G598" s="6" t="str">
        <x:v>HELPER_OR_SERVICE_AUTHORIZATION_REQUIRES_REVIEW</x:v>
      </x:c>
      <x:c r="H598" s="6" t="str">
        <x:v>LIVE_ROUTER_REGISTERED</x:v>
      </x:c>
      <x:c r="I598" s="6" t="str">
        <x:v>NO_DIRECT_LITERAL_MATCH_NOT_PROOF_UNUSED</x:v>
      </x:c>
      <x:c r="J598" s="6" t="str">
        <x:v>NOT_EXECUTED_BY_INVENTORY. SOURCE_LITERAL_OR_TRANSITIVE_HELPER_UNION</x:v>
      </x:c>
    </x:row>
    <x:row r="599" ht="42" customHeight="1">
      <x:c r="A599" s="15" t="str">
        <x:v>API-395</x:v>
      </x:c>
      <x:c r="B599" s="13" t="str">
        <x:v>POST</x:v>
      </x:c>
      <x:c r="C599" s="13" t="str">
        <x:v>/api/v1/physical-workspace-creation-requests/{request_id}/cancel</x:v>
      </x:c>
      <x:c r="D599" s="13" t="str">
        <x:v>USER MODE</x:v>
      </x:c>
      <x:c r="E599" s="13" t="str">
        <x:v>physical_workspace_creation</x:v>
      </x:c>
      <x:c r="F599" s="13" t="str">
        <x:v>cancel request</x:v>
      </x:c>
      <x:c r="G599" s="13" t="str">
        <x:v>HELPER_OR_SERVICE_AUTHORIZATION_REQUIRES_REVIEW</x:v>
      </x:c>
      <x:c r="H599" s="13" t="str">
        <x:v>LIVE_ROUTER_REGISTERED</x:v>
      </x:c>
      <x:c r="I599" s="13" t="str">
        <x:v>NO_DIRECT_LITERAL_MATCH_NOT_PROOF_UNUSED</x:v>
      </x:c>
      <x:c r="J599" s="13" t="str">
        <x:v>NOT_EXECUTED_BY_INVENTORY. SOURCE_LITERAL_OR_TRANSITIVE_HELPER_UNION</x:v>
      </x:c>
    </x:row>
    <x:row r="600" ht="42" customHeight="1">
      <x:c r="A600" s="14" t="str">
        <x:v>API-396</x:v>
      </x:c>
      <x:c r="B600" s="6" t="str">
        <x:v>POST</x:v>
      </x:c>
      <x:c r="C600" s="6" t="str">
        <x:v>/api/v1/physical-workspace-creation-requests/{request_id}/materialize</x:v>
      </x:c>
      <x:c r="D600" s="6" t="str">
        <x:v>USER MODE</x:v>
      </x:c>
      <x:c r="E600" s="6" t="str">
        <x:v>physical_workspace_creation</x:v>
      </x:c>
      <x:c r="F600" s="6" t="str">
        <x:v>materialize request</x:v>
      </x:c>
      <x:c r="G600" s="6" t="str">
        <x:v>physical_workspace_creation.materialize</x:v>
      </x:c>
      <x:c r="H600" s="6" t="str">
        <x:v>LIVE_ROUTER_REGISTERED</x:v>
      </x:c>
      <x:c r="I600" s="6" t="str">
        <x:v>frontend/src/features/enterprise-structure/api/index.ts</x:v>
      </x:c>
      <x:c r="J600" s="6" t="str">
        <x:v>NOT_EXECUTED_BY_INVENTORY. SOURCE_LITERAL_OR_TRANSITIVE_HELPER_UNION</x:v>
      </x:c>
    </x:row>
    <x:row r="601" ht="42" customHeight="1">
      <x:c r="A601" s="15" t="str">
        <x:v>API-397</x:v>
      </x:c>
      <x:c r="B601" s="13" t="str">
        <x:v>POST</x:v>
      </x:c>
      <x:c r="C601" s="13" t="str">
        <x:v>/api/v1/physical-workspace-creation-requests/{request_id}/preview</x:v>
      </x:c>
      <x:c r="D601" s="13" t="str">
        <x:v>USER MODE</x:v>
      </x:c>
      <x:c r="E601" s="13" t="str">
        <x:v>physical_workspace_creation</x:v>
      </x:c>
      <x:c r="F601" s="13" t="str">
        <x:v>preview request</x:v>
      </x:c>
      <x:c r="G601" s="13" t="str">
        <x:v>physical_workspace_creation.request.read</x:v>
      </x:c>
      <x:c r="H601" s="13" t="str">
        <x:v>LIVE_ROUTER_REGISTERED</x:v>
      </x:c>
      <x:c r="I601" s="13" t="str">
        <x:v>frontend/src/features/enterprise-structure/api/index.ts</x:v>
      </x:c>
      <x:c r="J601" s="13" t="str">
        <x:v>NOT_EXECUTED_BY_INVENTORY. SOURCE_LITERAL_OR_TRANSITIVE_HELPER_UNION</x:v>
      </x:c>
    </x:row>
    <x:row r="602" ht="42" customHeight="1">
      <x:c r="A602" s="14" t="str">
        <x:v>API-398</x:v>
      </x:c>
      <x:c r="B602" s="6" t="str">
        <x:v>POST</x:v>
      </x:c>
      <x:c r="C602" s="6" t="str">
        <x:v>/api/v1/physical-workspace-creation-requests/{request_id}/reject</x:v>
      </x:c>
      <x:c r="D602" s="6" t="str">
        <x:v>USER MODE</x:v>
      </x:c>
      <x:c r="E602" s="6" t="str">
        <x:v>physical_workspace_creation</x:v>
      </x:c>
      <x:c r="F602" s="6" t="str">
        <x:v>reject request</x:v>
      </x:c>
      <x:c r="G602" s="6" t="str">
        <x:v>HELPER_OR_SERVICE_AUTHORIZATION_REQUIRES_REVIEW</x:v>
      </x:c>
      <x:c r="H602" s="6" t="str">
        <x:v>LIVE_ROUTER_REGISTERED</x:v>
      </x:c>
      <x:c r="I602" s="6" t="str">
        <x:v>NO_DIRECT_LITERAL_MATCH_NOT_PROOF_UNUSED</x:v>
      </x:c>
      <x:c r="J602" s="6" t="str">
        <x:v>NOT_EXECUTED_BY_INVENTORY. SOURCE_LITERAL_OR_TRANSITIVE_HELPER_UNION</x:v>
      </x:c>
    </x:row>
    <x:row r="603" ht="42" customHeight="1">
      <x:c r="A603" s="15" t="str">
        <x:v>API-399</x:v>
      </x:c>
      <x:c r="B603" s="13" t="str">
        <x:v>POST</x:v>
      </x:c>
      <x:c r="C603" s="13" t="str">
        <x:v>/api/v1/physical-workspace-creation-requests/{request_id}/return</x:v>
      </x:c>
      <x:c r="D603" s="13" t="str">
        <x:v>USER MODE</x:v>
      </x:c>
      <x:c r="E603" s="13" t="str">
        <x:v>physical_workspace_creation</x:v>
      </x:c>
      <x:c r="F603" s="13" t="str">
        <x:v>return request</x:v>
      </x:c>
      <x:c r="G603" s="13" t="str">
        <x:v>HELPER_OR_SERVICE_AUTHORIZATION_REQUIRES_REVIEW</x:v>
      </x:c>
      <x:c r="H603" s="13" t="str">
        <x:v>LIVE_ROUTER_REGISTERED</x:v>
      </x:c>
      <x:c r="I603" s="13" t="str">
        <x:v>NO_DIRECT_LITERAL_MATCH_NOT_PROOF_UNUSED</x:v>
      </x:c>
      <x:c r="J603" s="13" t="str">
        <x:v>NOT_EXECUTED_BY_INVENTORY. SOURCE_LITERAL_OR_TRANSITIVE_HELPER_UNION</x:v>
      </x:c>
    </x:row>
    <x:row r="604" ht="42" customHeight="1">
      <x:c r="A604" s="14" t="str">
        <x:v>API-400</x:v>
      </x:c>
      <x:c r="B604" s="6" t="str">
        <x:v>POST</x:v>
      </x:c>
      <x:c r="C604" s="6" t="str">
        <x:v>/api/v1/physical-workspace-creation-requests/{request_id}/start-review</x:v>
      </x:c>
      <x:c r="D604" s="6" t="str">
        <x:v>USER MODE</x:v>
      </x:c>
      <x:c r="E604" s="6" t="str">
        <x:v>physical_workspace_creation</x:v>
      </x:c>
      <x:c r="F604" s="6" t="str">
        <x:v>start review</x:v>
      </x:c>
      <x:c r="G604" s="6" t="str">
        <x:v>HELPER_OR_SERVICE_AUTHORIZATION_REQUIRES_REVIEW</x:v>
      </x:c>
      <x:c r="H604" s="6" t="str">
        <x:v>LIVE_ROUTER_REGISTERED</x:v>
      </x:c>
      <x:c r="I604" s="6" t="str">
        <x:v>NO_DIRECT_LITERAL_MATCH_NOT_PROOF_UNUSED</x:v>
      </x:c>
      <x:c r="J604" s="6" t="str">
        <x:v>NOT_EXECUTED_BY_INVENTORY. SOURCE_LITERAL_OR_TRANSITIVE_HELPER_UNION</x:v>
      </x:c>
    </x:row>
    <x:row r="605" ht="42" customHeight="1">
      <x:c r="A605" s="15" t="str">
        <x:v>API-401</x:v>
      </x:c>
      <x:c r="B605" s="13" t="str">
        <x:v>POST</x:v>
      </x:c>
      <x:c r="C605" s="13" t="str">
        <x:v>/api/v1/physical-workspace-creation-requests/{request_id}/submit</x:v>
      </x:c>
      <x:c r="D605" s="13" t="str">
        <x:v>USER MODE</x:v>
      </x:c>
      <x:c r="E605" s="13" t="str">
        <x:v>physical_workspace_creation</x:v>
      </x:c>
      <x:c r="F605" s="13" t="str">
        <x:v>submit request</x:v>
      </x:c>
      <x:c r="G605" s="13" t="str">
        <x:v>HELPER_OR_SERVICE_AUTHORIZATION_REQUIRES_REVIEW</x:v>
      </x:c>
      <x:c r="H605" s="13" t="str">
        <x:v>LIVE_ROUTER_REGISTERED</x:v>
      </x:c>
      <x:c r="I605" s="13" t="str">
        <x:v>NO_DIRECT_LITERAL_MATCH_NOT_PROOF_UNUSED</x:v>
      </x:c>
      <x:c r="J605" s="13" t="str">
        <x:v>NOT_EXECUTED_BY_INVENTORY. SOURCE_LITERAL_OR_TRANSITIVE_HELPER_UNION</x:v>
      </x:c>
    </x:row>
    <x:row r="606" ht="42" customHeight="1">
      <x:c r="A606" s="14" t="str">
        <x:v>API-402</x:v>
      </x:c>
      <x:c r="B606" s="6" t="str">
        <x:v>GET</x:v>
      </x:c>
      <x:c r="C606" s="6" t="str">
        <x:v>/api/v1/physical-workspaces/{workspace_id}/overview</x:v>
      </x:c>
      <x:c r="D606" s="6" t="str">
        <x:v>READ-ONLY SHARED CONTEXT</x:v>
      </x:c>
      <x:c r="E606" s="6" t="str">
        <x:v>physical_workspace_creation</x:v>
      </x:c>
      <x:c r="F606" s="6" t="str">
        <x:v>physical workspace overview</x:v>
      </x:c>
      <x:c r="G606" s="6" t="str">
        <x:v>enterprise_structure.read</x:v>
      </x:c>
      <x:c r="H606" s="6" t="str">
        <x:v>LIVE_ROUTER_REGISTERED</x:v>
      </x:c>
      <x:c r="I606" s="6" t="str">
        <x:v>frontend/src/features/enterprise-structure/api/index.ts</x:v>
      </x:c>
      <x:c r="J606" s="6" t="str">
        <x:v>NOT_EXECUTED_BY_INVENTORY. SOURCE_LITERAL_OR_TRANSITIVE_HELPER_UNION</x:v>
      </x:c>
    </x:row>
    <x:row r="607" ht="42" customHeight="1">
      <x:c r="A607" s="15" t="str">
        <x:v>API-403</x:v>
      </x:c>
      <x:c r="B607" s="13" t="str">
        <x:v>GET</x:v>
      </x:c>
      <x:c r="C607" s="13" t="str">
        <x:v>/api/v1/physical-workspaces</x:v>
      </x:c>
      <x:c r="D607" s="13" t="str">
        <x:v>READ-ONLY SHARED CONTEXT</x:v>
      </x:c>
      <x:c r="E607" s="13" t="str">
        <x:v>physical_workspace_initialization</x:v>
      </x:c>
      <x:c r="F607" s="13" t="str">
        <x:v>list physical workspaces</x:v>
      </x:c>
      <x:c r="G607" s="13" t="str">
        <x:v>physical_workspace.initialization.read</x:v>
      </x:c>
      <x:c r="H607" s="13" t="str">
        <x:v>LIVE_ROUTER_REGISTERED</x:v>
      </x:c>
      <x:c r="I607" s="13" t="str">
        <x:v>NO_DIRECT_LITERAL_MATCH_NOT_PROOF_UNUSED</x:v>
      </x:c>
      <x:c r="J607" s="13" t="str">
        <x:v>NOT_EXECUTED_BY_INVENTORY. SOURCE_LITERAL_OR_TRANSITIVE_HELPER_UNION</x:v>
      </x:c>
    </x:row>
    <x:row r="608" ht="42" customHeight="1">
      <x:c r="A608" s="14" t="str">
        <x:v>API-404</x:v>
      </x:c>
      <x:c r="B608" s="6" t="str">
        <x:v>POST</x:v>
      </x:c>
      <x:c r="C608" s="6" t="str">
        <x:v>/api/v1/physical-workspaces/{workspace_id}/activate</x:v>
      </x:c>
      <x:c r="D608" s="6" t="str">
        <x:v>USER MODE</x:v>
      </x:c>
      <x:c r="E608" s="6" t="str">
        <x:v>physical_workspace_initialization</x:v>
      </x:c>
      <x:c r="F608" s="6" t="str">
        <x:v>activate workspace</x:v>
      </x:c>
      <x:c r="G608" s="6" t="str">
        <x:v>physical_workspace.activation.execute</x:v>
      </x:c>
      <x:c r="H608" s="6" t="str">
        <x:v>LIVE_ROUTER_REGISTERED</x:v>
      </x:c>
      <x:c r="I608" s="6" t="str">
        <x:v>frontend/src/features/enterprise-structure/api/index.ts</x:v>
      </x:c>
      <x:c r="J608" s="6" t="str">
        <x:v>NOT_EXECUTED_BY_INVENTORY. SOURCE_LITERAL_OR_TRANSITIVE_HELPER_UNION</x:v>
      </x:c>
    </x:row>
    <x:row r="609" ht="42" customHeight="1">
      <x:c r="A609" s="15" t="str">
        <x:v>API-405</x:v>
      </x:c>
      <x:c r="B609" s="13" t="str">
        <x:v>GET</x:v>
      </x:c>
      <x:c r="C609" s="13" t="str">
        <x:v>/api/v1/physical-workspaces/{workspace_id}/initialization</x:v>
      </x:c>
      <x:c r="D609" s="13" t="str">
        <x:v>READ-ONLY SHARED CONTEXT</x:v>
      </x:c>
      <x:c r="E609" s="13" t="str">
        <x:v>physical_workspace_initialization</x:v>
      </x:c>
      <x:c r="F609" s="13" t="str">
        <x:v>get initialization</x:v>
      </x:c>
      <x:c r="G609" s="13" t="str">
        <x:v>physical_workspace.initialization.read</x:v>
      </x:c>
      <x:c r="H609" s="13" t="str">
        <x:v>LIVE_ROUTER_REGISTERED</x:v>
      </x:c>
      <x:c r="I609" s="13" t="str">
        <x:v>frontend/src/features/enterprise-structure/api/index.ts</x:v>
      </x:c>
      <x:c r="J609" s="13" t="str">
        <x:v>NOT_EXECUTED_BY_INVENTORY. SOURCE_LITERAL_OR_TRANSITIVE_HELPER_UNION</x:v>
      </x:c>
    </x:row>
    <x:row r="610" ht="42" customHeight="1">
      <x:c r="A610" s="14" t="str">
        <x:v>API-406</x:v>
      </x:c>
      <x:c r="B610" s="6" t="str">
        <x:v>POST</x:v>
      </x:c>
      <x:c r="C610" s="6" t="str">
        <x:v>/api/v1/physical-workspaces/{workspace_id}/initialization/preview</x:v>
      </x:c>
      <x:c r="D610" s="6" t="str">
        <x:v>USER MODE</x:v>
      </x:c>
      <x:c r="E610" s="6" t="str">
        <x:v>physical_workspace_initialization</x:v>
      </x:c>
      <x:c r="F610" s="6" t="str">
        <x:v>preview initialization</x:v>
      </x:c>
      <x:c r="G610" s="6" t="str">
        <x:v>physical_workspace.initialization.read</x:v>
      </x:c>
      <x:c r="H610" s="6" t="str">
        <x:v>LIVE_ROUTER_REGISTERED</x:v>
      </x:c>
      <x:c r="I610" s="6" t="str">
        <x:v>frontend/src/features/enterprise-structure/api/index.ts</x:v>
      </x:c>
      <x:c r="J610" s="6" t="str">
        <x:v>NOT_EXECUTED_BY_INVENTORY. SOURCE_LITERAL_OR_TRANSITIVE_HELPER_UNION</x:v>
      </x:c>
    </x:row>
    <x:row r="611" ht="42" customHeight="1">
      <x:c r="A611" s="15" t="str">
        <x:v>API-407</x:v>
      </x:c>
      <x:c r="B611" s="13" t="str">
        <x:v>POST</x:v>
      </x:c>
      <x:c r="C611" s="13" t="str">
        <x:v>/api/v1/physical-workspaces/{workspace_id}/initialization/start</x:v>
      </x:c>
      <x:c r="D611" s="13" t="str">
        <x:v>USER MODE</x:v>
      </x:c>
      <x:c r="E611" s="13" t="str">
        <x:v>physical_workspace_initialization</x:v>
      </x:c>
      <x:c r="F611" s="13" t="str">
        <x:v>start initialization</x:v>
      </x:c>
      <x:c r="G611" s="13" t="str">
        <x:v>physical_workspace.initialization.execute</x:v>
      </x:c>
      <x:c r="H611" s="13" t="str">
        <x:v>LIVE_ROUTER_REGISTERED</x:v>
      </x:c>
      <x:c r="I611" s="13" t="str">
        <x:v>NO_DIRECT_LITERAL_MATCH_NOT_PROOF_UNUSED</x:v>
      </x:c>
      <x:c r="J611" s="13" t="str">
        <x:v>NOT_EXECUTED_BY_INVENTORY. SOURCE_LITERAL_OR_TRANSITIVE_HELPER_UNION</x:v>
      </x:c>
    </x:row>
    <x:row r="612" ht="42" customHeight="1">
      <x:c r="A612" s="14" t="str">
        <x:v>API-408</x:v>
      </x:c>
      <x:c r="B612" s="6" t="str">
        <x:v>POST</x:v>
      </x:c>
      <x:c r="C612" s="6" t="str">
        <x:v>/api/v1/physical-workspaces/{workspace_id}/initialization/validate</x:v>
      </x:c>
      <x:c r="D612" s="6" t="str">
        <x:v>USER MODE</x:v>
      </x:c>
      <x:c r="E612" s="6" t="str">
        <x:v>physical_workspace_initialization</x:v>
      </x:c>
      <x:c r="F612" s="6" t="str">
        <x:v>validate initialization</x:v>
      </x:c>
      <x:c r="G612" s="6" t="str">
        <x:v>physical_workspace.initialization.execute</x:v>
      </x:c>
      <x:c r="H612" s="6" t="str">
        <x:v>LIVE_ROUTER_REGISTERED</x:v>
      </x:c>
      <x:c r="I612" s="6" t="str">
        <x:v>NO_DIRECT_LITERAL_MATCH_NOT_PROOF_UNUSED</x:v>
      </x:c>
      <x:c r="J612" s="6" t="str">
        <x:v>NOT_EXECUTED_BY_INVENTORY. SOURCE_LITERAL_OR_TRANSITIVE_HELPER_UNION</x:v>
      </x:c>
    </x:row>
    <x:row r="613" ht="42" customHeight="1">
      <x:c r="A613" s="15" t="str">
        <x:v>API-409</x:v>
      </x:c>
      <x:c r="B613" s="13" t="str">
        <x:v>GET</x:v>
      </x:c>
      <x:c r="C613" s="13" t="str">
        <x:v>/api/v1/portfolio-analysis/admin/configurations</x:v>
      </x:c>
      <x:c r="D613" s="13" t="str">
        <x:v>ADMIN MODE</x:v>
      </x:c>
      <x:c r="E613" s="13" t="str">
        <x:v>portfolio_analysis</x:v>
      </x:c>
      <x:c r="F613" s="13" t="str">
        <x:v>configurations</x:v>
      </x:c>
      <x:c r="G613" s="13" t="str">
        <x:v>portfolio_analysis.admin.configure</x:v>
      </x:c>
      <x:c r="H613" s="13" t="str">
        <x:v>LIVE_ROUTER_REGISTERED</x:v>
      </x:c>
      <x:c r="I613" s="13" t="str">
        <x:v>frontend/src/features/portfolio-analysis/api.ts</x:v>
      </x:c>
      <x:c r="J613" s="13" t="str">
        <x:v>NOT_EXECUTED_BY_INVENTORY. SOURCE_LITERAL_OR_TRANSITIVE_HELPER_UNION</x:v>
      </x:c>
    </x:row>
    <x:row r="614" ht="42" customHeight="1">
      <x:c r="A614" s="14" t="str">
        <x:v>API-410</x:v>
      </x:c>
      <x:c r="B614" s="6" t="str">
        <x:v>POST</x:v>
      </x:c>
      <x:c r="C614" s="6" t="str">
        <x:v>/api/v1/portfolio-analysis/admin/configurations/preview</x:v>
      </x:c>
      <x:c r="D614" s="6" t="str">
        <x:v>ADMIN MODE</x:v>
      </x:c>
      <x:c r="E614" s="6" t="str">
        <x:v>portfolio_analysis</x:v>
      </x:c>
      <x:c r="F614" s="6" t="str">
        <x:v>configuration preview</x:v>
      </x:c>
      <x:c r="G614" s="6" t="str">
        <x:v>portfolio_analysis.admin.configure</x:v>
      </x:c>
      <x:c r="H614" s="6" t="str">
        <x:v>LIVE_ROUTER_REGISTERED</x:v>
      </x:c>
      <x:c r="I614" s="6" t="str">
        <x:v>frontend/src/features/portfolio-analysis/api.ts</x:v>
      </x:c>
      <x:c r="J614" s="6" t="str">
        <x:v>NOT_EXECUTED_BY_INVENTORY. SOURCE_LITERAL_OR_TRANSITIVE_HELPER_UNION</x:v>
      </x:c>
    </x:row>
    <x:row r="615" ht="42" customHeight="1">
      <x:c r="A615" s="15" t="str">
        <x:v>API-411</x:v>
      </x:c>
      <x:c r="B615" s="13" t="str">
        <x:v>PUT</x:v>
      </x:c>
      <x:c r="C615" s="13" t="str">
        <x:v>/api/v1/portfolio-analysis/admin/configurations/{configuration_id}</x:v>
      </x:c>
      <x:c r="D615" s="13" t="str">
        <x:v>ADMIN MODE</x:v>
      </x:c>
      <x:c r="E615" s="13" t="str">
        <x:v>portfolio_analysis</x:v>
      </x:c>
      <x:c r="F615" s="13" t="str">
        <x:v>update configuration</x:v>
      </x:c>
      <x:c r="G615" s="13" t="str">
        <x:v>portfolio_analysis.admin.configure</x:v>
      </x:c>
      <x:c r="H615" s="13" t="str">
        <x:v>LIVE_ROUTER_REGISTERED</x:v>
      </x:c>
      <x:c r="I615" s="13" t="str">
        <x:v>frontend/src/features/portfolio-analysis/api.ts</x:v>
      </x:c>
      <x:c r="J615" s="13" t="str">
        <x:v>NOT_EXECUTED_BY_INVENTORY. SOURCE_LITERAL_OR_TRANSITIVE_HELPER_UNION</x:v>
      </x:c>
    </x:row>
    <x:row r="616" ht="42" customHeight="1">
      <x:c r="A616" s="14" t="str">
        <x:v>API-412</x:v>
      </x:c>
      <x:c r="B616" s="6" t="str">
        <x:v>POST</x:v>
      </x:c>
      <x:c r="C616" s="6" t="str">
        <x:v>/api/v1/portfolio-analysis/admin/configurations/{configuration_id}/clone</x:v>
      </x:c>
      <x:c r="D616" s="6" t="str">
        <x:v>ADMIN MODE</x:v>
      </x:c>
      <x:c r="E616" s="6" t="str">
        <x:v>portfolio_analysis</x:v>
      </x:c>
      <x:c r="F616" s="6" t="str">
        <x:v>clone configuration</x:v>
      </x:c>
      <x:c r="G616" s="6" t="str">
        <x:v>portfolio_analysis.admin.configure</x:v>
      </x:c>
      <x:c r="H616" s="6" t="str">
        <x:v>LIVE_ROUTER_REGISTERED</x:v>
      </x:c>
      <x:c r="I616" s="6" t="str">
        <x:v>frontend/src/features/portfolio-analysis/api.ts</x:v>
      </x:c>
      <x:c r="J616" s="6" t="str">
        <x:v>NOT_EXECUTED_BY_INVENTORY. SOURCE_LITERAL_OR_TRANSITIVE_HELPER_UNION</x:v>
      </x:c>
    </x:row>
    <x:row r="617" ht="42" customHeight="1">
      <x:c r="A617" s="15" t="str">
        <x:v>API-413</x:v>
      </x:c>
      <x:c r="B617" s="13" t="str">
        <x:v>POST</x:v>
      </x:c>
      <x:c r="C617" s="13" t="str">
        <x:v>/api/v1/portfolio-analysis/admin/configurations/{configuration_id}/publish</x:v>
      </x:c>
      <x:c r="D617" s="13" t="str">
        <x:v>ADMIN MODE</x:v>
      </x:c>
      <x:c r="E617" s="13" t="str">
        <x:v>portfolio_analysis</x:v>
      </x:c>
      <x:c r="F617" s="13" t="str">
        <x:v>publish configuration</x:v>
      </x:c>
      <x:c r="G617" s="13" t="str">
        <x:v>portfolio_analysis.admin.publish</x:v>
      </x:c>
      <x:c r="H617" s="13" t="str">
        <x:v>LIVE_ROUTER_REGISTERED</x:v>
      </x:c>
      <x:c r="I617" s="13" t="str">
        <x:v>frontend/src/features/portfolio-analysis/api.ts</x:v>
      </x:c>
      <x:c r="J617" s="13" t="str">
        <x:v>NOT_EXECUTED_BY_INVENTORY. SOURCE_LITERAL_OR_TRANSITIVE_HELPER_UNION</x:v>
      </x:c>
    </x:row>
    <x:row r="618" ht="42" customHeight="1">
      <x:c r="A618" s="14" t="str">
        <x:v>API-414</x:v>
      </x:c>
      <x:c r="B618" s="6" t="str">
        <x:v>GET</x:v>
      </x:c>
      <x:c r="C618" s="6" t="str">
        <x:v>/api/v1/portfolios/{portfolio_id}/analysis</x:v>
      </x:c>
      <x:c r="D618" s="6" t="str">
        <x:v>READ-ONLY SHARED CONTEXT</x:v>
      </x:c>
      <x:c r="E618" s="6" t="str">
        <x:v>portfolio_analysis</x:v>
      </x:c>
      <x:c r="F618" s="6" t="str">
        <x:v>overview</x:v>
      </x:c>
      <x:c r="G618" s="6" t="str">
        <x:v>portfolio_analysis.read</x:v>
      </x:c>
      <x:c r="H618" s="6" t="str">
        <x:v>LIVE_ROUTER_REGISTERED</x:v>
      </x:c>
      <x:c r="I618" s="6" t="str">
        <x:v>NO_DIRECT_LITERAL_MATCH_NOT_PROOF_UNUSED</x:v>
      </x:c>
      <x:c r="J618" s="6" t="str">
        <x:v>NOT_EXECUTED_BY_INVENTORY. SOURCE_LITERAL_OR_TRANSITIVE_HELPER_UNION</x:v>
      </x:c>
    </x:row>
    <x:row r="619" ht="42" customHeight="1">
      <x:c r="A619" s="15" t="str">
        <x:v>API-415</x:v>
      </x:c>
      <x:c r="B619" s="13" t="str">
        <x:v>GET</x:v>
      </x:c>
      <x:c r="C619" s="13" t="str">
        <x:v>/api/v1/portfolios/{portfolio_id}/analysis/dataset</x:v>
      </x:c>
      <x:c r="D619" s="13" t="str">
        <x:v>READ-ONLY SHARED CONTEXT</x:v>
      </x:c>
      <x:c r="E619" s="13" t="str">
        <x:v>portfolio_analysis</x:v>
      </x:c>
      <x:c r="F619" s="13" t="str">
        <x:v>dataset</x:v>
      </x:c>
      <x:c r="G619" s="13" t="str">
        <x:v>portfolio_analysis.read</x:v>
      </x:c>
      <x:c r="H619" s="13" t="str">
        <x:v>LIVE_ROUTER_REGISTERED</x:v>
      </x:c>
      <x:c r="I619" s="13" t="str">
        <x:v>NO_DIRECT_LITERAL_MATCH_NOT_PROOF_UNUSED</x:v>
      </x:c>
      <x:c r="J619" s="13" t="str">
        <x:v>NOT_EXECUTED_BY_INVENTORY. SOURCE_LITERAL_OR_TRANSITIVE_HELPER_UNION</x:v>
      </x:c>
    </x:row>
    <x:row r="620" ht="42" customHeight="1">
      <x:c r="A620" s="14" t="str">
        <x:v>API-416</x:v>
      </x:c>
      <x:c r="B620" s="6" t="str">
        <x:v>GET</x:v>
      </x:c>
      <x:c r="C620" s="6" t="str">
        <x:v>/api/v1/portfolios/{portfolio_id}/analysis/investor-map</x:v>
      </x:c>
      <x:c r="D620" s="6" t="str">
        <x:v>READ-ONLY SHARED CONTEXT</x:v>
      </x:c>
      <x:c r="E620" s="6" t="str">
        <x:v>portfolio_analysis</x:v>
      </x:c>
      <x:c r="F620" s="6" t="str">
        <x:v>investor map</x:v>
      </x:c>
      <x:c r="G620" s="6" t="str">
        <x:v>portfolio_analysis.read</x:v>
      </x:c>
      <x:c r="H620" s="6" t="str">
        <x:v>LIVE_ROUTER_REGISTERED</x:v>
      </x:c>
      <x:c r="I620" s="6" t="str">
        <x:v>NO_DIRECT_LITERAL_MATCH_NOT_PROOF_UNUSED</x:v>
      </x:c>
      <x:c r="J620" s="6" t="str">
        <x:v>NOT_EXECUTED_BY_INVENTORY. SOURCE_LITERAL_OR_TRANSITIVE_HELPER_UNION</x:v>
      </x:c>
    </x:row>
    <x:row r="621" ht="42" customHeight="1">
      <x:c r="A621" s="15" t="str">
        <x:v>API-417</x:v>
      </x:c>
      <x:c r="B621" s="13" t="str">
        <x:v>POST</x:v>
      </x:c>
      <x:c r="C621" s="13" t="str">
        <x:v>/api/v1/portfolios/{portfolio_id}/analysis/preview</x:v>
      </x:c>
      <x:c r="D621" s="13" t="str">
        <x:v>USER MODE</x:v>
      </x:c>
      <x:c r="E621" s="13" t="str">
        <x:v>portfolio_analysis</x:v>
      </x:c>
      <x:c r="F621" s="13" t="str">
        <x:v>preview</x:v>
      </x:c>
      <x:c r="G621" s="13" t="str">
        <x:v>portfolio_analysis.read</x:v>
      </x:c>
      <x:c r="H621" s="13" t="str">
        <x:v>LIVE_ROUTER_REGISTERED</x:v>
      </x:c>
      <x:c r="I621" s="13" t="str">
        <x:v>frontend/src/features/portfolio-analysis/api.ts</x:v>
      </x:c>
      <x:c r="J621" s="13" t="str">
        <x:v>NOT_EXECUTED_BY_INVENTORY. SOURCE_LITERAL_OR_TRANSITIVE_HELPER_UNION</x:v>
      </x:c>
    </x:row>
    <x:row r="622" ht="42" customHeight="1">
      <x:c r="A622" s="14" t="str">
        <x:v>API-418</x:v>
      </x:c>
      <x:c r="B622" s="6" t="str">
        <x:v>GET</x:v>
      </x:c>
      <x:c r="C622" s="6" t="str">
        <x:v>/api/v1/portfolios/{portfolio_id}/analysis/projects/{project_id}</x:v>
      </x:c>
      <x:c r="D622" s="6" t="str">
        <x:v>READ-ONLY SHARED CONTEXT</x:v>
      </x:c>
      <x:c r="E622" s="6" t="str">
        <x:v>portfolio_analysis</x:v>
      </x:c>
      <x:c r="F622" s="6" t="str">
        <x:v>project detail</x:v>
      </x:c>
      <x:c r="G622" s="6" t="str">
        <x:v>portfolio_analysis.read</x:v>
      </x:c>
      <x:c r="H622" s="6" t="str">
        <x:v>LIVE_ROUTER_REGISTERED</x:v>
      </x:c>
      <x:c r="I622" s="6" t="str">
        <x:v>frontend/src/features/portfolio-analysis/api.ts</x:v>
      </x:c>
      <x:c r="J622" s="6" t="str">
        <x:v>NOT_EXECUTED_BY_INVENTORY. SOURCE_LITERAL_OR_TRANSITIVE_HELPER_UNION</x:v>
      </x:c>
    </x:row>
    <x:row r="623" ht="42" customHeight="1">
      <x:c r="A623" s="15" t="str">
        <x:v>API-419</x:v>
      </x:c>
      <x:c r="B623" s="13" t="str">
        <x:v>GET</x:v>
      </x:c>
      <x:c r="C623" s="13" t="str">
        <x:v>/api/v1/portfolios/{portfolio_id}/analysis/readiness</x:v>
      </x:c>
      <x:c r="D623" s="13" t="str">
        <x:v>READ-ONLY SHARED CONTEXT</x:v>
      </x:c>
      <x:c r="E623" s="13" t="str">
        <x:v>portfolio_analysis</x:v>
      </x:c>
      <x:c r="F623" s="13" t="str">
        <x:v>readiness</x:v>
      </x:c>
      <x:c r="G623" s="13" t="str">
        <x:v>portfolio_analysis.read</x:v>
      </x:c>
      <x:c r="H623" s="13" t="str">
        <x:v>LIVE_ROUTER_REGISTERED</x:v>
      </x:c>
      <x:c r="I623" s="13" t="str">
        <x:v>NO_DIRECT_LITERAL_MATCH_NOT_PROOF_UNUSED</x:v>
      </x:c>
      <x:c r="J623" s="13" t="str">
        <x:v>NOT_EXECUTED_BY_INVENTORY. SOURCE_LITERAL_OR_TRANSITIVE_HELPER_UNION</x:v>
      </x:c>
    </x:row>
    <x:row r="624" ht="42" customHeight="1">
      <x:c r="A624" s="14" t="str">
        <x:v>API-420</x:v>
      </x:c>
      <x:c r="B624" s="6" t="str">
        <x:v>GET</x:v>
      </x:c>
      <x:c r="C624" s="6" t="str">
        <x:v>/api/v1/portfolios/{portfolio_id}/analysis/scorecard</x:v>
      </x:c>
      <x:c r="D624" s="6" t="str">
        <x:v>READ-ONLY SHARED CONTEXT</x:v>
      </x:c>
      <x:c r="E624" s="6" t="str">
        <x:v>portfolio_analysis</x:v>
      </x:c>
      <x:c r="F624" s="6" t="str">
        <x:v>scorecard</x:v>
      </x:c>
      <x:c r="G624" s="6" t="str">
        <x:v>portfolio_analysis.read</x:v>
      </x:c>
      <x:c r="H624" s="6" t="str">
        <x:v>LIVE_ROUTER_REGISTERED</x:v>
      </x:c>
      <x:c r="I624" s="6" t="str">
        <x:v>NO_DIRECT_LITERAL_MATCH_NOT_PROOF_UNUSED</x:v>
      </x:c>
      <x:c r="J624" s="6" t="str">
        <x:v>NOT_EXECUTED_BY_INVENTORY. SOURCE_LITERAL_OR_TRANSITIVE_HELPER_UNION</x:v>
      </x:c>
    </x:row>
    <x:row r="625" ht="42" customHeight="1">
      <x:c r="A625" s="15" t="str">
        <x:v>API-421</x:v>
      </x:c>
      <x:c r="B625" s="13" t="str">
        <x:v>GET</x:v>
      </x:c>
      <x:c r="C625" s="13" t="str">
        <x:v>/api/v1/portfolio-budget-scenarios/{scenario_id}</x:v>
      </x:c>
      <x:c r="D625" s="13" t="str">
        <x:v>READ-ONLY SHARED CONTEXT</x:v>
      </x:c>
      <x:c r="E625" s="13" t="str">
        <x:v>portfolio_budget</x:v>
      </x:c>
      <x:c r="F625" s="13" t="str">
        <x:v>scenario</x:v>
      </x:c>
      <x:c r="G625" s="13" t="str">
        <x:v>portfolio_budget.read</x:v>
      </x:c>
      <x:c r="H625" s="13" t="str">
        <x:v>LIVE_ROUTER_REGISTERED</x:v>
      </x:c>
      <x:c r="I625" s="13" t="str">
        <x:v>NO_DIRECT_LITERAL_MATCH_NOT_PROOF_UNUSED</x:v>
      </x:c>
      <x:c r="J625" s="13" t="str">
        <x:v>NOT_EXECUTED_BY_INVENTORY. SOURCE_LITERAL_OR_TRANSITIVE_HELPER_UNION</x:v>
      </x:c>
    </x:row>
    <x:row r="626" ht="42" customHeight="1">
      <x:c r="A626" s="14" t="str">
        <x:v>API-422</x:v>
      </x:c>
      <x:c r="B626" s="6" t="str">
        <x:v>PUT</x:v>
      </x:c>
      <x:c r="C626" s="6" t="str">
        <x:v>/api/v1/portfolio-budget-scenarios/{scenario_id}</x:v>
      </x:c>
      <x:c r="D626" s="6" t="str">
        <x:v>USER MODE</x:v>
      </x:c>
      <x:c r="E626" s="6" t="str">
        <x:v>portfolio_budget</x:v>
      </x:c>
      <x:c r="F626" s="6" t="str">
        <x:v>update scenario</x:v>
      </x:c>
      <x:c r="G626" s="6" t="str">
        <x:v>portfolio_budget_scenario.edit</x:v>
      </x:c>
      <x:c r="H626" s="6" t="str">
        <x:v>LIVE_ROUTER_REGISTERED</x:v>
      </x:c>
      <x:c r="I626" s="6" t="str">
        <x:v>NO_DIRECT_LITERAL_MATCH_NOT_PROOF_UNUSED</x:v>
      </x:c>
      <x:c r="J626" s="6" t="str">
        <x:v>NOT_EXECUTED_BY_INVENTORY. SOURCE_LITERAL_OR_TRANSITIVE_HELPER_UNION</x:v>
      </x:c>
    </x:row>
    <x:row r="627" ht="42" customHeight="1">
      <x:c r="A627" s="15" t="str">
        <x:v>API-423</x:v>
      </x:c>
      <x:c r="B627" s="13" t="str">
        <x:v>POST</x:v>
      </x:c>
      <x:c r="C627" s="13" t="str">
        <x:v>/api/v1/portfolio-budget-scenarios/{scenario_id}/clone</x:v>
      </x:c>
      <x:c r="D627" s="13" t="str">
        <x:v>USER MODE</x:v>
      </x:c>
      <x:c r="E627" s="13" t="str">
        <x:v>portfolio_budget</x:v>
      </x:c>
      <x:c r="F627" s="13" t="str">
        <x:v>clone scenario</x:v>
      </x:c>
      <x:c r="G627" s="13" t="str">
        <x:v>HELPER_OR_SERVICE_AUTHORIZATION_REQUIRES_REVIEW</x:v>
      </x:c>
      <x:c r="H627" s="13" t="str">
        <x:v>LIVE_ROUTER_REGISTERED</x:v>
      </x:c>
      <x:c r="I627" s="13" t="str">
        <x:v>frontend/src/features/portfolio-budget/api.ts</x:v>
      </x:c>
      <x:c r="J627" s="13" t="str">
        <x:v>NOT_EXECUTED_BY_INVENTORY. SOURCE_LITERAL_OR_TRANSITIVE_HELPER_UNION</x:v>
      </x:c>
    </x:row>
    <x:row r="628" ht="42" customHeight="1">
      <x:c r="A628" s="14" t="str">
        <x:v>API-424</x:v>
      </x:c>
      <x:c r="B628" s="6" t="str">
        <x:v>GET</x:v>
      </x:c>
      <x:c r="C628" s="6" t="str">
        <x:v>/api/v1/portfolio-budget-scenarios/{scenario_id}/dependencies</x:v>
      </x:c>
      <x:c r="D628" s="6" t="str">
        <x:v>READ-ONLY SHARED CONTEXT</x:v>
      </x:c>
      <x:c r="E628" s="6" t="str">
        <x:v>portfolio_budget</x:v>
      </x:c>
      <x:c r="F628" s="6" t="str">
        <x:v>scenario dependencies</x:v>
      </x:c>
      <x:c r="G628" s="6" t="str">
        <x:v>portfolio_dependency.read</x:v>
      </x:c>
      <x:c r="H628" s="6" t="str">
        <x:v>LIVE_ROUTER_REGISTERED</x:v>
      </x:c>
      <x:c r="I628" s="6" t="str">
        <x:v>NO_DIRECT_LITERAL_MATCH_NOT_PROOF_UNUSED</x:v>
      </x:c>
      <x:c r="J628" s="6" t="str">
        <x:v>NOT_EXECUTED_BY_INVENTORY. SOURCE_LITERAL_OR_TRANSITIVE_HELPER_UNION</x:v>
      </x:c>
    </x:row>
    <x:row r="629" ht="42" customHeight="1">
      <x:c r="A629" s="15" t="str">
        <x:v>API-425</x:v>
      </x:c>
      <x:c r="B629" s="13" t="str">
        <x:v>POST</x:v>
      </x:c>
      <x:c r="C629" s="13" t="str">
        <x:v>/api/v1/portfolio-budget-scenarios/{scenario_id}/freeze</x:v>
      </x:c>
      <x:c r="D629" s="13" t="str">
        <x:v>USER MODE</x:v>
      </x:c>
      <x:c r="E629" s="13" t="str">
        <x:v>portfolio_budget</x:v>
      </x:c>
      <x:c r="F629" s="13" t="str">
        <x:v>freeze scenario</x:v>
      </x:c>
      <x:c r="G629" s="13" t="str">
        <x:v>HELPER_OR_SERVICE_AUTHORIZATION_REQUIRES_REVIEW</x:v>
      </x:c>
      <x:c r="H629" s="13" t="str">
        <x:v>LIVE_ROUTER_REGISTERED</x:v>
      </x:c>
      <x:c r="I629" s="13" t="str">
        <x:v>frontend/src/features/portfolio-budget/api.ts</x:v>
      </x:c>
      <x:c r="J629" s="13" t="str">
        <x:v>NOT_EXECUTED_BY_INVENTORY. SOURCE_LITERAL_OR_TRANSITIVE_HELPER_UNION</x:v>
      </x:c>
    </x:row>
    <x:row r="630" ht="42" customHeight="1">
      <x:c r="A630" s="14" t="str">
        <x:v>API-426</x:v>
      </x:c>
      <x:c r="B630" s="6" t="str">
        <x:v>POST</x:v>
      </x:c>
      <x:c r="C630" s="6" t="str">
        <x:v>/api/v1/portfolio-budget-scenarios/{scenario_id}/projects/{project_id}/selection</x:v>
      </x:c>
      <x:c r="D630" s="6" t="str">
        <x:v>USER MODE</x:v>
      </x:c>
      <x:c r="E630" s="6" t="str">
        <x:v>portfolio_budget</x:v>
      </x:c>
      <x:c r="F630" s="6" t="str">
        <x:v>select project</x:v>
      </x:c>
      <x:c r="G630" s="6" t="str">
        <x:v>HELPER_OR_SERVICE_AUTHORIZATION_REQUIRES_REVIEW</x:v>
      </x:c>
      <x:c r="H630" s="6" t="str">
        <x:v>LIVE_ROUTER_REGISTERED</x:v>
      </x:c>
      <x:c r="I630" s="6" t="str">
        <x:v>frontend/src/features/portfolio-budget/api.ts</x:v>
      </x:c>
      <x:c r="J630" s="6" t="str">
        <x:v>NOT_EXECUTED_BY_INVENTORY. SOURCE_LITERAL_OR_TRANSITIVE_HELPER_UNION</x:v>
      </x:c>
    </x:row>
    <x:row r="631" ht="42" customHeight="1">
      <x:c r="A631" s="15" t="str">
        <x:v>API-427</x:v>
      </x:c>
      <x:c r="B631" s="13" t="str">
        <x:v>POST</x:v>
      </x:c>
      <x:c r="C631" s="13" t="str">
        <x:v>/api/v1/portfolio-budget-scenarios/{scenario_id}/refresh</x:v>
      </x:c>
      <x:c r="D631" s="13" t="str">
        <x:v>USER MODE</x:v>
      </x:c>
      <x:c r="E631" s="13" t="str">
        <x:v>portfolio_budget</x:v>
      </x:c>
      <x:c r="F631" s="13" t="str">
        <x:v>apply refresh</x:v>
      </x:c>
      <x:c r="G631" s="13" t="str">
        <x:v>portfolio_budget_scenario.edit</x:v>
      </x:c>
      <x:c r="H631" s="13" t="str">
        <x:v>LIVE_ROUTER_REGISTERED</x:v>
      </x:c>
      <x:c r="I631" s="13" t="str">
        <x:v>NO_DIRECT_LITERAL_MATCH_NOT_PROOF_UNUSED</x:v>
      </x:c>
      <x:c r="J631" s="13" t="str">
        <x:v>NOT_EXECUTED_BY_INVENTORY. SOURCE_LITERAL_OR_TRANSITIVE_HELPER_UNION</x:v>
      </x:c>
    </x:row>
    <x:row r="632" ht="42" customHeight="1">
      <x:c r="A632" s="14" t="str">
        <x:v>API-428</x:v>
      </x:c>
      <x:c r="B632" s="6" t="str">
        <x:v>POST</x:v>
      </x:c>
      <x:c r="C632" s="6" t="str">
        <x:v>/api/v1/portfolio-budget-scenarios/{scenario_id}/refresh/preview</x:v>
      </x:c>
      <x:c r="D632" s="6" t="str">
        <x:v>USER MODE</x:v>
      </x:c>
      <x:c r="E632" s="6" t="str">
        <x:v>portfolio_budget</x:v>
      </x:c>
      <x:c r="F632" s="6" t="str">
        <x:v>refresh preview</x:v>
      </x:c>
      <x:c r="G632" s="6" t="str">
        <x:v>portfolio_budget_scenario.edit</x:v>
      </x:c>
      <x:c r="H632" s="6" t="str">
        <x:v>LIVE_ROUTER_REGISTERED</x:v>
      </x:c>
      <x:c r="I632" s="6" t="str">
        <x:v>frontend/src/features/portfolio-budget/api.ts</x:v>
      </x:c>
      <x:c r="J632" s="6" t="str">
        <x:v>NOT_EXECUTED_BY_INVENTORY. SOURCE_LITERAL_OR_TRANSITIVE_HELPER_UNION</x:v>
      </x:c>
    </x:row>
    <x:row r="633" ht="42" customHeight="1">
      <x:c r="A633" s="15" t="str">
        <x:v>API-429</x:v>
      </x:c>
      <x:c r="B633" s="13" t="str">
        <x:v>POST</x:v>
      </x:c>
      <x:c r="C633" s="13" t="str">
        <x:v>/api/v1/portfolio-budget-scenarios/{scenario_id}/void</x:v>
      </x:c>
      <x:c r="D633" s="13" t="str">
        <x:v>USER MODE</x:v>
      </x:c>
      <x:c r="E633" s="13" t="str">
        <x:v>portfolio_budget</x:v>
      </x:c>
      <x:c r="F633" s="13" t="str">
        <x:v>void scenario</x:v>
      </x:c>
      <x:c r="G633" s="13" t="str">
        <x:v>HELPER_OR_SERVICE_AUTHORIZATION_REQUIRES_REVIEW</x:v>
      </x:c>
      <x:c r="H633" s="13" t="str">
        <x:v>LIVE_ROUTER_REGISTERED</x:v>
      </x:c>
      <x:c r="I633" s="13" t="str">
        <x:v>NO_DIRECT_LITERAL_MATCH_NOT_PROOF_UNUSED</x:v>
      </x:c>
      <x:c r="J633" s="13" t="str">
        <x:v>NOT_EXECUTED_BY_INVENTORY. SOURCE_LITERAL_OR_TRANSITIVE_HELPER_UNION</x:v>
      </x:c>
    </x:row>
    <x:row r="634" ht="42" customHeight="1">
      <x:c r="A634" s="14" t="str">
        <x:v>API-430</x:v>
      </x:c>
      <x:c r="B634" s="6" t="str">
        <x:v>GET</x:v>
      </x:c>
      <x:c r="C634" s="6" t="str">
        <x:v>/api/v1/portfolio-budget-scenarios/{scenario_id}/waterline</x:v>
      </x:c>
      <x:c r="D634" s="6" t="str">
        <x:v>READ-ONLY SHARED CONTEXT</x:v>
      </x:c>
      <x:c r="E634" s="6" t="str">
        <x:v>portfolio_budget</x:v>
      </x:c>
      <x:c r="F634" s="6" t="str">
        <x:v>waterline</x:v>
      </x:c>
      <x:c r="G634" s="6" t="str">
        <x:v>portfolio_budget.read</x:v>
      </x:c>
      <x:c r="H634" s="6" t="str">
        <x:v>LIVE_ROUTER_REGISTERED</x:v>
      </x:c>
      <x:c r="I634" s="6" t="str">
        <x:v>NO_DIRECT_LITERAL_MATCH_NOT_PROOF_UNUSED</x:v>
      </x:c>
      <x:c r="J634" s="6" t="str">
        <x:v>NOT_EXECUTED_BY_INVENTORY. SOURCE_LITERAL_OR_TRANSITIVE_HELPER_UNION</x:v>
      </x:c>
    </x:row>
    <x:row r="635" ht="42" customHeight="1">
      <x:c r="A635" s="15" t="str">
        <x:v>API-431</x:v>
      </x:c>
      <x:c r="B635" s="13" t="str">
        <x:v>GET</x:v>
      </x:c>
      <x:c r="C635" s="13" t="str">
        <x:v>/api/v1/portfolio-budget-targets/{target_id}</x:v>
      </x:c>
      <x:c r="D635" s="13" t="str">
        <x:v>READ-ONLY SHARED CONTEXT</x:v>
      </x:c>
      <x:c r="E635" s="13" t="str">
        <x:v>portfolio_budget</x:v>
      </x:c>
      <x:c r="F635" s="13" t="str">
        <x:v>target</x:v>
      </x:c>
      <x:c r="G635" s="13" t="str">
        <x:v>portfolio_budget.read</x:v>
      </x:c>
      <x:c r="H635" s="13" t="str">
        <x:v>LIVE_ROUTER_REGISTERED</x:v>
      </x:c>
      <x:c r="I635" s="13" t="str">
        <x:v>NO_DIRECT_LITERAL_MATCH_NOT_PROOF_UNUSED</x:v>
      </x:c>
      <x:c r="J635" s="13" t="str">
        <x:v>NOT_EXECUTED_BY_INVENTORY. SOURCE_LITERAL_OR_TRANSITIVE_HELPER_UNION</x:v>
      </x:c>
    </x:row>
    <x:row r="636" ht="42" customHeight="1">
      <x:c r="A636" s="14" t="str">
        <x:v>API-432</x:v>
      </x:c>
      <x:c r="B636" s="6" t="str">
        <x:v>PUT</x:v>
      </x:c>
      <x:c r="C636" s="6" t="str">
        <x:v>/api/v1/portfolio-budget-targets/{target_id}</x:v>
      </x:c>
      <x:c r="D636" s="6" t="str">
        <x:v>USER MODE</x:v>
      </x:c>
      <x:c r="E636" s="6" t="str">
        <x:v>portfolio_budget</x:v>
      </x:c>
      <x:c r="F636" s="6" t="str">
        <x:v>update target</x:v>
      </x:c>
      <x:c r="G636" s="6" t="str">
        <x:v>portfolio_budget_target.create</x:v>
      </x:c>
      <x:c r="H636" s="6" t="str">
        <x:v>LIVE_ROUTER_REGISTERED</x:v>
      </x:c>
      <x:c r="I636" s="6" t="str">
        <x:v>NO_DIRECT_LITERAL_MATCH_NOT_PROOF_UNUSED</x:v>
      </x:c>
      <x:c r="J636" s="6" t="str">
        <x:v>NOT_EXECUTED_BY_INVENTORY. SOURCE_LITERAL_OR_TRANSITIVE_HELPER_UNION</x:v>
      </x:c>
    </x:row>
    <x:row r="637" ht="42" customHeight="1">
      <x:c r="A637" s="15" t="str">
        <x:v>API-433</x:v>
      </x:c>
      <x:c r="B637" s="13" t="str">
        <x:v>POST</x:v>
      </x:c>
      <x:c r="C637" s="13" t="str">
        <x:v>/api/v1/portfolio-budget-targets/{target_id}/publish</x:v>
      </x:c>
      <x:c r="D637" s="13" t="str">
        <x:v>USER MODE</x:v>
      </x:c>
      <x:c r="E637" s="13" t="str">
        <x:v>portfolio_budget</x:v>
      </x:c>
      <x:c r="F637" s="13" t="str">
        <x:v>publish target</x:v>
      </x:c>
      <x:c r="G637" s="13" t="str">
        <x:v>portfolio_budget_target.publish</x:v>
      </x:c>
      <x:c r="H637" s="13" t="str">
        <x:v>LIVE_ROUTER_REGISTERED</x:v>
      </x:c>
      <x:c r="I637" s="13" t="str">
        <x:v>frontend/src/features/portfolio-budget/api.ts</x:v>
      </x:c>
      <x:c r="J637" s="13" t="str">
        <x:v>NOT_EXECUTED_BY_INVENTORY. SOURCE_LITERAL_OR_TRANSITIVE_HELPER_UNION</x:v>
      </x:c>
    </x:row>
    <x:row r="638" ht="42" customHeight="1">
      <x:c r="A638" s="14" t="str">
        <x:v>API-434</x:v>
      </x:c>
      <x:c r="B638" s="6" t="str">
        <x:v>GET</x:v>
      </x:c>
      <x:c r="C638" s="6" t="str">
        <x:v>/api/v1/portfolio-budget/admin/configurations</x:v>
      </x:c>
      <x:c r="D638" s="6" t="str">
        <x:v>ADMIN MODE</x:v>
      </x:c>
      <x:c r="E638" s="6" t="str">
        <x:v>portfolio_budget</x:v>
      </x:c>
      <x:c r="F638" s="6" t="str">
        <x:v>configurations</x:v>
      </x:c>
      <x:c r="G638" s="6" t="str">
        <x:v>portfolio_budget.admin.configure</x:v>
      </x:c>
      <x:c r="H638" s="6" t="str">
        <x:v>LIVE_ROUTER_REGISTERED</x:v>
      </x:c>
      <x:c r="I638" s="6" t="str">
        <x:v>frontend/src/features/portfolio-budget/api.ts</x:v>
      </x:c>
      <x:c r="J638" s="6" t="str">
        <x:v>NOT_EXECUTED_BY_INVENTORY. SOURCE_LITERAL_OR_TRANSITIVE_HELPER_UNION</x:v>
      </x:c>
    </x:row>
    <x:row r="639" ht="42" customHeight="1">
      <x:c r="A639" s="15" t="str">
        <x:v>API-435</x:v>
      </x:c>
      <x:c r="B639" s="13" t="str">
        <x:v>POST</x:v>
      </x:c>
      <x:c r="C639" s="13" t="str">
        <x:v>/api/v1/portfolio-budget/admin/configurations/preview</x:v>
      </x:c>
      <x:c r="D639" s="13" t="str">
        <x:v>ADMIN MODE</x:v>
      </x:c>
      <x:c r="E639" s="13" t="str">
        <x:v>portfolio_budget</x:v>
      </x:c>
      <x:c r="F639" s="13" t="str">
        <x:v>configuration preview</x:v>
      </x:c>
      <x:c r="G639" s="13" t="str">
        <x:v>portfolio_budget.admin.configure</x:v>
      </x:c>
      <x:c r="H639" s="13" t="str">
        <x:v>LIVE_ROUTER_REGISTERED</x:v>
      </x:c>
      <x:c r="I639" s="13" t="str">
        <x:v>frontend/src/features/portfolio-budget/api.ts</x:v>
      </x:c>
      <x:c r="J639" s="13" t="str">
        <x:v>NOT_EXECUTED_BY_INVENTORY. SOURCE_LITERAL_OR_TRANSITIVE_HELPER_UNION</x:v>
      </x:c>
    </x:row>
    <x:row r="640" ht="42" customHeight="1">
      <x:c r="A640" s="14" t="str">
        <x:v>API-436</x:v>
      </x:c>
      <x:c r="B640" s="6" t="str">
        <x:v>PUT</x:v>
      </x:c>
      <x:c r="C640" s="6" t="str">
        <x:v>/api/v1/portfolio-budget/admin/configurations/{configuration_id}</x:v>
      </x:c>
      <x:c r="D640" s="6" t="str">
        <x:v>ADMIN MODE</x:v>
      </x:c>
      <x:c r="E640" s="6" t="str">
        <x:v>portfolio_budget</x:v>
      </x:c>
      <x:c r="F640" s="6" t="str">
        <x:v>update configuration</x:v>
      </x:c>
      <x:c r="G640" s="6" t="str">
        <x:v>portfolio_budget.admin.configure</x:v>
      </x:c>
      <x:c r="H640" s="6" t="str">
        <x:v>LIVE_ROUTER_REGISTERED</x:v>
      </x:c>
      <x:c r="I640" s="6" t="str">
        <x:v>frontend/src/features/portfolio-budget/api.ts</x:v>
      </x:c>
      <x:c r="J640" s="6" t="str">
        <x:v>NOT_EXECUTED_BY_INVENTORY. SOURCE_LITERAL_OR_TRANSITIVE_HELPER_UNION</x:v>
      </x:c>
    </x:row>
    <x:row r="641" ht="42" customHeight="1">
      <x:c r="A641" s="15" t="str">
        <x:v>API-437</x:v>
      </x:c>
      <x:c r="B641" s="13" t="str">
        <x:v>POST</x:v>
      </x:c>
      <x:c r="C641" s="13" t="str">
        <x:v>/api/v1/portfolio-budget/admin/configurations/{configuration_id}/clone</x:v>
      </x:c>
      <x:c r="D641" s="13" t="str">
        <x:v>ADMIN MODE</x:v>
      </x:c>
      <x:c r="E641" s="13" t="str">
        <x:v>portfolio_budget</x:v>
      </x:c>
      <x:c r="F641" s="13" t="str">
        <x:v>clone configuration</x:v>
      </x:c>
      <x:c r="G641" s="13" t="str">
        <x:v>portfolio_budget.admin.configure</x:v>
      </x:c>
      <x:c r="H641" s="13" t="str">
        <x:v>LIVE_ROUTER_REGISTERED</x:v>
      </x:c>
      <x:c r="I641" s="13" t="str">
        <x:v>frontend/src/features/portfolio-budget/api.ts</x:v>
      </x:c>
      <x:c r="J641" s="13" t="str">
        <x:v>NOT_EXECUTED_BY_INVENTORY. SOURCE_LITERAL_OR_TRANSITIVE_HELPER_UNION</x:v>
      </x:c>
    </x:row>
    <x:row r="642" ht="42" customHeight="1">
      <x:c r="A642" s="14" t="str">
        <x:v>API-438</x:v>
      </x:c>
      <x:c r="B642" s="6" t="str">
        <x:v>POST</x:v>
      </x:c>
      <x:c r="C642" s="6" t="str">
        <x:v>/api/v1/portfolio-budget/admin/configurations/{configuration_id}/publish</x:v>
      </x:c>
      <x:c r="D642" s="6" t="str">
        <x:v>ADMIN MODE</x:v>
      </x:c>
      <x:c r="E642" s="6" t="str">
        <x:v>portfolio_budget</x:v>
      </x:c>
      <x:c r="F642" s="6" t="str">
        <x:v>publish configuration</x:v>
      </x:c>
      <x:c r="G642" s="6" t="str">
        <x:v>portfolio_budget.admin.publish</x:v>
      </x:c>
      <x:c r="H642" s="6" t="str">
        <x:v>LIVE_ROUTER_REGISTERED</x:v>
      </x:c>
      <x:c r="I642" s="6" t="str">
        <x:v>frontend/src/features/portfolio-budget/api.ts</x:v>
      </x:c>
      <x:c r="J642" s="6" t="str">
        <x:v>NOT_EXECUTED_BY_INVENTORY. SOURCE_LITERAL_OR_TRANSITIVE_HELPER_UNION</x:v>
      </x:c>
    </x:row>
    <x:row r="643" ht="42" customHeight="1">
      <x:c r="A643" s="15" t="str">
        <x:v>API-439</x:v>
      </x:c>
      <x:c r="B643" s="13" t="str">
        <x:v>GET</x:v>
      </x:c>
      <x:c r="C643" s="13" t="str">
        <x:v>/api/v1/portfolios/{portfolio_id}/budget-planning</x:v>
      </x:c>
      <x:c r="D643" s="13" t="str">
        <x:v>READ-ONLY SHARED CONTEXT</x:v>
      </x:c>
      <x:c r="E643" s="13" t="str">
        <x:v>portfolio_budget</x:v>
      </x:c>
      <x:c r="F643" s="13" t="str">
        <x:v>overview</x:v>
      </x:c>
      <x:c r="G643" s="13" t="str">
        <x:v>portfolio_budget.read</x:v>
      </x:c>
      <x:c r="H643" s="13" t="str">
        <x:v>LIVE_ROUTER_REGISTERED</x:v>
      </x:c>
      <x:c r="I643" s="13" t="str">
        <x:v>frontend/src/features/portfolio-budget/api.ts</x:v>
      </x:c>
      <x:c r="J643" s="13" t="str">
        <x:v>NOT_EXECUTED_BY_INVENTORY. SOURCE_LITERAL_OR_TRANSITIVE_HELPER_UNION</x:v>
      </x:c>
    </x:row>
    <x:row r="644" ht="42" customHeight="1">
      <x:c r="A644" s="14" t="str">
        <x:v>API-440</x:v>
      </x:c>
      <x:c r="B644" s="6" t="str">
        <x:v>GET</x:v>
      </x:c>
      <x:c r="C644" s="6" t="str">
        <x:v>/api/v1/portfolios/{portfolio_id}/budget-planning/readiness</x:v>
      </x:c>
      <x:c r="D644" s="6" t="str">
        <x:v>READ-ONLY SHARED CONTEXT</x:v>
      </x:c>
      <x:c r="E644" s="6" t="str">
        <x:v>portfolio_budget</x:v>
      </x:c>
      <x:c r="F644" s="6" t="str">
        <x:v>readiness</x:v>
      </x:c>
      <x:c r="G644" s="6" t="str">
        <x:v>portfolio_budget.read</x:v>
      </x:c>
      <x:c r="H644" s="6" t="str">
        <x:v>LIVE_ROUTER_REGISTERED</x:v>
      </x:c>
      <x:c r="I644" s="6" t="str">
        <x:v>NO_DIRECT_LITERAL_MATCH_NOT_PROOF_UNUSED</x:v>
      </x:c>
      <x:c r="J644" s="6" t="str">
        <x:v>NOT_EXECUTED_BY_INVENTORY. SOURCE_LITERAL_OR_TRANSITIVE_HELPER_UNION</x:v>
      </x:c>
    </x:row>
    <x:row r="645" ht="42" customHeight="1">
      <x:c r="A645" s="15" t="str">
        <x:v>API-441</x:v>
      </x:c>
      <x:c r="B645" s="13" t="str">
        <x:v>GET</x:v>
      </x:c>
      <x:c r="C645" s="13" t="str">
        <x:v>/api/v1/portfolios/{portfolio_id}/budget-planning/recommendation-contract</x:v>
      </x:c>
      <x:c r="D645" s="13" t="str">
        <x:v>READ-ONLY SHARED CONTEXT</x:v>
      </x:c>
      <x:c r="E645" s="13" t="str">
        <x:v>portfolio_budget</x:v>
      </x:c>
      <x:c r="F645" s="13" t="str">
        <x:v>recommendation contract</x:v>
      </x:c>
      <x:c r="G645" s="13" t="str">
        <x:v>portfolio_budget.read</x:v>
      </x:c>
      <x:c r="H645" s="13" t="str">
        <x:v>LIVE_ROUTER_REGISTERED</x:v>
      </x:c>
      <x:c r="I645" s="13" t="str">
        <x:v>NO_DIRECT_LITERAL_MATCH_NOT_PROOF_UNUSED</x:v>
      </x:c>
      <x:c r="J645" s="13" t="str">
        <x:v>NOT_EXECUTED_BY_INVENTORY. SOURCE_LITERAL_OR_TRANSITIVE_HELPER_UNION</x:v>
      </x:c>
    </x:row>
    <x:row r="646" ht="42" customHeight="1">
      <x:c r="A646" s="14" t="str">
        <x:v>API-442</x:v>
      </x:c>
      <x:c r="B646" s="6" t="str">
        <x:v>GET</x:v>
      </x:c>
      <x:c r="C646" s="6" t="str">
        <x:v>/api/v1/portfolios/{portfolio_id}/budget-scenarios</x:v>
      </x:c>
      <x:c r="D646" s="6" t="str">
        <x:v>READ-ONLY SHARED CONTEXT</x:v>
      </x:c>
      <x:c r="E646" s="6" t="str">
        <x:v>portfolio_budget</x:v>
      </x:c>
      <x:c r="F646" s="6" t="str">
        <x:v>scenarios</x:v>
      </x:c>
      <x:c r="G646" s="6" t="str">
        <x:v>portfolio_budget.read</x:v>
      </x:c>
      <x:c r="H646" s="6" t="str">
        <x:v>LIVE_ROUTER_REGISTERED</x:v>
      </x:c>
      <x:c r="I646" s="6" t="str">
        <x:v>frontend/src/features/portfolio-budget/api.ts</x:v>
      </x:c>
      <x:c r="J646" s="6" t="str">
        <x:v>NOT_EXECUTED_BY_INVENTORY. SOURCE_LITERAL_OR_TRANSITIVE_HELPER_UNION</x:v>
      </x:c>
    </x:row>
    <x:row r="647" ht="42" customHeight="1">
      <x:c r="A647" s="15" t="str">
        <x:v>API-443</x:v>
      </x:c>
      <x:c r="B647" s="13" t="str">
        <x:v>POST</x:v>
      </x:c>
      <x:c r="C647" s="13" t="str">
        <x:v>/api/v1/portfolios/{portfolio_id}/budget-scenarios</x:v>
      </x:c>
      <x:c r="D647" s="13" t="str">
        <x:v>USER MODE</x:v>
      </x:c>
      <x:c r="E647" s="13" t="str">
        <x:v>portfolio_budget</x:v>
      </x:c>
      <x:c r="F647" s="13" t="str">
        <x:v>create scenario</x:v>
      </x:c>
      <x:c r="G647" s="13" t="str">
        <x:v>portfolio_budget_scenario.create</x:v>
      </x:c>
      <x:c r="H647" s="13" t="str">
        <x:v>LIVE_ROUTER_REGISTERED</x:v>
      </x:c>
      <x:c r="I647" s="13" t="str">
        <x:v>frontend/src/features/portfolio-budget/api.ts</x:v>
      </x:c>
      <x:c r="J647" s="13" t="str">
        <x:v>NOT_EXECUTED_BY_INVENTORY. SOURCE_LITERAL_OR_TRANSITIVE_HELPER_UNION</x:v>
      </x:c>
    </x:row>
    <x:row r="648" ht="42" customHeight="1">
      <x:c r="A648" s="14" t="str">
        <x:v>API-444</x:v>
      </x:c>
      <x:c r="B648" s="6" t="str">
        <x:v>POST</x:v>
      </x:c>
      <x:c r="C648" s="6" t="str">
        <x:v>/api/v1/portfolios/{portfolio_id}/budget-scenarios/compare</x:v>
      </x:c>
      <x:c r="D648" s="6" t="str">
        <x:v>USER MODE</x:v>
      </x:c>
      <x:c r="E648" s="6" t="str">
        <x:v>portfolio_budget</x:v>
      </x:c>
      <x:c r="F648" s="6" t="str">
        <x:v>compare</x:v>
      </x:c>
      <x:c r="G648" s="6" t="str">
        <x:v>portfolio_budget_scenario.compare</x:v>
      </x:c>
      <x:c r="H648" s="6" t="str">
        <x:v>LIVE_ROUTER_REGISTERED</x:v>
      </x:c>
      <x:c r="I648" s="6" t="str">
        <x:v>frontend/src/features/portfolio-budget/api.ts</x:v>
      </x:c>
      <x:c r="J648" s="6" t="str">
        <x:v>NOT_EXECUTED_BY_INVENTORY. SOURCE_LITERAL_OR_TRANSITIVE_HELPER_UNION</x:v>
      </x:c>
    </x:row>
    <x:row r="649" ht="42" customHeight="1">
      <x:c r="A649" s="15" t="str">
        <x:v>API-445</x:v>
      </x:c>
      <x:c r="B649" s="13" t="str">
        <x:v>GET</x:v>
      </x:c>
      <x:c r="C649" s="13" t="str">
        <x:v>/api/v1/portfolios/{portfolio_id}/budget-targets</x:v>
      </x:c>
      <x:c r="D649" s="13" t="str">
        <x:v>READ-ONLY SHARED CONTEXT</x:v>
      </x:c>
      <x:c r="E649" s="13" t="str">
        <x:v>portfolio_budget</x:v>
      </x:c>
      <x:c r="F649" s="13" t="str">
        <x:v>targets</x:v>
      </x:c>
      <x:c r="G649" s="13" t="str">
        <x:v>portfolio_budget.read</x:v>
      </x:c>
      <x:c r="H649" s="13" t="str">
        <x:v>LIVE_ROUTER_REGISTERED</x:v>
      </x:c>
      <x:c r="I649" s="13" t="str">
        <x:v>frontend/src/features/portfolio-budget/api.ts</x:v>
      </x:c>
      <x:c r="J649" s="13" t="str">
        <x:v>NOT_EXECUTED_BY_INVENTORY. SOURCE_LITERAL_OR_TRANSITIVE_HELPER_UNION</x:v>
      </x:c>
    </x:row>
    <x:row r="650" ht="42" customHeight="1">
      <x:c r="A650" s="14" t="str">
        <x:v>API-446</x:v>
      </x:c>
      <x:c r="B650" s="6" t="str">
        <x:v>POST</x:v>
      </x:c>
      <x:c r="C650" s="6" t="str">
        <x:v>/api/v1/portfolios/{portfolio_id}/budget-targets</x:v>
      </x:c>
      <x:c r="D650" s="6" t="str">
        <x:v>USER MODE</x:v>
      </x:c>
      <x:c r="E650" s="6" t="str">
        <x:v>portfolio_budget</x:v>
      </x:c>
      <x:c r="F650" s="6" t="str">
        <x:v>create target</x:v>
      </x:c>
      <x:c r="G650" s="6" t="str">
        <x:v>portfolio_budget_target.create</x:v>
      </x:c>
      <x:c r="H650" s="6" t="str">
        <x:v>LIVE_ROUTER_REGISTERED</x:v>
      </x:c>
      <x:c r="I650" s="6" t="str">
        <x:v>frontend/src/features/portfolio-budget/api.ts</x:v>
      </x:c>
      <x:c r="J650" s="6" t="str">
        <x:v>NOT_EXECUTED_BY_INVENTORY. SOURCE_LITERAL_OR_TRANSITIVE_HELPER_UNION</x:v>
      </x:c>
    </x:row>
    <x:row r="651" ht="42" customHeight="1">
      <x:c r="A651" s="15" t="str">
        <x:v>API-447</x:v>
      </x:c>
      <x:c r="B651" s="13" t="str">
        <x:v>GET</x:v>
      </x:c>
      <x:c r="C651" s="13" t="str">
        <x:v>/api/v1/portfolios/{portfolio_id}/project-dependencies</x:v>
      </x:c>
      <x:c r="D651" s="13" t="str">
        <x:v>READ-ONLY SHARED CONTEXT</x:v>
      </x:c>
      <x:c r="E651" s="13" t="str">
        <x:v>portfolio_budget</x:v>
      </x:c>
      <x:c r="F651" s="13" t="str">
        <x:v>project dependencies</x:v>
      </x:c>
      <x:c r="G651" s="13" t="str">
        <x:v>portfolio_dependency.read</x:v>
      </x:c>
      <x:c r="H651" s="13" t="str">
        <x:v>LIVE_ROUTER_REGISTERED</x:v>
      </x:c>
      <x:c r="I651" s="13" t="str">
        <x:v>frontend/src/features/portfolio-budget/api.ts</x:v>
      </x:c>
      <x:c r="J651" s="13" t="str">
        <x:v>NOT_EXECUTED_BY_INVENTORY. SOURCE_LITERAL_OR_TRANSITIVE_HELPER_UNION</x:v>
      </x:c>
    </x:row>
    <x:row r="652" ht="42" customHeight="1">
      <x:c r="A652" s="14" t="str">
        <x:v>API-448</x:v>
      </x:c>
      <x:c r="B652" s="6" t="str">
        <x:v>POST</x:v>
      </x:c>
      <x:c r="C652" s="6" t="str">
        <x:v>/api/v1/portfolios/{portfolio_id}/project-dependencies</x:v>
      </x:c>
      <x:c r="D652" s="6" t="str">
        <x:v>USER MODE</x:v>
      </x:c>
      <x:c r="E652" s="6" t="str">
        <x:v>portfolio_budget</x:v>
      </x:c>
      <x:c r="F652" s="6" t="str">
        <x:v>create project dependency</x:v>
      </x:c>
      <x:c r="G652" s="6" t="str">
        <x:v>portfolio_dependency.manage</x:v>
      </x:c>
      <x:c r="H652" s="6" t="str">
        <x:v>LIVE_ROUTER_REGISTERED</x:v>
      </x:c>
      <x:c r="I652" s="6" t="str">
        <x:v>frontend/src/features/portfolio-budget/api.ts</x:v>
      </x:c>
      <x:c r="J652" s="6" t="str">
        <x:v>NOT_EXECUTED_BY_INVENTORY. SOURCE_LITERAL_OR_TRANSITIVE_HELPER_UNION</x:v>
      </x:c>
    </x:row>
    <x:row r="653" ht="42" customHeight="1">
      <x:c r="A653" s="15" t="str">
        <x:v>API-449</x:v>
      </x:c>
      <x:c r="B653" s="13" t="str">
        <x:v>GET</x:v>
      </x:c>
      <x:c r="C653" s="13" t="str">
        <x:v>/api/v1/project-dependencies/{dependency_id}</x:v>
      </x:c>
      <x:c r="D653" s="13" t="str">
        <x:v>READ-ONLY SHARED CONTEXT</x:v>
      </x:c>
      <x:c r="E653" s="13" t="str">
        <x:v>portfolio_budget</x:v>
      </x:c>
      <x:c r="F653" s="13" t="str">
        <x:v>project dependency</x:v>
      </x:c>
      <x:c r="G653" s="13" t="str">
        <x:v>portfolio_dependency.read</x:v>
      </x:c>
      <x:c r="H653" s="13" t="str">
        <x:v>LIVE_ROUTER_REGISTERED</x:v>
      </x:c>
      <x:c r="I653" s="13" t="str">
        <x:v>frontend/src/features/portfolio-budget/api.ts</x:v>
      </x:c>
      <x:c r="J653" s="13" t="str">
        <x:v>NOT_EXECUTED_BY_INVENTORY. SOURCE_LITERAL_OR_TRANSITIVE_HELPER_UNION</x:v>
      </x:c>
    </x:row>
    <x:row r="654" ht="42" customHeight="1">
      <x:c r="A654" s="14" t="str">
        <x:v>API-450</x:v>
      </x:c>
      <x:c r="B654" s="6" t="str">
        <x:v>PUT</x:v>
      </x:c>
      <x:c r="C654" s="6" t="str">
        <x:v>/api/v1/project-dependencies/{dependency_id}</x:v>
      </x:c>
      <x:c r="D654" s="6" t="str">
        <x:v>USER MODE</x:v>
      </x:c>
      <x:c r="E654" s="6" t="str">
        <x:v>portfolio_budget</x:v>
      </x:c>
      <x:c r="F654" s="6" t="str">
        <x:v>update project dependency</x:v>
      </x:c>
      <x:c r="G654" s="6" t="str">
        <x:v>portfolio_dependency.manage</x:v>
      </x:c>
      <x:c r="H654" s="6" t="str">
        <x:v>LIVE_ROUTER_REGISTERED</x:v>
      </x:c>
      <x:c r="I654" s="6" t="str">
        <x:v>frontend/src/features/portfolio-budget/api.ts</x:v>
      </x:c>
      <x:c r="J654" s="6" t="str">
        <x:v>NOT_EXECUTED_BY_INVENTORY. SOURCE_LITERAL_OR_TRANSITIVE_HELPER_UNION</x:v>
      </x:c>
    </x:row>
    <x:row r="655" ht="42" customHeight="1">
      <x:c r="A655" s="15" t="str">
        <x:v>API-451</x:v>
      </x:c>
      <x:c r="B655" s="13" t="str">
        <x:v>POST</x:v>
      </x:c>
      <x:c r="C655" s="13" t="str">
        <x:v>/api/v1/project-dependencies/{dependency_id}/deactivate</x:v>
      </x:c>
      <x:c r="D655" s="13" t="str">
        <x:v>USER MODE</x:v>
      </x:c>
      <x:c r="E655" s="13" t="str">
        <x:v>portfolio_budget</x:v>
      </x:c>
      <x:c r="F655" s="13" t="str">
        <x:v>deactivate project dependency</x:v>
      </x:c>
      <x:c r="G655" s="13" t="str">
        <x:v>portfolio_dependency.manage</x:v>
      </x:c>
      <x:c r="H655" s="13" t="str">
        <x:v>LIVE_ROUTER_REGISTERED</x:v>
      </x:c>
      <x:c r="I655" s="13" t="str">
        <x:v>frontend/src/features/portfolio-budget/api.ts</x:v>
      </x:c>
      <x:c r="J655" s="13" t="str">
        <x:v>NOT_EXECUTED_BY_INVENTORY. SOURCE_LITERAL_OR_TRANSITIVE_HELPER_UNION</x:v>
      </x:c>
    </x:row>
    <x:row r="656" ht="42" customHeight="1">
      <x:c r="A656" s="14" t="str">
        <x:v>API-452</x:v>
      </x:c>
      <x:c r="B656" s="6" t="str">
        <x:v>GET</x:v>
      </x:c>
      <x:c r="C656" s="6" t="str">
        <x:v>/api/v1/portfolio-convergence/admin/configurations</x:v>
      </x:c>
      <x:c r="D656" s="6" t="str">
        <x:v>ADMIN MODE</x:v>
      </x:c>
      <x:c r="E656" s="6" t="str">
        <x:v>portfolio_convergence</x:v>
      </x:c>
      <x:c r="F656" s="6" t="str">
        <x:v>configurations</x:v>
      </x:c>
      <x:c r="G656" s="6" t="str">
        <x:v>portfolio_convergence.admin.configure</x:v>
      </x:c>
      <x:c r="H656" s="6" t="str">
        <x:v>LIVE_ROUTER_REGISTERED</x:v>
      </x:c>
      <x:c r="I656" s="6" t="str">
        <x:v>frontend/src/features/portfolio-convergence/api.ts</x:v>
      </x:c>
      <x:c r="J656" s="6" t="str">
        <x:v>NOT_EXECUTED_BY_INVENTORY. SOURCE_LITERAL_OR_TRANSITIVE_HELPER_UNION</x:v>
      </x:c>
    </x:row>
    <x:row r="657" ht="42" customHeight="1">
      <x:c r="A657" s="15" t="str">
        <x:v>API-453</x:v>
      </x:c>
      <x:c r="B657" s="13" t="str">
        <x:v>POST</x:v>
      </x:c>
      <x:c r="C657" s="13" t="str">
        <x:v>/api/v1/portfolio-convergence/admin/configurations/preview</x:v>
      </x:c>
      <x:c r="D657" s="13" t="str">
        <x:v>ADMIN MODE</x:v>
      </x:c>
      <x:c r="E657" s="13" t="str">
        <x:v>portfolio_convergence</x:v>
      </x:c>
      <x:c r="F657" s="13" t="str">
        <x:v>configuration preview</x:v>
      </x:c>
      <x:c r="G657" s="13" t="str">
        <x:v>portfolio_convergence.admin.configure</x:v>
      </x:c>
      <x:c r="H657" s="13" t="str">
        <x:v>LIVE_ROUTER_REGISTERED</x:v>
      </x:c>
      <x:c r="I657" s="13" t="str">
        <x:v>frontend/src/features/portfolio-convergence/api.ts</x:v>
      </x:c>
      <x:c r="J657" s="13" t="str">
        <x:v>NOT_EXECUTED_BY_INVENTORY. SOURCE_LITERAL_OR_TRANSITIVE_HELPER_UNION</x:v>
      </x:c>
    </x:row>
    <x:row r="658" ht="42" customHeight="1">
      <x:c r="A658" s="14" t="str">
        <x:v>API-454</x:v>
      </x:c>
      <x:c r="B658" s="6" t="str">
        <x:v>PUT</x:v>
      </x:c>
      <x:c r="C658" s="6" t="str">
        <x:v>/api/v1/portfolio-convergence/admin/configurations/{configuration_id}</x:v>
      </x:c>
      <x:c r="D658" s="6" t="str">
        <x:v>ADMIN MODE</x:v>
      </x:c>
      <x:c r="E658" s="6" t="str">
        <x:v>portfolio_convergence</x:v>
      </x:c>
      <x:c r="F658" s="6" t="str">
        <x:v>update configuration</x:v>
      </x:c>
      <x:c r="G658" s="6" t="str">
        <x:v>portfolio_convergence.admin.configure</x:v>
      </x:c>
      <x:c r="H658" s="6" t="str">
        <x:v>LIVE_ROUTER_REGISTERED</x:v>
      </x:c>
      <x:c r="I658" s="6" t="str">
        <x:v>frontend/src/features/portfolio-convergence/api.ts</x:v>
      </x:c>
      <x:c r="J658" s="6" t="str">
        <x:v>NOT_EXECUTED_BY_INVENTORY. SOURCE_LITERAL_OR_TRANSITIVE_HELPER_UNION</x:v>
      </x:c>
    </x:row>
    <x:row r="659" ht="42" customHeight="1">
      <x:c r="A659" s="15" t="str">
        <x:v>API-455</x:v>
      </x:c>
      <x:c r="B659" s="13" t="str">
        <x:v>POST</x:v>
      </x:c>
      <x:c r="C659" s="13" t="str">
        <x:v>/api/v1/portfolio-convergence/admin/configurations/{configuration_id}/clone</x:v>
      </x:c>
      <x:c r="D659" s="13" t="str">
        <x:v>ADMIN MODE</x:v>
      </x:c>
      <x:c r="E659" s="13" t="str">
        <x:v>portfolio_convergence</x:v>
      </x:c>
      <x:c r="F659" s="13" t="str">
        <x:v>clone configuration</x:v>
      </x:c>
      <x:c r="G659" s="13" t="str">
        <x:v>portfolio_convergence.admin.configure</x:v>
      </x:c>
      <x:c r="H659" s="13" t="str">
        <x:v>LIVE_ROUTER_REGISTERED</x:v>
      </x:c>
      <x:c r="I659" s="13" t="str">
        <x:v>frontend/src/features/portfolio-convergence/api.ts</x:v>
      </x:c>
      <x:c r="J659" s="13" t="str">
        <x:v>NOT_EXECUTED_BY_INVENTORY. SOURCE_LITERAL_OR_TRANSITIVE_HELPER_UNION</x:v>
      </x:c>
    </x:row>
    <x:row r="660" ht="42" customHeight="1">
      <x:c r="A660" s="14" t="str">
        <x:v>API-456</x:v>
      </x:c>
      <x:c r="B660" s="6" t="str">
        <x:v>POST</x:v>
      </x:c>
      <x:c r="C660" s="6" t="str">
        <x:v>/api/v1/portfolio-convergence/admin/configurations/{configuration_id}/publish</x:v>
      </x:c>
      <x:c r="D660" s="6" t="str">
        <x:v>ADMIN MODE</x:v>
      </x:c>
      <x:c r="E660" s="6" t="str">
        <x:v>portfolio_convergence</x:v>
      </x:c>
      <x:c r="F660" s="6" t="str">
        <x:v>publish configuration</x:v>
      </x:c>
      <x:c r="G660" s="6" t="str">
        <x:v>portfolio_convergence.admin.publish</x:v>
      </x:c>
      <x:c r="H660" s="6" t="str">
        <x:v>LIVE_ROUTER_REGISTERED</x:v>
      </x:c>
      <x:c r="I660" s="6" t="str">
        <x:v>frontend/src/features/portfolio-convergence/api.ts</x:v>
      </x:c>
      <x:c r="J660" s="6" t="str">
        <x:v>NOT_EXECUTED_BY_INVENTORY. SOURCE_LITERAL_OR_TRANSITIVE_HELPER_UNION</x:v>
      </x:c>
    </x:row>
    <x:row r="661" ht="42" customHeight="1">
      <x:c r="A661" s="15" t="str">
        <x:v>API-457</x:v>
      </x:c>
      <x:c r="B661" s="13" t="str">
        <x:v>GET</x:v>
      </x:c>
      <x:c r="C661" s="13" t="str">
        <x:v>/api/v1/portfolio-scenario-convergences/{convergence_id}</x:v>
      </x:c>
      <x:c r="D661" s="13" t="str">
        <x:v>READ-ONLY SHARED CONTEXT</x:v>
      </x:c>
      <x:c r="E661" s="13" t="str">
        <x:v>portfolio_convergence</x:v>
      </x:c>
      <x:c r="F661" s="13" t="str">
        <x:v>convergence</x:v>
      </x:c>
      <x:c r="G661" s="13" t="str">
        <x:v>portfolio_convergence.read</x:v>
      </x:c>
      <x:c r="H661" s="13" t="str">
        <x:v>LIVE_ROUTER_REGISTERED</x:v>
      </x:c>
      <x:c r="I661" s="13" t="str">
        <x:v>NO_DIRECT_LITERAL_MATCH_NOT_PROOF_UNUSED</x:v>
      </x:c>
      <x:c r="J661" s="13" t="str">
        <x:v>NOT_EXECUTED_BY_INVENTORY. SOURCE_LITERAL_OR_TRANSITIVE_HELPER_UNION</x:v>
      </x:c>
    </x:row>
    <x:row r="662" ht="42" customHeight="1">
      <x:c r="A662" s="14" t="str">
        <x:v>API-458</x:v>
      </x:c>
      <x:c r="B662" s="6" t="str">
        <x:v>PUT</x:v>
      </x:c>
      <x:c r="C662" s="6" t="str">
        <x:v>/api/v1/portfolio-scenario-convergences/{convergence_id}</x:v>
      </x:c>
      <x:c r="D662" s="6" t="str">
        <x:v>USER MODE</x:v>
      </x:c>
      <x:c r="E662" s="6" t="str">
        <x:v>portfolio_convergence</x:v>
      </x:c>
      <x:c r="F662" s="6" t="str">
        <x:v>update convergence</x:v>
      </x:c>
      <x:c r="G662" s="6" t="str">
        <x:v>portfolio_convergence.edit</x:v>
      </x:c>
      <x:c r="H662" s="6" t="str">
        <x:v>LIVE_ROUTER_REGISTERED</x:v>
      </x:c>
      <x:c r="I662" s="6" t="str">
        <x:v>NO_DIRECT_LITERAL_MATCH_NOT_PROOF_UNUSED</x:v>
      </x:c>
      <x:c r="J662" s="6" t="str">
        <x:v>NOT_EXECUTED_BY_INVENTORY. SOURCE_LITERAL_OR_TRANSITIVE_HELPER_UNION</x:v>
      </x:c>
    </x:row>
    <x:row r="663" ht="42" customHeight="1">
      <x:c r="A663" s="15" t="str">
        <x:v>API-459</x:v>
      </x:c>
      <x:c r="B663" s="13" t="str">
        <x:v>POST</x:v>
      </x:c>
      <x:c r="C663" s="13" t="str">
        <x:v>/api/v1/portfolio-scenario-convergences/{convergence_id}/alternatives</x:v>
      </x:c>
      <x:c r="D663" s="13" t="str">
        <x:v>USER MODE</x:v>
      </x:c>
      <x:c r="E663" s="13" t="str">
        <x:v>portfolio_convergence</x:v>
      </x:c>
      <x:c r="F663" s="13" t="str">
        <x:v>add alternative</x:v>
      </x:c>
      <x:c r="G663" s="13" t="str">
        <x:v>portfolio_convergence.edit</x:v>
      </x:c>
      <x:c r="H663" s="13" t="str">
        <x:v>LIVE_ROUTER_REGISTERED</x:v>
      </x:c>
      <x:c r="I663" s="13" t="str">
        <x:v>frontend/src/features/portfolio-convergence/api.ts</x:v>
      </x:c>
      <x:c r="J663" s="13" t="str">
        <x:v>NOT_EXECUTED_BY_INVENTORY. SOURCE_LITERAL_OR_TRANSITIVE_HELPER_UNION</x:v>
      </x:c>
    </x:row>
    <x:row r="664" ht="42" customHeight="1">
      <x:c r="A664" s="14" t="str">
        <x:v>API-460</x:v>
      </x:c>
      <x:c r="B664" s="6" t="str">
        <x:v>DELETE</x:v>
      </x:c>
      <x:c r="C664" s="6" t="str">
        <x:v>/api/v1/portfolio-scenario-convergences/{convergence_id}/alternatives/{alternative_id}</x:v>
      </x:c>
      <x:c r="D664" s="6" t="str">
        <x:v>USER MODE</x:v>
      </x:c>
      <x:c r="E664" s="6" t="str">
        <x:v>portfolio_convergence</x:v>
      </x:c>
      <x:c r="F664" s="6" t="str">
        <x:v>remove alternative</x:v>
      </x:c>
      <x:c r="G664" s="6" t="str">
        <x:v>portfolio_convergence.edit</x:v>
      </x:c>
      <x:c r="H664" s="6" t="str">
        <x:v>LIVE_ROUTER_REGISTERED</x:v>
      </x:c>
      <x:c r="I664" s="6" t="str">
        <x:v>NO_DIRECT_LITERAL_MATCH_NOT_PROOF_UNUSED</x:v>
      </x:c>
      <x:c r="J664" s="6" t="str">
        <x:v>NOT_EXECUTED_BY_INVENTORY. SOURCE_LITERAL_OR_TRANSITIVE_HELPER_UNION</x:v>
      </x:c>
    </x:row>
    <x:row r="665" ht="53" customHeight="1">
      <x:c r="A665" s="15" t="str">
        <x:v>API-461</x:v>
      </x:c>
      <x:c r="B665" s="13" t="str">
        <x:v>POST</x:v>
      </x:c>
      <x:c r="C665" s="13" t="str">
        <x:v>/api/v1/portfolio-scenario-convergences/{convergence_id}/clone</x:v>
      </x:c>
      <x:c r="D665" s="13" t="str">
        <x:v>USER MODE</x:v>
      </x:c>
      <x:c r="E665" s="13" t="str">
        <x:v>portfolio_convergence</x:v>
      </x:c>
      <x:c r="F665" s="13" t="str">
        <x:v>clone</x:v>
      </x:c>
      <x:c r="G665" s="13" t="str">
        <x:v>portfolio_convergence.create; portfolio_convergence.edit; portfolio_recommendation.return; portfolio_recommendation.submit</x:v>
      </x:c>
      <x:c r="H665" s="13" t="str">
        <x:v>LIVE_ROUTER_REGISTERED</x:v>
      </x:c>
      <x:c r="I665" s="13" t="str">
        <x:v>NO_DIRECT_LITERAL_MATCH_NOT_PROOF_UNUSED</x:v>
      </x:c>
      <x:c r="J665" s="13" t="str">
        <x:v>NOT_EXECUTED_BY_INVENTORY. SOURCE_LITERAL_OR_TRANSITIVE_HELPER_UNION</x:v>
      </x:c>
    </x:row>
    <x:row r="666" ht="42" customHeight="1">
      <x:c r="A666" s="14" t="str">
        <x:v>API-462</x:v>
      </x:c>
      <x:c r="B666" s="6" t="str">
        <x:v>POST</x:v>
      </x:c>
      <x:c r="C666" s="6" t="str">
        <x:v>/api/v1/portfolio-scenario-convergences/{convergence_id}/compare</x:v>
      </x:c>
      <x:c r="D666" s="6" t="str">
        <x:v>USER MODE</x:v>
      </x:c>
      <x:c r="E666" s="6" t="str">
        <x:v>portfolio_convergence</x:v>
      </x:c>
      <x:c r="F666" s="6" t="str">
        <x:v>compare</x:v>
      </x:c>
      <x:c r="G666" s="6" t="str">
        <x:v>portfolio_convergence.compare</x:v>
      </x:c>
      <x:c r="H666" s="6" t="str">
        <x:v>LIVE_ROUTER_REGISTERED</x:v>
      </x:c>
      <x:c r="I666" s="6" t="str">
        <x:v>frontend/src/features/portfolio-convergence/api.ts</x:v>
      </x:c>
      <x:c r="J666" s="6" t="str">
        <x:v>NOT_EXECUTED_BY_INVENTORY. SOURCE_LITERAL_OR_TRANSITIVE_HELPER_UNION</x:v>
      </x:c>
    </x:row>
    <x:row r="667" ht="42" customHeight="1">
      <x:c r="A667" s="15" t="str">
        <x:v>API-463</x:v>
      </x:c>
      <x:c r="B667" s="13" t="str">
        <x:v>POST</x:v>
      </x:c>
      <x:c r="C667" s="13" t="str">
        <x:v>/api/v1/portfolio-scenario-convergences/{convergence_id}/recommend</x:v>
      </x:c>
      <x:c r="D667" s="13" t="str">
        <x:v>USER MODE</x:v>
      </x:c>
      <x:c r="E667" s="13" t="str">
        <x:v>portfolio_convergence</x:v>
      </x:c>
      <x:c r="F667" s="13" t="str">
        <x:v>recommend</x:v>
      </x:c>
      <x:c r="G667" s="13" t="str">
        <x:v>portfolio_recommendation.recommend</x:v>
      </x:c>
      <x:c r="H667" s="13" t="str">
        <x:v>LIVE_ROUTER_REGISTERED</x:v>
      </x:c>
      <x:c r="I667" s="13" t="str">
        <x:v>frontend/src/features/portfolio-convergence/api.ts</x:v>
      </x:c>
      <x:c r="J667" s="13" t="str">
        <x:v>NOT_EXECUTED_BY_INVENTORY. SOURCE_LITERAL_OR_TRANSITIVE_HELPER_UNION</x:v>
      </x:c>
    </x:row>
    <x:row r="668" ht="42" customHeight="1">
      <x:c r="A668" s="14" t="str">
        <x:v>API-464</x:v>
      </x:c>
      <x:c r="B668" s="6" t="str">
        <x:v>POST</x:v>
      </x:c>
      <x:c r="C668" s="6" t="str">
        <x:v>/api/v1/portfolio-scenario-convergences/{convergence_id}/refresh</x:v>
      </x:c>
      <x:c r="D668" s="6" t="str">
        <x:v>USER MODE</x:v>
      </x:c>
      <x:c r="E668" s="6" t="str">
        <x:v>portfolio_convergence</x:v>
      </x:c>
      <x:c r="F668" s="6" t="str">
        <x:v>apply refresh</x:v>
      </x:c>
      <x:c r="G668" s="6" t="str">
        <x:v>portfolio_convergence.refresh</x:v>
      </x:c>
      <x:c r="H668" s="6" t="str">
        <x:v>LIVE_ROUTER_REGISTERED</x:v>
      </x:c>
      <x:c r="I668" s="6" t="str">
        <x:v>NO_DIRECT_LITERAL_MATCH_NOT_PROOF_UNUSED</x:v>
      </x:c>
      <x:c r="J668" s="6" t="str">
        <x:v>NOT_EXECUTED_BY_INVENTORY. SOURCE_LITERAL_OR_TRANSITIVE_HELPER_UNION</x:v>
      </x:c>
    </x:row>
    <x:row r="669" ht="42" customHeight="1">
      <x:c r="A669" s="15" t="str">
        <x:v>API-465</x:v>
      </x:c>
      <x:c r="B669" s="13" t="str">
        <x:v>POST</x:v>
      </x:c>
      <x:c r="C669" s="13" t="str">
        <x:v>/api/v1/portfolio-scenario-convergences/{convergence_id}/refresh-preview</x:v>
      </x:c>
      <x:c r="D669" s="13" t="str">
        <x:v>USER MODE</x:v>
      </x:c>
      <x:c r="E669" s="13" t="str">
        <x:v>portfolio_convergence</x:v>
      </x:c>
      <x:c r="F669" s="13" t="str">
        <x:v>refresh preview</x:v>
      </x:c>
      <x:c r="G669" s="13" t="str">
        <x:v>portfolio_convergence.refresh</x:v>
      </x:c>
      <x:c r="H669" s="13" t="str">
        <x:v>LIVE_ROUTER_REGISTERED</x:v>
      </x:c>
      <x:c r="I669" s="13" t="str">
        <x:v>frontend/src/features/portfolio-convergence/api.ts</x:v>
      </x:c>
      <x:c r="J669" s="13" t="str">
        <x:v>NOT_EXECUTED_BY_INVENTORY. SOURCE_LITERAL_OR_TRANSITIVE_HELPER_UNION</x:v>
      </x:c>
    </x:row>
    <x:row r="670" ht="53" customHeight="1">
      <x:c r="A670" s="14" t="str">
        <x:v>API-466</x:v>
      </x:c>
      <x:c r="B670" s="6" t="str">
        <x:v>POST</x:v>
      </x:c>
      <x:c r="C670" s="6" t="str">
        <x:v>/api/v1/portfolio-scenario-convergences/{convergence_id}/return-to-draft</x:v>
      </x:c>
      <x:c r="D670" s="6" t="str">
        <x:v>USER MODE</x:v>
      </x:c>
      <x:c r="E670" s="6" t="str">
        <x:v>portfolio_convergence</x:v>
      </x:c>
      <x:c r="F670" s="6" t="str">
        <x:v>return to draft</x:v>
      </x:c>
      <x:c r="G670" s="6" t="str">
        <x:v>portfolio_convergence.create; portfolio_convergence.edit; portfolio_recommendation.return; portfolio_recommendation.submit</x:v>
      </x:c>
      <x:c r="H670" s="6" t="str">
        <x:v>LIVE_ROUTER_REGISTERED</x:v>
      </x:c>
      <x:c r="I670" s="6" t="str">
        <x:v>frontend/src/features/portfolio-convergence/api.ts</x:v>
      </x:c>
      <x:c r="J670" s="6" t="str">
        <x:v>NOT_EXECUTED_BY_INVENTORY. SOURCE_LITERAL_OR_TRANSITIVE_HELPER_UNION</x:v>
      </x:c>
    </x:row>
    <x:row r="671" ht="53" customHeight="1">
      <x:c r="A671" s="15" t="str">
        <x:v>API-467</x:v>
      </x:c>
      <x:c r="B671" s="13" t="str">
        <x:v>POST</x:v>
      </x:c>
      <x:c r="C671" s="13" t="str">
        <x:v>/api/v1/portfolio-scenario-convergences/{convergence_id}/submit-review</x:v>
      </x:c>
      <x:c r="D671" s="13" t="str">
        <x:v>USER MODE</x:v>
      </x:c>
      <x:c r="E671" s="13" t="str">
        <x:v>portfolio_convergence</x:v>
      </x:c>
      <x:c r="F671" s="13" t="str">
        <x:v>submit review</x:v>
      </x:c>
      <x:c r="G671" s="13" t="str">
        <x:v>portfolio_convergence.create; portfolio_convergence.edit; portfolio_recommendation.return; portfolio_recommendation.submit</x:v>
      </x:c>
      <x:c r="H671" s="13" t="str">
        <x:v>LIVE_ROUTER_REGISTERED</x:v>
      </x:c>
      <x:c r="I671" s="13" t="str">
        <x:v>frontend/src/features/portfolio-convergence/api.ts</x:v>
      </x:c>
      <x:c r="J671" s="13" t="str">
        <x:v>NOT_EXECUTED_BY_INVENTORY. SOURCE_LITERAL_OR_TRANSITIVE_HELPER_UNION</x:v>
      </x:c>
    </x:row>
    <x:row r="672" ht="53" customHeight="1">
      <x:c r="A672" s="14" t="str">
        <x:v>API-468</x:v>
      </x:c>
      <x:c r="B672" s="6" t="str">
        <x:v>POST</x:v>
      </x:c>
      <x:c r="C672" s="6" t="str">
        <x:v>/api/v1/portfolio-scenario-convergences/{convergence_id}/void</x:v>
      </x:c>
      <x:c r="D672" s="6" t="str">
        <x:v>USER MODE</x:v>
      </x:c>
      <x:c r="E672" s="6" t="str">
        <x:v>portfolio_convergence</x:v>
      </x:c>
      <x:c r="F672" s="6" t="str">
        <x:v>void</x:v>
      </x:c>
      <x:c r="G672" s="6" t="str">
        <x:v>portfolio_convergence.create; portfolio_convergence.edit; portfolio_recommendation.return; portfolio_recommendation.submit</x:v>
      </x:c>
      <x:c r="H672" s="6" t="str">
        <x:v>LIVE_ROUTER_REGISTERED</x:v>
      </x:c>
      <x:c r="I672" s="6" t="str">
        <x:v>NO_DIRECT_LITERAL_MATCH_NOT_PROOF_UNUSED</x:v>
      </x:c>
      <x:c r="J672" s="6" t="str">
        <x:v>NOT_EXECUTED_BY_INVENTORY. SOURCE_LITERAL_OR_TRANSITIVE_HELPER_UNION</x:v>
      </x:c>
    </x:row>
    <x:row r="673" ht="42" customHeight="1">
      <x:c r="A673" s="15" t="str">
        <x:v>API-469</x:v>
      </x:c>
      <x:c r="B673" s="13" t="str">
        <x:v>GET</x:v>
      </x:c>
      <x:c r="C673" s="13" t="str">
        <x:v>/api/v1/portfolios/{portfolio_id}/investment-gate-preparation-contract</x:v>
      </x:c>
      <x:c r="D673" s="13" t="str">
        <x:v>READ-ONLY SHARED CONTEXT</x:v>
      </x:c>
      <x:c r="E673" s="13" t="str">
        <x:v>portfolio_convergence</x:v>
      </x:c>
      <x:c r="F673" s="13" t="str">
        <x:v>preparation contract</x:v>
      </x:c>
      <x:c r="G673" s="13" t="str">
        <x:v>portfolio_convergence.read</x:v>
      </x:c>
      <x:c r="H673" s="13" t="str">
        <x:v>LIVE_ROUTER_REGISTERED</x:v>
      </x:c>
      <x:c r="I673" s="13" t="str">
        <x:v>NO_DIRECT_LITERAL_MATCH_NOT_PROOF_UNUSED</x:v>
      </x:c>
      <x:c r="J673" s="13" t="str">
        <x:v>NOT_EXECUTED_BY_INVENTORY. SOURCE_LITERAL_OR_TRANSITIVE_HELPER_UNION</x:v>
      </x:c>
    </x:row>
    <x:row r="674" ht="42" customHeight="1">
      <x:c r="A674" s="14" t="str">
        <x:v>API-470</x:v>
      </x:c>
      <x:c r="B674" s="6" t="str">
        <x:v>GET</x:v>
      </x:c>
      <x:c r="C674" s="6" t="str">
        <x:v>/api/v1/portfolios/{portfolio_id}/recommendation-readiness</x:v>
      </x:c>
      <x:c r="D674" s="6" t="str">
        <x:v>READ-ONLY SHARED CONTEXT</x:v>
      </x:c>
      <x:c r="E674" s="6" t="str">
        <x:v>portfolio_convergence</x:v>
      </x:c>
      <x:c r="F674" s="6" t="str">
        <x:v>readiness</x:v>
      </x:c>
      <x:c r="G674" s="6" t="str">
        <x:v>portfolio_convergence.read</x:v>
      </x:c>
      <x:c r="H674" s="6" t="str">
        <x:v>LIVE_ROUTER_REGISTERED</x:v>
      </x:c>
      <x:c r="I674" s="6" t="str">
        <x:v>NO_DIRECT_LITERAL_MATCH_NOT_PROOF_UNUSED</x:v>
      </x:c>
      <x:c r="J674" s="6" t="str">
        <x:v>NOT_EXECUTED_BY_INVENTORY. SOURCE_LITERAL_OR_TRANSITIVE_HELPER_UNION</x:v>
      </x:c>
    </x:row>
    <x:row r="675" ht="42" customHeight="1">
      <x:c r="A675" s="15" t="str">
        <x:v>API-471</x:v>
      </x:c>
      <x:c r="B675" s="13" t="str">
        <x:v>GET</x:v>
      </x:c>
      <x:c r="C675" s="13" t="str">
        <x:v>/api/v1/portfolios/{portfolio_id}/scenario-convergence</x:v>
      </x:c>
      <x:c r="D675" s="13" t="str">
        <x:v>READ-ONLY SHARED CONTEXT</x:v>
      </x:c>
      <x:c r="E675" s="13" t="str">
        <x:v>portfolio_convergence</x:v>
      </x:c>
      <x:c r="F675" s="13" t="str">
        <x:v>overview</x:v>
      </x:c>
      <x:c r="G675" s="13" t="str">
        <x:v>portfolio_convergence.read</x:v>
      </x:c>
      <x:c r="H675" s="13" t="str">
        <x:v>LIVE_ROUTER_REGISTERED</x:v>
      </x:c>
      <x:c r="I675" s="13" t="str">
        <x:v>frontend/src/features/portfolio-convergence/api.ts</x:v>
      </x:c>
      <x:c r="J675" s="13" t="str">
        <x:v>NOT_EXECUTED_BY_INVENTORY. SOURCE_LITERAL_OR_TRANSITIVE_HELPER_UNION</x:v>
      </x:c>
    </x:row>
    <x:row r="676" ht="42" customHeight="1">
      <x:c r="A676" s="14" t="str">
        <x:v>API-472</x:v>
      </x:c>
      <x:c r="B676" s="6" t="str">
        <x:v>GET</x:v>
      </x:c>
      <x:c r="C676" s="6" t="str">
        <x:v>/api/v1/portfolios/{portfolio_id}/scenario-convergences</x:v>
      </x:c>
      <x:c r="D676" s="6" t="str">
        <x:v>READ-ONLY SHARED CONTEXT</x:v>
      </x:c>
      <x:c r="E676" s="6" t="str">
        <x:v>portfolio_convergence</x:v>
      </x:c>
      <x:c r="F676" s="6" t="str">
        <x:v>convergences</x:v>
      </x:c>
      <x:c r="G676" s="6" t="str">
        <x:v>portfolio_convergence.read</x:v>
      </x:c>
      <x:c r="H676" s="6" t="str">
        <x:v>LIVE_ROUTER_REGISTERED</x:v>
      </x:c>
      <x:c r="I676" s="6" t="str">
        <x:v>frontend/src/features/portfolio-convergence/api.ts</x:v>
      </x:c>
      <x:c r="J676" s="6" t="str">
        <x:v>NOT_EXECUTED_BY_INVENTORY. SOURCE_LITERAL_OR_TRANSITIVE_HELPER_UNION</x:v>
      </x:c>
    </x:row>
    <x:row r="677" ht="42" customHeight="1">
      <x:c r="A677" s="15" t="str">
        <x:v>API-473</x:v>
      </x:c>
      <x:c r="B677" s="13" t="str">
        <x:v>POST</x:v>
      </x:c>
      <x:c r="C677" s="13" t="str">
        <x:v>/api/v1/portfolios/{portfolio_id}/scenario-convergences</x:v>
      </x:c>
      <x:c r="D677" s="13" t="str">
        <x:v>USER MODE</x:v>
      </x:c>
      <x:c r="E677" s="13" t="str">
        <x:v>portfolio_convergence</x:v>
      </x:c>
      <x:c r="F677" s="13" t="str">
        <x:v>create convergence</x:v>
      </x:c>
      <x:c r="G677" s="13" t="str">
        <x:v>portfolio_convergence.create</x:v>
      </x:c>
      <x:c r="H677" s="13" t="str">
        <x:v>LIVE_ROUTER_REGISTERED</x:v>
      </x:c>
      <x:c r="I677" s="13" t="str">
        <x:v>frontend/src/features/portfolio-convergence/api.ts</x:v>
      </x:c>
      <x:c r="J677" s="13" t="str">
        <x:v>NOT_EXECUTED_BY_INVENTORY. SOURCE_LITERAL_OR_TRANSITIVE_HELPER_UNION</x:v>
      </x:c>
    </x:row>
    <x:row r="678" ht="42" customHeight="1">
      <x:c r="A678" s="14" t="str">
        <x:v>API-474</x:v>
      </x:c>
      <x:c r="B678" s="6" t="str">
        <x:v>GET</x:v>
      </x:c>
      <x:c r="C678" s="6" t="str">
        <x:v>/api/v1/portfolio-evaluation/admin/configurations</x:v>
      </x:c>
      <x:c r="D678" s="6" t="str">
        <x:v>ADMIN MODE</x:v>
      </x:c>
      <x:c r="E678" s="6" t="str">
        <x:v>portfolio_evaluation</x:v>
      </x:c>
      <x:c r="F678" s="6" t="str">
        <x:v>configurations</x:v>
      </x:c>
      <x:c r="G678" s="6" t="str">
        <x:v>portfolio_evaluation.admin.configure</x:v>
      </x:c>
      <x:c r="H678" s="6" t="str">
        <x:v>LIVE_ROUTER_REGISTERED</x:v>
      </x:c>
      <x:c r="I678" s="6" t="str">
        <x:v>frontend/src/features/portfolio-evaluation/api.ts</x:v>
      </x:c>
      <x:c r="J678" s="6" t="str">
        <x:v>NOT_EXECUTED_BY_INVENTORY. SOURCE_LITERAL_OR_TRANSITIVE_HELPER_UNION</x:v>
      </x:c>
    </x:row>
    <x:row r="679" ht="42" customHeight="1">
      <x:c r="A679" s="15" t="str">
        <x:v>API-475</x:v>
      </x:c>
      <x:c r="B679" s="13" t="str">
        <x:v>POST</x:v>
      </x:c>
      <x:c r="C679" s="13" t="str">
        <x:v>/api/v1/portfolio-evaluation/admin/configurations/preview</x:v>
      </x:c>
      <x:c r="D679" s="13" t="str">
        <x:v>ADMIN MODE</x:v>
      </x:c>
      <x:c r="E679" s="13" t="str">
        <x:v>portfolio_evaluation</x:v>
      </x:c>
      <x:c r="F679" s="13" t="str">
        <x:v>configuration preview</x:v>
      </x:c>
      <x:c r="G679" s="13" t="str">
        <x:v>portfolio_evaluation.admin.configure</x:v>
      </x:c>
      <x:c r="H679" s="13" t="str">
        <x:v>LIVE_ROUTER_REGISTERED</x:v>
      </x:c>
      <x:c r="I679" s="13" t="str">
        <x:v>frontend/src/features/portfolio-evaluation/api.ts</x:v>
      </x:c>
      <x:c r="J679" s="13" t="str">
        <x:v>NOT_EXECUTED_BY_INVENTORY. SOURCE_LITERAL_OR_TRANSITIVE_HELPER_UNION</x:v>
      </x:c>
    </x:row>
    <x:row r="680" ht="42" customHeight="1">
      <x:c r="A680" s="14" t="str">
        <x:v>API-476</x:v>
      </x:c>
      <x:c r="B680" s="6" t="str">
        <x:v>PUT</x:v>
      </x:c>
      <x:c r="C680" s="6" t="str">
        <x:v>/api/v1/portfolio-evaluation/admin/configurations/{configuration_id}</x:v>
      </x:c>
      <x:c r="D680" s="6" t="str">
        <x:v>ADMIN MODE</x:v>
      </x:c>
      <x:c r="E680" s="6" t="str">
        <x:v>portfolio_evaluation</x:v>
      </x:c>
      <x:c r="F680" s="6" t="str">
        <x:v>update configuration</x:v>
      </x:c>
      <x:c r="G680" s="6" t="str">
        <x:v>portfolio_evaluation.admin.configure</x:v>
      </x:c>
      <x:c r="H680" s="6" t="str">
        <x:v>LIVE_ROUTER_REGISTERED</x:v>
      </x:c>
      <x:c r="I680" s="6" t="str">
        <x:v>frontend/src/features/portfolio-evaluation/api.ts</x:v>
      </x:c>
      <x:c r="J680" s="6" t="str">
        <x:v>NOT_EXECUTED_BY_INVENTORY. SOURCE_LITERAL_OR_TRANSITIVE_HELPER_UNION</x:v>
      </x:c>
    </x:row>
    <x:row r="681" ht="42" customHeight="1">
      <x:c r="A681" s="15" t="str">
        <x:v>API-477</x:v>
      </x:c>
      <x:c r="B681" s="13" t="str">
        <x:v>POST</x:v>
      </x:c>
      <x:c r="C681" s="13" t="str">
        <x:v>/api/v1/portfolio-evaluation/admin/configurations/{configuration_id}/clone</x:v>
      </x:c>
      <x:c r="D681" s="13" t="str">
        <x:v>ADMIN MODE</x:v>
      </x:c>
      <x:c r="E681" s="13" t="str">
        <x:v>portfolio_evaluation</x:v>
      </x:c>
      <x:c r="F681" s="13" t="str">
        <x:v>clone configuration</x:v>
      </x:c>
      <x:c r="G681" s="13" t="str">
        <x:v>portfolio_evaluation.admin.configure</x:v>
      </x:c>
      <x:c r="H681" s="13" t="str">
        <x:v>LIVE_ROUTER_REGISTERED</x:v>
      </x:c>
      <x:c r="I681" s="13" t="str">
        <x:v>frontend/src/features/portfolio-evaluation/api.ts</x:v>
      </x:c>
      <x:c r="J681" s="13" t="str">
        <x:v>NOT_EXECUTED_BY_INVENTORY. SOURCE_LITERAL_OR_TRANSITIVE_HELPER_UNION</x:v>
      </x:c>
    </x:row>
    <x:row r="682" ht="42" customHeight="1">
      <x:c r="A682" s="14" t="str">
        <x:v>API-478</x:v>
      </x:c>
      <x:c r="B682" s="6" t="str">
        <x:v>POST</x:v>
      </x:c>
      <x:c r="C682" s="6" t="str">
        <x:v>/api/v1/portfolio-evaluation/admin/configurations/{configuration_id}/publish</x:v>
      </x:c>
      <x:c r="D682" s="6" t="str">
        <x:v>ADMIN MODE</x:v>
      </x:c>
      <x:c r="E682" s="6" t="str">
        <x:v>portfolio_evaluation</x:v>
      </x:c>
      <x:c r="F682" s="6" t="str">
        <x:v>publish configuration</x:v>
      </x:c>
      <x:c r="G682" s="6" t="str">
        <x:v>portfolio_evaluation.admin.publish</x:v>
      </x:c>
      <x:c r="H682" s="6" t="str">
        <x:v>LIVE_ROUTER_REGISTERED</x:v>
      </x:c>
      <x:c r="I682" s="6" t="str">
        <x:v>frontend/src/features/portfolio-evaluation/api.ts</x:v>
      </x:c>
      <x:c r="J682" s="6" t="str">
        <x:v>NOT_EXECUTED_BY_INVENTORY. SOURCE_LITERAL_OR_TRANSITIVE_HELPER_UNION</x:v>
      </x:c>
    </x:row>
    <x:row r="683" ht="42" customHeight="1">
      <x:c r="A683" s="15" t="str">
        <x:v>API-479</x:v>
      </x:c>
      <x:c r="B683" s="13" t="str">
        <x:v>GET</x:v>
      </x:c>
      <x:c r="C683" s="13" t="str">
        <x:v>/api/v1/portfolio-evaluations/{evaluation_id}</x:v>
      </x:c>
      <x:c r="D683" s="13" t="str">
        <x:v>READ-ONLY SHARED CONTEXT</x:v>
      </x:c>
      <x:c r="E683" s="13" t="str">
        <x:v>portfolio_evaluation</x:v>
      </x:c>
      <x:c r="F683" s="13" t="str">
        <x:v>get evaluation</x:v>
      </x:c>
      <x:c r="G683" s="13" t="str">
        <x:v>portfolio_evaluation.read</x:v>
      </x:c>
      <x:c r="H683" s="13" t="str">
        <x:v>LIVE_ROUTER_REGISTERED</x:v>
      </x:c>
      <x:c r="I683" s="13" t="str">
        <x:v>frontend/src/features/portfolio-evaluation/api.ts</x:v>
      </x:c>
      <x:c r="J683" s="13" t="str">
        <x:v>NOT_EXECUTED_BY_INVENTORY. SOURCE_LITERAL_OR_TRANSITIVE_HELPER_UNION</x:v>
      </x:c>
    </x:row>
    <x:row r="684" ht="42" customHeight="1">
      <x:c r="A684" s="14" t="str">
        <x:v>API-480</x:v>
      </x:c>
      <x:c r="B684" s="6" t="str">
        <x:v>PUT</x:v>
      </x:c>
      <x:c r="C684" s="6" t="str">
        <x:v>/api/v1/portfolio-evaluations/{evaluation_id}</x:v>
      </x:c>
      <x:c r="D684" s="6" t="str">
        <x:v>USER MODE</x:v>
      </x:c>
      <x:c r="E684" s="6" t="str">
        <x:v>portfolio_evaluation</x:v>
      </x:c>
      <x:c r="F684" s="6" t="str">
        <x:v>update evaluation</x:v>
      </x:c>
      <x:c r="G684" s="6" t="str">
        <x:v>portfolio_evaluation.edit</x:v>
      </x:c>
      <x:c r="H684" s="6" t="str">
        <x:v>LIVE_ROUTER_REGISTERED</x:v>
      </x:c>
      <x:c r="I684" s="6" t="str">
        <x:v>frontend/src/features/portfolio-evaluation/api.ts</x:v>
      </x:c>
      <x:c r="J684" s="6" t="str">
        <x:v>NOT_EXECUTED_BY_INVENTORY. SOURCE_LITERAL_OR_TRANSITIVE_HELPER_UNION</x:v>
      </x:c>
    </x:row>
    <x:row r="685" ht="42" customHeight="1">
      <x:c r="A685" s="15" t="str">
        <x:v>API-481</x:v>
      </x:c>
      <x:c r="B685" s="13" t="str">
        <x:v>POST</x:v>
      </x:c>
      <x:c r="C685" s="13" t="str">
        <x:v>/api/v1/portfolio-evaluations/{evaluation_id}/complete</x:v>
      </x:c>
      <x:c r="D685" s="13" t="str">
        <x:v>USER MODE</x:v>
      </x:c>
      <x:c r="E685" s="13" t="str">
        <x:v>portfolio_evaluation</x:v>
      </x:c>
      <x:c r="F685" s="13" t="str">
        <x:v>complete evaluation</x:v>
      </x:c>
      <x:c r="G685" s="13" t="str">
        <x:v>portfolio_evaluation.complete</x:v>
      </x:c>
      <x:c r="H685" s="13" t="str">
        <x:v>LIVE_ROUTER_REGISTERED</x:v>
      </x:c>
      <x:c r="I685" s="13" t="str">
        <x:v>frontend/src/features/portfolio-evaluation/api.ts</x:v>
      </x:c>
      <x:c r="J685" s="13" t="str">
        <x:v>NOT_EXECUTED_BY_INVENTORY. SOURCE_LITERAL_OR_TRANSITIVE_HELPER_UNION</x:v>
      </x:c>
    </x:row>
    <x:row r="686" ht="42" customHeight="1">
      <x:c r="A686" s="14" t="str">
        <x:v>API-482</x:v>
      </x:c>
      <x:c r="B686" s="6" t="str">
        <x:v>POST</x:v>
      </x:c>
      <x:c r="C686" s="6" t="str">
        <x:v>/api/v1/portfolio-evaluations/{evaluation_id}/reevaluate</x:v>
      </x:c>
      <x:c r="D686" s="6" t="str">
        <x:v>USER MODE</x:v>
      </x:c>
      <x:c r="E686" s="6" t="str">
        <x:v>portfolio_evaluation</x:v>
      </x:c>
      <x:c r="F686" s="6" t="str">
        <x:v>reevaluate</x:v>
      </x:c>
      <x:c r="G686" s="6" t="str">
        <x:v>portfolio_evaluation.reevaluate</x:v>
      </x:c>
      <x:c r="H686" s="6" t="str">
        <x:v>LIVE_ROUTER_REGISTERED</x:v>
      </x:c>
      <x:c r="I686" s="6" t="str">
        <x:v>frontend/src/features/portfolio-evaluation/api.ts</x:v>
      </x:c>
      <x:c r="J686" s="6" t="str">
        <x:v>NOT_EXECUTED_BY_INVENTORY. SOURCE_LITERAL_OR_TRANSITIVE_HELPER_UNION</x:v>
      </x:c>
    </x:row>
    <x:row r="687" ht="42" customHeight="1">
      <x:c r="A687" s="15" t="str">
        <x:v>API-483</x:v>
      </x:c>
      <x:c r="B687" s="13" t="str">
        <x:v>GET</x:v>
      </x:c>
      <x:c r="C687" s="13" t="str">
        <x:v>/api/v1/portfolios/{portfolio_id}/evaluations</x:v>
      </x:c>
      <x:c r="D687" s="13" t="str">
        <x:v>READ-ONLY SHARED CONTEXT</x:v>
      </x:c>
      <x:c r="E687" s="13" t="str">
        <x:v>portfolio_evaluation</x:v>
      </x:c>
      <x:c r="F687" s="13" t="str">
        <x:v>evaluations</x:v>
      </x:c>
      <x:c r="G687" s="13" t="str">
        <x:v>portfolio_evaluation.read</x:v>
      </x:c>
      <x:c r="H687" s="13" t="str">
        <x:v>LIVE_ROUTER_REGISTERED</x:v>
      </x:c>
      <x:c r="I687" s="13" t="str">
        <x:v>frontend/src/features/portfolio-evaluation/api.ts</x:v>
      </x:c>
      <x:c r="J687" s="13" t="str">
        <x:v>NOT_EXECUTED_BY_INVENTORY. SOURCE_LITERAL_OR_TRANSITIVE_HELPER_UNION</x:v>
      </x:c>
    </x:row>
    <x:row r="688" ht="42" customHeight="1">
      <x:c r="A688" s="14" t="str">
        <x:v>API-484</x:v>
      </x:c>
      <x:c r="B688" s="6" t="str">
        <x:v>GET</x:v>
      </x:c>
      <x:c r="C688" s="6" t="str">
        <x:v>/api/v1/portfolios/{portfolio_id}/prioritization</x:v>
      </x:c>
      <x:c r="D688" s="6" t="str">
        <x:v>READ-ONLY SHARED CONTEXT</x:v>
      </x:c>
      <x:c r="E688" s="6" t="str">
        <x:v>portfolio_evaluation</x:v>
      </x:c>
      <x:c r="F688" s="6" t="str">
        <x:v>prioritization</x:v>
      </x:c>
      <x:c r="G688" s="6" t="str">
        <x:v>portfolio_prioritization.read</x:v>
      </x:c>
      <x:c r="H688" s="6" t="str">
        <x:v>LIVE_ROUTER_REGISTERED</x:v>
      </x:c>
      <x:c r="I688" s="6" t="str">
        <x:v>frontend/src/features/portfolio-evaluation/api.ts</x:v>
      </x:c>
      <x:c r="J688" s="6" t="str">
        <x:v>NOT_EXECUTED_BY_INVENTORY. SOURCE_LITERAL_OR_TRANSITIVE_HELPER_UNION</x:v>
      </x:c>
    </x:row>
    <x:row r="689" ht="42" customHeight="1">
      <x:c r="A689" s="15" t="str">
        <x:v>API-485</x:v>
      </x:c>
      <x:c r="B689" s="13" t="str">
        <x:v>POST</x:v>
      </x:c>
      <x:c r="C689" s="13" t="str">
        <x:v>/api/v1/portfolios/{portfolio_id}/prioritization/preview</x:v>
      </x:c>
      <x:c r="D689" s="13" t="str">
        <x:v>USER MODE</x:v>
      </x:c>
      <x:c r="E689" s="13" t="str">
        <x:v>portfolio_evaluation</x:v>
      </x:c>
      <x:c r="F689" s="13" t="str">
        <x:v>prioritization preview</x:v>
      </x:c>
      <x:c r="G689" s="13" t="str">
        <x:v>portfolio_prioritization.read</x:v>
      </x:c>
      <x:c r="H689" s="13" t="str">
        <x:v>LIVE_ROUTER_REGISTERED</x:v>
      </x:c>
      <x:c r="I689" s="13" t="str">
        <x:v>NO_DIRECT_LITERAL_MATCH_NOT_PROOF_UNUSED</x:v>
      </x:c>
      <x:c r="J689" s="13" t="str">
        <x:v>NOT_EXECUTED_BY_INVENTORY. SOURCE_LITERAL_OR_TRANSITIVE_HELPER_UNION</x:v>
      </x:c>
    </x:row>
    <x:row r="690" ht="42" customHeight="1">
      <x:c r="A690" s="14" t="str">
        <x:v>API-486</x:v>
      </x:c>
      <x:c r="B690" s="6" t="str">
        <x:v>GET</x:v>
      </x:c>
      <x:c r="C690" s="6" t="str">
        <x:v>/api/v1/portfolios/{portfolio_id}/prioritization/readiness</x:v>
      </x:c>
      <x:c r="D690" s="6" t="str">
        <x:v>READ-ONLY SHARED CONTEXT</x:v>
      </x:c>
      <x:c r="E690" s="6" t="str">
        <x:v>portfolio_evaluation</x:v>
      </x:c>
      <x:c r="F690" s="6" t="str">
        <x:v>readiness</x:v>
      </x:c>
      <x:c r="G690" s="6" t="str">
        <x:v>portfolio_prioritization.read</x:v>
      </x:c>
      <x:c r="H690" s="6" t="str">
        <x:v>LIVE_ROUTER_REGISTERED</x:v>
      </x:c>
      <x:c r="I690" s="6" t="str">
        <x:v>frontend/src/features/portfolio-evaluation/api.ts</x:v>
      </x:c>
      <x:c r="J690" s="6" t="str">
        <x:v>NOT_EXECUTED_BY_INVENTORY. SOURCE_LITERAL_OR_TRANSITIVE_HELPER_UNION</x:v>
      </x:c>
    </x:row>
    <x:row r="691" ht="42" customHeight="1">
      <x:c r="A691" s="15" t="str">
        <x:v>API-487</x:v>
      </x:c>
      <x:c r="B691" s="13" t="str">
        <x:v>POST</x:v>
      </x:c>
      <x:c r="C691" s="13" t="str">
        <x:v>/api/v1/portfolios/{portfolio_id}/projects/{project_id}/evaluations</x:v>
      </x:c>
      <x:c r="D691" s="13" t="str">
        <x:v>USER MODE</x:v>
      </x:c>
      <x:c r="E691" s="13" t="str">
        <x:v>portfolio_evaluation</x:v>
      </x:c>
      <x:c r="F691" s="13" t="str">
        <x:v>start evaluation</x:v>
      </x:c>
      <x:c r="G691" s="13" t="str">
        <x:v>portfolio_evaluation.create</x:v>
      </x:c>
      <x:c r="H691" s="13" t="str">
        <x:v>LIVE_ROUTER_REGISTERED</x:v>
      </x:c>
      <x:c r="I691" s="13" t="str">
        <x:v>frontend/src/features/portfolio-evaluation/api.ts</x:v>
      </x:c>
      <x:c r="J691" s="13" t="str">
        <x:v>NOT_EXECUTED_BY_INVENTORY. SOURCE_LITERAL_OR_TRANSITIVE_HELPER_UNION</x:v>
      </x:c>
    </x:row>
    <x:row r="692" ht="42" customHeight="1">
      <x:c r="A692" s="14" t="str">
        <x:v>API-488</x:v>
      </x:c>
      <x:c r="B692" s="6" t="str">
        <x:v>GET</x:v>
      </x:c>
      <x:c r="C692" s="6" t="str">
        <x:v>/api/v1/portfolios/{portfolio_id}/projects</x:v>
      </x:c>
      <x:c r="D692" s="6" t="str">
        <x:v>READ-ONLY SHARED CONTEXT</x:v>
      </x:c>
      <x:c r="E692" s="6" t="str">
        <x:v>portfolio_planning</x:v>
      </x:c>
      <x:c r="F692" s="6" t="str">
        <x:v>portfolio projects</x:v>
      </x:c>
      <x:c r="G692" s="6" t="str">
        <x:v>portfolio_project.read</x:v>
      </x:c>
      <x:c r="H692" s="6" t="str">
        <x:v>LIVE_ROUTER_REGISTERED</x:v>
      </x:c>
      <x:c r="I692" s="6" t="str">
        <x:v>frontend/src/features/portfolio-planning/api.ts</x:v>
      </x:c>
      <x:c r="J692" s="6" t="str">
        <x:v>NOT_EXECUTED_BY_INVENTORY. SOURCE_LITERAL_OR_TRANSITIVE_HELPER_UNION</x:v>
      </x:c>
    </x:row>
    <x:row r="693" ht="42" customHeight="1">
      <x:c r="A693" s="15" t="str">
        <x:v>API-489</x:v>
      </x:c>
      <x:c r="B693" s="13" t="str">
        <x:v>GET</x:v>
      </x:c>
      <x:c r="C693" s="13" t="str">
        <x:v>/api/v1/projects/{project_id}/portfolio-evaluation-readiness</x:v>
      </x:c>
      <x:c r="D693" s="13" t="str">
        <x:v>READ-ONLY SHARED CONTEXT</x:v>
      </x:c>
      <x:c r="E693" s="13" t="str">
        <x:v>portfolio_planning</x:v>
      </x:c>
      <x:c r="F693" s="13" t="str">
        <x:v>portfolio evaluation readiness</x:v>
      </x:c>
      <x:c r="G693" s="13" t="str">
        <x:v>portfolio_planning.readiness.read</x:v>
      </x:c>
      <x:c r="H693" s="13" t="str">
        <x:v>LIVE_ROUTER_REGISTERED</x:v>
      </x:c>
      <x:c r="I693" s="13" t="str">
        <x:v>frontend/src/features/portfolio-planning/api.ts</x:v>
      </x:c>
      <x:c r="J693" s="13" t="str">
        <x:v>NOT_EXECUTED_BY_INVENTORY. SOURCE_LITERAL_OR_TRANSITIVE_HELPER_UNION</x:v>
      </x:c>
    </x:row>
    <x:row r="694" ht="42" customHeight="1">
      <x:c r="A694" s="14" t="str">
        <x:v>API-490</x:v>
      </x:c>
      <x:c r="B694" s="6" t="str">
        <x:v>GET</x:v>
      </x:c>
      <x:c r="C694" s="6" t="str">
        <x:v>/api/v1/projects/{project_id}/portfolio-memberships</x:v>
      </x:c>
      <x:c r="D694" s="6" t="str">
        <x:v>READ-ONLY SHARED CONTEXT</x:v>
      </x:c>
      <x:c r="E694" s="6" t="str">
        <x:v>portfolio_planning</x:v>
      </x:c>
      <x:c r="F694" s="6" t="str">
        <x:v>project memberships</x:v>
      </x:c>
      <x:c r="G694" s="6" t="str">
        <x:v>portfolio_project.read</x:v>
      </x:c>
      <x:c r="H694" s="6" t="str">
        <x:v>LIVE_ROUTER_REGISTERED</x:v>
      </x:c>
      <x:c r="I694" s="6" t="str">
        <x:v>frontend/src/features/portfolio-planning/api.ts</x:v>
      </x:c>
      <x:c r="J694" s="6" t="str">
        <x:v>NOT_EXECUTED_BY_INVENTORY. SOURCE_LITERAL_OR_TRANSITIVE_HELPER_UNION</x:v>
      </x:c>
    </x:row>
    <x:row r="695" ht="42" customHeight="1">
      <x:c r="A695" s="15" t="str">
        <x:v>API-491</x:v>
      </x:c>
      <x:c r="B695" s="13" t="str">
        <x:v>POST</x:v>
      </x:c>
      <x:c r="C695" s="13" t="str">
        <x:v>/api/v1/projects/{project_id}/portfolio-memberships</x:v>
      </x:c>
      <x:c r="D695" s="13" t="str">
        <x:v>USER MODE</x:v>
      </x:c>
      <x:c r="E695" s="13" t="str">
        <x:v>portfolio_planning</x:v>
      </x:c>
      <x:c r="F695" s="13" t="str">
        <x:v>add project membership</x:v>
      </x:c>
      <x:c r="G695" s="13" t="str">
        <x:v>portfolio_project.membership.manage</x:v>
      </x:c>
      <x:c r="H695" s="13" t="str">
        <x:v>LIVE_ROUTER_REGISTERED</x:v>
      </x:c>
      <x:c r="I695" s="13" t="str">
        <x:v>frontend/src/features/portfolio-planning/api.ts</x:v>
      </x:c>
      <x:c r="J695" s="13" t="str">
        <x:v>NOT_EXECUTED_BY_INVENTORY. SOURCE_LITERAL_OR_TRANSITIVE_HELPER_UNION</x:v>
      </x:c>
    </x:row>
    <x:row r="696" ht="42" customHeight="1">
      <x:c r="A696" s="14" t="str">
        <x:v>API-492</x:v>
      </x:c>
      <x:c r="B696" s="6" t="str">
        <x:v>POST</x:v>
      </x:c>
      <x:c r="C696" s="6" t="str">
        <x:v>/api/v1/projects/{project_id}/portfolio-memberships/{membership_id}/remove</x:v>
      </x:c>
      <x:c r="D696" s="6" t="str">
        <x:v>USER MODE</x:v>
      </x:c>
      <x:c r="E696" s="6" t="str">
        <x:v>portfolio_planning</x:v>
      </x:c>
      <x:c r="F696" s="6" t="str">
        <x:v>remove project membership</x:v>
      </x:c>
      <x:c r="G696" s="6" t="str">
        <x:v>portfolio_project.membership.manage</x:v>
      </x:c>
      <x:c r="H696" s="6" t="str">
        <x:v>LIVE_ROUTER_REGISTERED</x:v>
      </x:c>
      <x:c r="I696" s="6" t="str">
        <x:v>NO_DIRECT_LITERAL_MATCH_NOT_PROOF_UNUSED</x:v>
      </x:c>
      <x:c r="J696" s="6" t="str">
        <x:v>NOT_EXECUTED_BY_INVENTORY. SOURCE_LITERAL_OR_TRANSITIVE_HELPER_UNION</x:v>
      </x:c>
    </x:row>
    <x:row r="697" ht="42" customHeight="1">
      <x:c r="A697" s="15" t="str">
        <x:v>API-493</x:v>
      </x:c>
      <x:c r="B697" s="13" t="str">
        <x:v>GET</x:v>
      </x:c>
      <x:c r="C697" s="13" t="str">
        <x:v>/api/v1/projects/{project_id}/portfolio-planning-readiness</x:v>
      </x:c>
      <x:c r="D697" s="13" t="str">
        <x:v>READ-ONLY SHARED CONTEXT</x:v>
      </x:c>
      <x:c r="E697" s="13" t="str">
        <x:v>portfolio_planning</x:v>
      </x:c>
      <x:c r="F697" s="13" t="str">
        <x:v>project planning readiness</x:v>
      </x:c>
      <x:c r="G697" s="13" t="str">
        <x:v>portfolio_planning.readiness.read</x:v>
      </x:c>
      <x:c r="H697" s="13" t="str">
        <x:v>LIVE_ROUTER_REGISTERED</x:v>
      </x:c>
      <x:c r="I697" s="13" t="str">
        <x:v>frontend/src/features/portfolio-planning/api.ts</x:v>
      </x:c>
      <x:c r="J697" s="13" t="str">
        <x:v>NOT_EXECUTED_BY_INVENTORY. SOURCE_LITERAL_OR_TRANSITIVE_HELPER_UNION</x:v>
      </x:c>
    </x:row>
    <x:row r="698" ht="42" customHeight="1">
      <x:c r="A698" s="14" t="str">
        <x:v>API-494</x:v>
      </x:c>
      <x:c r="B698" s="6" t="str">
        <x:v>GET</x:v>
      </x:c>
      <x:c r="C698" s="6" t="str">
        <x:v>/api/v1/projects/{project_id}/project-definition-readiness</x:v>
      </x:c>
      <x:c r="D698" s="6" t="str">
        <x:v>READ-ONLY SHARED CONTEXT</x:v>
      </x:c>
      <x:c r="E698" s="6" t="str">
        <x:v>portfolio_planning</x:v>
      </x:c>
      <x:c r="F698" s="6" t="str">
        <x:v>project definition readiness</x:v>
      </x:c>
      <x:c r="G698" s="6" t="str">
        <x:v>project_definition.readiness.read</x:v>
      </x:c>
      <x:c r="H698" s="6" t="str">
        <x:v>LIVE_ROUTER_REGISTERED</x:v>
      </x:c>
      <x:c r="I698" s="6" t="str">
        <x:v>frontend/src/features/portfolio-planning/api.ts</x:v>
      </x:c>
      <x:c r="J698" s="6" t="str">
        <x:v>NOT_EXECUTED_BY_INVENTORY. SOURCE_LITERAL_OR_TRANSITIVE_HELPER_UNION</x:v>
      </x:c>
    </x:row>
    <x:row r="699" ht="42" customHeight="1">
      <x:c r="A699" s="15" t="str">
        <x:v>API-495</x:v>
      </x:c>
      <x:c r="B699" s="13" t="str">
        <x:v>POST</x:v>
      </x:c>
      <x:c r="C699" s="13" t="str">
        <x:v>/api/v1/strategic-project-planning</x:v>
      </x:c>
      <x:c r="D699" s="13" t="str">
        <x:v>USER MODE</x:v>
      </x:c>
      <x:c r="E699" s="13" t="str">
        <x:v>portfolio_planning</x:v>
      </x:c>
      <x:c r="F699" s="13" t="str">
        <x:v>create</x:v>
      </x:c>
      <x:c r="G699" s="13" t="str">
        <x:v>portfolio_project.intake</x:v>
      </x:c>
      <x:c r="H699" s="13" t="str">
        <x:v>LIVE_ROUTER_REGISTERED</x:v>
      </x:c>
      <x:c r="I699" s="13" t="str">
        <x:v>frontend/src/features/portfolio-planning/api.ts</x:v>
      </x:c>
      <x:c r="J699" s="13" t="str">
        <x:v>NOT_EXECUTED_BY_INVENTORY. SOURCE_LITERAL_OR_TRANSITIVE_HELPER_UNION</x:v>
      </x:c>
    </x:row>
    <x:row r="700" ht="42" customHeight="1">
      <x:c r="A700" s="14" t="str">
        <x:v>API-496</x:v>
      </x:c>
      <x:c r="B700" s="6" t="str">
        <x:v>POST</x:v>
      </x:c>
      <x:c r="C700" s="6" t="str">
        <x:v>/api/v1/strategic-project-planning/admin/configuration/preview</x:v>
      </x:c>
      <x:c r="D700" s="6" t="str">
        <x:v>ADMIN MODE</x:v>
      </x:c>
      <x:c r="E700" s="6" t="str">
        <x:v>portfolio_planning</x:v>
      </x:c>
      <x:c r="F700" s="6" t="str">
        <x:v>configuration preview</x:v>
      </x:c>
      <x:c r="G700" s="6" t="str">
        <x:v>portfolio_project.admin.configure</x:v>
      </x:c>
      <x:c r="H700" s="6" t="str">
        <x:v>LIVE_ROUTER_REGISTERED</x:v>
      </x:c>
      <x:c r="I700" s="6" t="str">
        <x:v>NO_DIRECT_LITERAL_MATCH_NOT_PROOF_UNUSED</x:v>
      </x:c>
      <x:c r="J700" s="6" t="str">
        <x:v>NOT_EXECUTED_BY_INVENTORY. SOURCE_LITERAL_OR_TRANSITIVE_HELPER_UNION</x:v>
      </x:c>
    </x:row>
    <x:row r="701" ht="42" customHeight="1">
      <x:c r="A701" s="15" t="str">
        <x:v>API-497</x:v>
      </x:c>
      <x:c r="B701" s="13" t="str">
        <x:v>GET</x:v>
      </x:c>
      <x:c r="C701" s="13" t="str">
        <x:v>/api/v1/strategic-project-planning/admin/configurations</x:v>
      </x:c>
      <x:c r="D701" s="13" t="str">
        <x:v>ADMIN MODE</x:v>
      </x:c>
      <x:c r="E701" s="13" t="str">
        <x:v>portfolio_planning</x:v>
      </x:c>
      <x:c r="F701" s="13" t="str">
        <x:v>configurations</x:v>
      </x:c>
      <x:c r="G701" s="13" t="str">
        <x:v>portfolio_project.admin.configure</x:v>
      </x:c>
      <x:c r="H701" s="13" t="str">
        <x:v>LIVE_ROUTER_REGISTERED</x:v>
      </x:c>
      <x:c r="I701" s="13" t="str">
        <x:v>frontend/src/features/portfolio-planning/api.ts</x:v>
      </x:c>
      <x:c r="J701" s="13" t="str">
        <x:v>NOT_EXECUTED_BY_INVENTORY. SOURCE_LITERAL_OR_TRANSITIVE_HELPER_UNION</x:v>
      </x:c>
    </x:row>
    <x:row r="702" ht="42" customHeight="1">
      <x:c r="A702" s="14" t="str">
        <x:v>API-498</x:v>
      </x:c>
      <x:c r="B702" s="6" t="str">
        <x:v>PUT</x:v>
      </x:c>
      <x:c r="C702" s="6" t="str">
        <x:v>/api/v1/strategic-project-planning/admin/configurations/{configuration_id}</x:v>
      </x:c>
      <x:c r="D702" s="6" t="str">
        <x:v>ADMIN MODE</x:v>
      </x:c>
      <x:c r="E702" s="6" t="str">
        <x:v>portfolio_planning</x:v>
      </x:c>
      <x:c r="F702" s="6" t="str">
        <x:v>update configuration</x:v>
      </x:c>
      <x:c r="G702" s="6" t="str">
        <x:v>portfolio_project.admin.configure</x:v>
      </x:c>
      <x:c r="H702" s="6" t="str">
        <x:v>LIVE_ROUTER_REGISTERED</x:v>
      </x:c>
      <x:c r="I702" s="6" t="str">
        <x:v>frontend/src/features/portfolio-planning/api.ts</x:v>
      </x:c>
      <x:c r="J702" s="6" t="str">
        <x:v>NOT_EXECUTED_BY_INVENTORY. SOURCE_LITERAL_OR_TRANSITIVE_HELPER_UNION</x:v>
      </x:c>
    </x:row>
    <x:row r="703" ht="42" customHeight="1">
      <x:c r="A703" s="15" t="str">
        <x:v>API-499</x:v>
      </x:c>
      <x:c r="B703" s="13" t="str">
        <x:v>POST</x:v>
      </x:c>
      <x:c r="C703" s="13" t="str">
        <x:v>/api/v1/strategic-project-planning/admin/configurations/{configuration_id}/clone</x:v>
      </x:c>
      <x:c r="D703" s="13" t="str">
        <x:v>ADMIN MODE</x:v>
      </x:c>
      <x:c r="E703" s="13" t="str">
        <x:v>portfolio_planning</x:v>
      </x:c>
      <x:c r="F703" s="13" t="str">
        <x:v>clone configuration</x:v>
      </x:c>
      <x:c r="G703" s="13" t="str">
        <x:v>portfolio_project.admin.configure</x:v>
      </x:c>
      <x:c r="H703" s="13" t="str">
        <x:v>LIVE_ROUTER_REGISTERED</x:v>
      </x:c>
      <x:c r="I703" s="13" t="str">
        <x:v>frontend/src/features/portfolio-planning/api.ts</x:v>
      </x:c>
      <x:c r="J703" s="13" t="str">
        <x:v>NOT_EXECUTED_BY_INVENTORY. SOURCE_LITERAL_OR_TRANSITIVE_HELPER_UNION</x:v>
      </x:c>
    </x:row>
    <x:row r="704" ht="42" customHeight="1">
      <x:c r="A704" s="14" t="str">
        <x:v>API-500</x:v>
      </x:c>
      <x:c r="B704" s="6" t="str">
        <x:v>POST</x:v>
      </x:c>
      <x:c r="C704" s="6" t="str">
        <x:v>/api/v1/strategic-project-planning/admin/configurations/{configuration_id}/publish</x:v>
      </x:c>
      <x:c r="D704" s="6" t="str">
        <x:v>ADMIN MODE</x:v>
      </x:c>
      <x:c r="E704" s="6" t="str">
        <x:v>portfolio_planning</x:v>
      </x:c>
      <x:c r="F704" s="6" t="str">
        <x:v>publish configuration</x:v>
      </x:c>
      <x:c r="G704" s="6" t="str">
        <x:v>portfolio_project.admin.publish</x:v>
      </x:c>
      <x:c r="H704" s="6" t="str">
        <x:v>LIVE_ROUTER_REGISTERED</x:v>
      </x:c>
      <x:c r="I704" s="6" t="str">
        <x:v>frontend/src/features/portfolio-planning/api.ts</x:v>
      </x:c>
      <x:c r="J704" s="6" t="str">
        <x:v>NOT_EXECUTED_BY_INVENTORY. SOURCE_LITERAL_OR_TRANSITIVE_HELPER_UNION</x:v>
      </x:c>
    </x:row>
    <x:row r="705" ht="42" customHeight="1">
      <x:c r="A705" s="15" t="str">
        <x:v>API-501</x:v>
      </x:c>
      <x:c r="B705" s="13" t="str">
        <x:v>GET</x:v>
      </x:c>
      <x:c r="C705" s="13" t="str">
        <x:v>/api/v1/strategic-project-planning/options</x:v>
      </x:c>
      <x:c r="D705" s="13" t="str">
        <x:v>READ-ONLY SHARED CONTEXT</x:v>
      </x:c>
      <x:c r="E705" s="13" t="str">
        <x:v>portfolio_planning</x:v>
      </x:c>
      <x:c r="F705" s="13" t="str">
        <x:v>options</x:v>
      </x:c>
      <x:c r="G705" s="13" t="str">
        <x:v>portfolio_project.read</x:v>
      </x:c>
      <x:c r="H705" s="13" t="str">
        <x:v>LIVE_ROUTER_REGISTERED</x:v>
      </x:c>
      <x:c r="I705" s="13" t="str">
        <x:v>frontend/src/features/portfolio-planning/api.ts</x:v>
      </x:c>
      <x:c r="J705" s="13" t="str">
        <x:v>NOT_EXECUTED_BY_INVENTORY. SOURCE_LITERAL_OR_TRANSITIVE_HELPER_UNION</x:v>
      </x:c>
    </x:row>
    <x:row r="706" ht="42" customHeight="1">
      <x:c r="A706" s="14" t="str">
        <x:v>API-502</x:v>
      </x:c>
      <x:c r="B706" s="6" t="str">
        <x:v>GET</x:v>
      </x:c>
      <x:c r="C706" s="6" t="str">
        <x:v>/api/v1/strategic-project-planning/portfolio-options</x:v>
      </x:c>
      <x:c r="D706" s="6" t="str">
        <x:v>READ-ONLY SHARED CONTEXT</x:v>
      </x:c>
      <x:c r="E706" s="6" t="str">
        <x:v>portfolio_planning</x:v>
      </x:c>
      <x:c r="F706" s="6" t="str">
        <x:v>portfolio options</x:v>
      </x:c>
      <x:c r="G706" s="6" t="str">
        <x:v>portfolio_project.read</x:v>
      </x:c>
      <x:c r="H706" s="6" t="str">
        <x:v>LIVE_ROUTER_REGISTERED</x:v>
      </x:c>
      <x:c r="I706" s="6" t="str">
        <x:v>frontend/src/features/portfolio-planning/api.ts</x:v>
      </x:c>
      <x:c r="J706" s="6" t="str">
        <x:v>NOT_EXECUTED_BY_INVENTORY. SOURCE_LITERAL_OR_TRANSITIVE_HELPER_UNION</x:v>
      </x:c>
    </x:row>
    <x:row r="707" ht="42" customHeight="1">
      <x:c r="A707" s="15" t="str">
        <x:v>API-503</x:v>
      </x:c>
      <x:c r="B707" s="13" t="str">
        <x:v>POST</x:v>
      </x:c>
      <x:c r="C707" s="13" t="str">
        <x:v>/api/v1/strategic-project-planning/preview</x:v>
      </x:c>
      <x:c r="D707" s="13" t="str">
        <x:v>USER MODE</x:v>
      </x:c>
      <x:c r="E707" s="13" t="str">
        <x:v>portfolio_planning</x:v>
      </x:c>
      <x:c r="F707" s="13" t="str">
        <x:v>preview</x:v>
      </x:c>
      <x:c r="G707" s="13" t="str">
        <x:v>portfolio_project.intake</x:v>
      </x:c>
      <x:c r="H707" s="13" t="str">
        <x:v>LIVE_ROUTER_REGISTERED</x:v>
      </x:c>
      <x:c r="I707" s="13" t="str">
        <x:v>frontend/src/features/portfolio-planning/api.ts</x:v>
      </x:c>
      <x:c r="J707" s="13" t="str">
        <x:v>NOT_EXECUTED_BY_INVENTORY. SOURCE_LITERAL_OR_TRANSITIVE_HELPER_UNION</x:v>
      </x:c>
    </x:row>
    <x:row r="708" ht="42" customHeight="1">
      <x:c r="A708" s="14" t="str">
        <x:v>API-504</x:v>
      </x:c>
      <x:c r="B708" s="6" t="str">
        <x:v>GET</x:v>
      </x:c>
      <x:c r="C708" s="6" t="str">
        <x:v>/api/v1/strategic-project-planning/{decision_id}</x:v>
      </x:c>
      <x:c r="D708" s="6" t="str">
        <x:v>READ-ONLY SHARED CONTEXT</x:v>
      </x:c>
      <x:c r="E708" s="6" t="str">
        <x:v>portfolio_planning</x:v>
      </x:c>
      <x:c r="F708" s="6" t="str">
        <x:v>get entry</x:v>
      </x:c>
      <x:c r="G708" s="6" t="str">
        <x:v>portfolio_project.read</x:v>
      </x:c>
      <x:c r="H708" s="6" t="str">
        <x:v>LIVE_ROUTER_REGISTERED</x:v>
      </x:c>
      <x:c r="I708" s="6" t="str">
        <x:v>frontend/src/features/portfolio-planning/api.ts</x:v>
      </x:c>
      <x:c r="J708" s="6" t="str">
        <x:v>NOT_EXECUTED_BY_INVENTORY. SOURCE_LITERAL_OR_TRANSITIVE_HELPER_UNION</x:v>
      </x:c>
    </x:row>
    <x:row r="709" ht="42" customHeight="1">
      <x:c r="A709" s="15" t="str">
        <x:v>API-505</x:v>
      </x:c>
      <x:c r="B709" s="13" t="str">
        <x:v>GET</x:v>
      </x:c>
      <x:c r="C709" s="13" t="str">
        <x:v>/api/v1/strategic-project-planning/{decision_id}/readiness</x:v>
      </x:c>
      <x:c r="D709" s="13" t="str">
        <x:v>READ-ONLY SHARED CONTEXT</x:v>
      </x:c>
      <x:c r="E709" s="13" t="str">
        <x:v>portfolio_planning</x:v>
      </x:c>
      <x:c r="F709" s="13" t="str">
        <x:v>get entry readiness</x:v>
      </x:c>
      <x:c r="G709" s="13" t="str">
        <x:v>portfolio_planning.readiness.read</x:v>
      </x:c>
      <x:c r="H709" s="13" t="str">
        <x:v>LIVE_ROUTER_REGISTERED</x:v>
      </x:c>
      <x:c r="I709" s="13" t="str">
        <x:v>NO_DIRECT_LITERAL_MATCH_NOT_PROOF_UNUSED</x:v>
      </x:c>
      <x:c r="J709" s="13" t="str">
        <x:v>NOT_EXECUTED_BY_INVENTORY. SOURCE_LITERAL_OR_TRANSITIVE_HELPER_UNION</x:v>
      </x:c>
    </x:row>
    <x:row r="710" ht="42" customHeight="1">
      <x:c r="A710" s="14" t="str">
        <x:v>API-506</x:v>
      </x:c>
      <x:c r="B710" s="6" t="str">
        <x:v>GET</x:v>
      </x:c>
      <x:c r="C710" s="6" t="str">
        <x:v>/api/v1/portfolio-resource-capacity-plans/{plan_id}</x:v>
      </x:c>
      <x:c r="D710" s="6" t="str">
        <x:v>READ-ONLY SHARED CONTEXT</x:v>
      </x:c>
      <x:c r="E710" s="6" t="str">
        <x:v>portfolio_resource</x:v>
      </x:c>
      <x:c r="F710" s="6" t="str">
        <x:v>capacity plan</x:v>
      </x:c>
      <x:c r="G710" s="6" t="str">
        <x:v>portfolio_resource.read</x:v>
      </x:c>
      <x:c r="H710" s="6" t="str">
        <x:v>LIVE_ROUTER_REGISTERED</x:v>
      </x:c>
      <x:c r="I710" s="6" t="str">
        <x:v>NO_DIRECT_LITERAL_MATCH_NOT_PROOF_UNUSED</x:v>
      </x:c>
      <x:c r="J710" s="6" t="str">
        <x:v>NOT_EXECUTED_BY_INVENTORY. SOURCE_LITERAL_OR_TRANSITIVE_HELPER_UNION</x:v>
      </x:c>
    </x:row>
    <x:row r="711" ht="42" customHeight="1">
      <x:c r="A711" s="15" t="str">
        <x:v>API-507</x:v>
      </x:c>
      <x:c r="B711" s="13" t="str">
        <x:v>PUT</x:v>
      </x:c>
      <x:c r="C711" s="13" t="str">
        <x:v>/api/v1/portfolio-resource-capacity-plans/{plan_id}</x:v>
      </x:c>
      <x:c r="D711" s="13" t="str">
        <x:v>USER MODE</x:v>
      </x:c>
      <x:c r="E711" s="13" t="str">
        <x:v>portfolio_resource</x:v>
      </x:c>
      <x:c r="F711" s="13" t="str">
        <x:v>update capacity plan</x:v>
      </x:c>
      <x:c r="G711" s="13" t="str">
        <x:v>portfolio_resource_capacity.create</x:v>
      </x:c>
      <x:c r="H711" s="13" t="str">
        <x:v>LIVE_ROUTER_REGISTERED</x:v>
      </x:c>
      <x:c r="I711" s="13" t="str">
        <x:v>NO_DIRECT_LITERAL_MATCH_NOT_PROOF_UNUSED</x:v>
      </x:c>
      <x:c r="J711" s="13" t="str">
        <x:v>NOT_EXECUTED_BY_INVENTORY. SOURCE_LITERAL_OR_TRANSITIVE_HELPER_UNION</x:v>
      </x:c>
    </x:row>
    <x:row r="712" ht="42" customHeight="1">
      <x:c r="A712" s="14" t="str">
        <x:v>API-508</x:v>
      </x:c>
      <x:c r="B712" s="6" t="str">
        <x:v>POST</x:v>
      </x:c>
      <x:c r="C712" s="6" t="str">
        <x:v>/api/v1/portfolio-resource-capacity-plans/{plan_id}/publish</x:v>
      </x:c>
      <x:c r="D712" s="6" t="str">
        <x:v>USER MODE</x:v>
      </x:c>
      <x:c r="E712" s="6" t="str">
        <x:v>portfolio_resource</x:v>
      </x:c>
      <x:c r="F712" s="6" t="str">
        <x:v>publish capacity plan</x:v>
      </x:c>
      <x:c r="G712" s="6" t="str">
        <x:v>portfolio_resource_capacity.publish</x:v>
      </x:c>
      <x:c r="H712" s="6" t="str">
        <x:v>LIVE_ROUTER_REGISTERED</x:v>
      </x:c>
      <x:c r="I712" s="6" t="str">
        <x:v>frontend/src/features/portfolio-resource/api.ts</x:v>
      </x:c>
      <x:c r="J712" s="6" t="str">
        <x:v>NOT_EXECUTED_BY_INVENTORY. SOURCE_LITERAL_OR_TRANSITIVE_HELPER_UNION</x:v>
      </x:c>
    </x:row>
    <x:row r="713" ht="42" customHeight="1">
      <x:c r="A713" s="15" t="str">
        <x:v>API-509</x:v>
      </x:c>
      <x:c r="B713" s="13" t="str">
        <x:v>GET</x:v>
      </x:c>
      <x:c r="C713" s="13" t="str">
        <x:v>/api/v1/portfolio-resource-scenarios/{scenario_id}</x:v>
      </x:c>
      <x:c r="D713" s="13" t="str">
        <x:v>READ-ONLY SHARED CONTEXT</x:v>
      </x:c>
      <x:c r="E713" s="13" t="str">
        <x:v>portfolio_resource</x:v>
      </x:c>
      <x:c r="F713" s="13" t="str">
        <x:v>scenario</x:v>
      </x:c>
      <x:c r="G713" s="13" t="str">
        <x:v>portfolio_resource.read</x:v>
      </x:c>
      <x:c r="H713" s="13" t="str">
        <x:v>LIVE_ROUTER_REGISTERED</x:v>
      </x:c>
      <x:c r="I713" s="13" t="str">
        <x:v>NO_DIRECT_LITERAL_MATCH_NOT_PROOF_UNUSED</x:v>
      </x:c>
      <x:c r="J713" s="13" t="str">
        <x:v>NOT_EXECUTED_BY_INVENTORY. SOURCE_LITERAL_OR_TRANSITIVE_HELPER_UNION</x:v>
      </x:c>
    </x:row>
    <x:row r="714" ht="42" customHeight="1">
      <x:c r="A714" s="14" t="str">
        <x:v>API-510</x:v>
      </x:c>
      <x:c r="B714" s="6" t="str">
        <x:v>PUT</x:v>
      </x:c>
      <x:c r="C714" s="6" t="str">
        <x:v>/api/v1/portfolio-resource-scenarios/{scenario_id}</x:v>
      </x:c>
      <x:c r="D714" s="6" t="str">
        <x:v>USER MODE</x:v>
      </x:c>
      <x:c r="E714" s="6" t="str">
        <x:v>portfolio_resource</x:v>
      </x:c>
      <x:c r="F714" s="6" t="str">
        <x:v>update scenario</x:v>
      </x:c>
      <x:c r="G714" s="6" t="str">
        <x:v>portfolio_resource_scenario.edit</x:v>
      </x:c>
      <x:c r="H714" s="6" t="str">
        <x:v>LIVE_ROUTER_REGISTERED</x:v>
      </x:c>
      <x:c r="I714" s="6" t="str">
        <x:v>NO_DIRECT_LITERAL_MATCH_NOT_PROOF_UNUSED</x:v>
      </x:c>
      <x:c r="J714" s="6" t="str">
        <x:v>NOT_EXECUTED_BY_INVENTORY. SOURCE_LITERAL_OR_TRANSITIVE_HELPER_UNION</x:v>
      </x:c>
    </x:row>
    <x:row r="715" ht="42" customHeight="1">
      <x:c r="A715" s="15" t="str">
        <x:v>API-511</x:v>
      </x:c>
      <x:c r="B715" s="13" t="str">
        <x:v>GET</x:v>
      </x:c>
      <x:c r="C715" s="13" t="str">
        <x:v>/api/v1/portfolio-resource-scenarios/{scenario_id}/capacity-demand</x:v>
      </x:c>
      <x:c r="D715" s="13" t="str">
        <x:v>READ-ONLY SHARED CONTEXT</x:v>
      </x:c>
      <x:c r="E715" s="13" t="str">
        <x:v>portfolio_resource</x:v>
      </x:c>
      <x:c r="F715" s="13" t="str">
        <x:v>heatmap</x:v>
      </x:c>
      <x:c r="G715" s="13" t="str">
        <x:v>portfolio_resource.read</x:v>
      </x:c>
      <x:c r="H715" s="13" t="str">
        <x:v>LIVE_ROUTER_REGISTERED</x:v>
      </x:c>
      <x:c r="I715" s="13" t="str">
        <x:v>NO_DIRECT_LITERAL_MATCH_NOT_PROOF_UNUSED</x:v>
      </x:c>
      <x:c r="J715" s="13" t="str">
        <x:v>NOT_EXECUTED_BY_INVENTORY. SOURCE_LITERAL_OR_TRANSITIVE_HELPER_UNION</x:v>
      </x:c>
    </x:row>
    <x:row r="716" ht="42" customHeight="1">
      <x:c r="A716" s="14" t="str">
        <x:v>API-512</x:v>
      </x:c>
      <x:c r="B716" s="6" t="str">
        <x:v>POST</x:v>
      </x:c>
      <x:c r="C716" s="6" t="str">
        <x:v>/api/v1/portfolio-resource-scenarios/{scenario_id}/clone</x:v>
      </x:c>
      <x:c r="D716" s="6" t="str">
        <x:v>USER MODE</x:v>
      </x:c>
      <x:c r="E716" s="6" t="str">
        <x:v>portfolio_resource</x:v>
      </x:c>
      <x:c r="F716" s="6" t="str">
        <x:v>clone scenario</x:v>
      </x:c>
      <x:c r="G716" s="6" t="str">
        <x:v>HELPER_OR_SERVICE_AUTHORIZATION_REQUIRES_REVIEW</x:v>
      </x:c>
      <x:c r="H716" s="6" t="str">
        <x:v>LIVE_ROUTER_REGISTERED</x:v>
      </x:c>
      <x:c r="I716" s="6" t="str">
        <x:v>frontend/src/features/portfolio-resource/api.ts</x:v>
      </x:c>
      <x:c r="J716" s="6" t="str">
        <x:v>NOT_EXECUTED_BY_INVENTORY. SOURCE_LITERAL_OR_TRANSITIVE_HELPER_UNION</x:v>
      </x:c>
    </x:row>
    <x:row r="717" ht="42" customHeight="1">
      <x:c r="A717" s="15" t="str">
        <x:v>API-513</x:v>
      </x:c>
      <x:c r="B717" s="13" t="str">
        <x:v>POST</x:v>
      </x:c>
      <x:c r="C717" s="13" t="str">
        <x:v>/api/v1/portfolio-resource-scenarios/{scenario_id}/freeze</x:v>
      </x:c>
      <x:c r="D717" s="13" t="str">
        <x:v>USER MODE</x:v>
      </x:c>
      <x:c r="E717" s="13" t="str">
        <x:v>portfolio_resource</x:v>
      </x:c>
      <x:c r="F717" s="13" t="str">
        <x:v>freeze scenario</x:v>
      </x:c>
      <x:c r="G717" s="13" t="str">
        <x:v>HELPER_OR_SERVICE_AUTHORIZATION_REQUIRES_REVIEW</x:v>
      </x:c>
      <x:c r="H717" s="13" t="str">
        <x:v>LIVE_ROUTER_REGISTERED</x:v>
      </x:c>
      <x:c r="I717" s="13" t="str">
        <x:v>frontend/src/features/portfolio-resource/api.ts</x:v>
      </x:c>
      <x:c r="J717" s="13" t="str">
        <x:v>NOT_EXECUTED_BY_INVENTORY. SOURCE_LITERAL_OR_TRANSITIVE_HELPER_UNION</x:v>
      </x:c>
    </x:row>
    <x:row r="718" ht="42" customHeight="1">
      <x:c r="A718" s="14" t="str">
        <x:v>API-514</x:v>
      </x:c>
      <x:c r="B718" s="6" t="str">
        <x:v>GET</x:v>
      </x:c>
      <x:c r="C718" s="6" t="str">
        <x:v>/api/v1/portfolio-resource-scenarios/{scenario_id}/heatmap</x:v>
      </x:c>
      <x:c r="D718" s="6" t="str">
        <x:v>READ-ONLY SHARED CONTEXT</x:v>
      </x:c>
      <x:c r="E718" s="6" t="str">
        <x:v>portfolio_resource</x:v>
      </x:c>
      <x:c r="F718" s="6" t="str">
        <x:v>heatmap</x:v>
      </x:c>
      <x:c r="G718" s="6" t="str">
        <x:v>portfolio_resource.read</x:v>
      </x:c>
      <x:c r="H718" s="6" t="str">
        <x:v>LIVE_ROUTER_REGISTERED</x:v>
      </x:c>
      <x:c r="I718" s="6" t="str">
        <x:v>NO_DIRECT_LITERAL_MATCH_NOT_PROOF_UNUSED</x:v>
      </x:c>
      <x:c r="J718" s="6" t="str">
        <x:v>NOT_EXECUTED_BY_INVENTORY. SOURCE_LITERAL_OR_TRANSITIVE_HELPER_UNION</x:v>
      </x:c>
    </x:row>
    <x:row r="719" ht="42" customHeight="1">
      <x:c r="A719" s="15" t="str">
        <x:v>API-515</x:v>
      </x:c>
      <x:c r="B719" s="13" t="str">
        <x:v>POST</x:v>
      </x:c>
      <x:c r="C719" s="13" t="str">
        <x:v>/api/v1/portfolio-resource-scenarios/{scenario_id}/projects/{project_id}/selection</x:v>
      </x:c>
      <x:c r="D719" s="13" t="str">
        <x:v>USER MODE</x:v>
      </x:c>
      <x:c r="E719" s="13" t="str">
        <x:v>portfolio_resource</x:v>
      </x:c>
      <x:c r="F719" s="13" t="str">
        <x:v>select project</x:v>
      </x:c>
      <x:c r="G719" s="13" t="str">
        <x:v>portfolio_resource_scenario.force</x:v>
      </x:c>
      <x:c r="H719" s="13" t="str">
        <x:v>LIVE_ROUTER_REGISTERED</x:v>
      </x:c>
      <x:c r="I719" s="13" t="str">
        <x:v>frontend/src/features/portfolio-resource/api.ts</x:v>
      </x:c>
      <x:c r="J719" s="13" t="str">
        <x:v>NOT_EXECUTED_BY_INVENTORY. SOURCE_LITERAL_OR_TRANSITIVE_HELPER_UNION</x:v>
      </x:c>
    </x:row>
    <x:row r="720" ht="42" customHeight="1">
      <x:c r="A720" s="14" t="str">
        <x:v>API-516</x:v>
      </x:c>
      <x:c r="B720" s="6" t="str">
        <x:v>POST</x:v>
      </x:c>
      <x:c r="C720" s="6" t="str">
        <x:v>/api/v1/portfolio-resource-scenarios/{scenario_id}/projects/{project_id}/timing</x:v>
      </x:c>
      <x:c r="D720" s="6" t="str">
        <x:v>USER MODE</x:v>
      </x:c>
      <x:c r="E720" s="6" t="str">
        <x:v>portfolio_resource</x:v>
      </x:c>
      <x:c r="F720" s="6" t="str">
        <x:v>adjust timing</x:v>
      </x:c>
      <x:c r="G720" s="6" t="str">
        <x:v>portfolio_resource_scenario.edit</x:v>
      </x:c>
      <x:c r="H720" s="6" t="str">
        <x:v>LIVE_ROUTER_REGISTERED</x:v>
      </x:c>
      <x:c r="I720" s="6" t="str">
        <x:v>frontend/src/features/portfolio-resource/api.ts</x:v>
      </x:c>
      <x:c r="J720" s="6" t="str">
        <x:v>NOT_EXECUTED_BY_INVENTORY. SOURCE_LITERAL_OR_TRANSITIVE_HELPER_UNION</x:v>
      </x:c>
    </x:row>
    <x:row r="721" ht="42" customHeight="1">
      <x:c r="A721" s="15" t="str">
        <x:v>API-517</x:v>
      </x:c>
      <x:c r="B721" s="13" t="str">
        <x:v>POST</x:v>
      </x:c>
      <x:c r="C721" s="13" t="str">
        <x:v>/api/v1/portfolio-resource-scenarios/{scenario_id}/refresh</x:v>
      </x:c>
      <x:c r="D721" s="13" t="str">
        <x:v>USER MODE</x:v>
      </x:c>
      <x:c r="E721" s="13" t="str">
        <x:v>portfolio_resource</x:v>
      </x:c>
      <x:c r="F721" s="13" t="str">
        <x:v>apply refresh</x:v>
      </x:c>
      <x:c r="G721" s="13" t="str">
        <x:v>portfolio_resource_scenario.edit</x:v>
      </x:c>
      <x:c r="H721" s="13" t="str">
        <x:v>LIVE_ROUTER_REGISTERED</x:v>
      </x:c>
      <x:c r="I721" s="13" t="str">
        <x:v>NO_DIRECT_LITERAL_MATCH_NOT_PROOF_UNUSED</x:v>
      </x:c>
      <x:c r="J721" s="13" t="str">
        <x:v>NOT_EXECUTED_BY_INVENTORY. SOURCE_LITERAL_OR_TRANSITIVE_HELPER_UNION</x:v>
      </x:c>
    </x:row>
    <x:row r="722" ht="42" customHeight="1">
      <x:c r="A722" s="14" t="str">
        <x:v>API-518</x:v>
      </x:c>
      <x:c r="B722" s="6" t="str">
        <x:v>POST</x:v>
      </x:c>
      <x:c r="C722" s="6" t="str">
        <x:v>/api/v1/portfolio-resource-scenarios/{scenario_id}/refresh/preview</x:v>
      </x:c>
      <x:c r="D722" s="6" t="str">
        <x:v>USER MODE</x:v>
      </x:c>
      <x:c r="E722" s="6" t="str">
        <x:v>portfolio_resource</x:v>
      </x:c>
      <x:c r="F722" s="6" t="str">
        <x:v>refresh preview</x:v>
      </x:c>
      <x:c r="G722" s="6" t="str">
        <x:v>portfolio_resource_scenario.edit</x:v>
      </x:c>
      <x:c r="H722" s="6" t="str">
        <x:v>LIVE_ROUTER_REGISTERED</x:v>
      </x:c>
      <x:c r="I722" s="6" t="str">
        <x:v>frontend/src/features/portfolio-resource/api.ts</x:v>
      </x:c>
      <x:c r="J722" s="6" t="str">
        <x:v>NOT_EXECUTED_BY_INVENTORY. SOURCE_LITERAL_OR_TRANSITIVE_HELPER_UNION</x:v>
      </x:c>
    </x:row>
    <x:row r="723" ht="42" customHeight="1">
      <x:c r="A723" s="15" t="str">
        <x:v>API-519</x:v>
      </x:c>
      <x:c r="B723" s="13" t="str">
        <x:v>POST</x:v>
      </x:c>
      <x:c r="C723" s="13" t="str">
        <x:v>/api/v1/portfolio-resource-scenarios/{scenario_id}/void</x:v>
      </x:c>
      <x:c r="D723" s="13" t="str">
        <x:v>USER MODE</x:v>
      </x:c>
      <x:c r="E723" s="13" t="str">
        <x:v>portfolio_resource</x:v>
      </x:c>
      <x:c r="F723" s="13" t="str">
        <x:v>void scenario</x:v>
      </x:c>
      <x:c r="G723" s="13" t="str">
        <x:v>HELPER_OR_SERVICE_AUTHORIZATION_REQUIRES_REVIEW</x:v>
      </x:c>
      <x:c r="H723" s="13" t="str">
        <x:v>LIVE_ROUTER_REGISTERED</x:v>
      </x:c>
      <x:c r="I723" s="13" t="str">
        <x:v>NO_DIRECT_LITERAL_MATCH_NOT_PROOF_UNUSED</x:v>
      </x:c>
      <x:c r="J723" s="13" t="str">
        <x:v>NOT_EXECUTED_BY_INVENTORY. SOURCE_LITERAL_OR_TRANSITIVE_HELPER_UNION</x:v>
      </x:c>
    </x:row>
    <x:row r="724" ht="42" customHeight="1">
      <x:c r="A724" s="14" t="str">
        <x:v>API-520</x:v>
      </x:c>
      <x:c r="B724" s="6" t="str">
        <x:v>GET</x:v>
      </x:c>
      <x:c r="C724" s="6" t="str">
        <x:v>/api/v1/portfolio-resource/admin/configurations</x:v>
      </x:c>
      <x:c r="D724" s="6" t="str">
        <x:v>ADMIN MODE</x:v>
      </x:c>
      <x:c r="E724" s="6" t="str">
        <x:v>portfolio_resource</x:v>
      </x:c>
      <x:c r="F724" s="6" t="str">
        <x:v>configurations</x:v>
      </x:c>
      <x:c r="G724" s="6" t="str">
        <x:v>portfolio_resource.admin.configure</x:v>
      </x:c>
      <x:c r="H724" s="6" t="str">
        <x:v>LIVE_ROUTER_REGISTERED</x:v>
      </x:c>
      <x:c r="I724" s="6" t="str">
        <x:v>frontend/src/features/portfolio-resource/api.ts</x:v>
      </x:c>
      <x:c r="J724" s="6" t="str">
        <x:v>NOT_EXECUTED_BY_INVENTORY. SOURCE_LITERAL_OR_TRANSITIVE_HELPER_UNION</x:v>
      </x:c>
    </x:row>
    <x:row r="725" ht="42" customHeight="1">
      <x:c r="A725" s="15" t="str">
        <x:v>API-521</x:v>
      </x:c>
      <x:c r="B725" s="13" t="str">
        <x:v>POST</x:v>
      </x:c>
      <x:c r="C725" s="13" t="str">
        <x:v>/api/v1/portfolio-resource/admin/configurations/preview</x:v>
      </x:c>
      <x:c r="D725" s="13" t="str">
        <x:v>ADMIN MODE</x:v>
      </x:c>
      <x:c r="E725" s="13" t="str">
        <x:v>portfolio_resource</x:v>
      </x:c>
      <x:c r="F725" s="13" t="str">
        <x:v>configuration preview</x:v>
      </x:c>
      <x:c r="G725" s="13" t="str">
        <x:v>portfolio_resource.admin.configure</x:v>
      </x:c>
      <x:c r="H725" s="13" t="str">
        <x:v>LIVE_ROUTER_REGISTERED</x:v>
      </x:c>
      <x:c r="I725" s="13" t="str">
        <x:v>frontend/src/features/portfolio-resource/api.ts</x:v>
      </x:c>
      <x:c r="J725" s="13" t="str">
        <x:v>NOT_EXECUTED_BY_INVENTORY. SOURCE_LITERAL_OR_TRANSITIVE_HELPER_UNION</x:v>
      </x:c>
    </x:row>
    <x:row r="726" ht="42" customHeight="1">
      <x:c r="A726" s="14" t="str">
        <x:v>API-522</x:v>
      </x:c>
      <x:c r="B726" s="6" t="str">
        <x:v>PUT</x:v>
      </x:c>
      <x:c r="C726" s="6" t="str">
        <x:v>/api/v1/portfolio-resource/admin/configurations/{configuration_id}</x:v>
      </x:c>
      <x:c r="D726" s="6" t="str">
        <x:v>ADMIN MODE</x:v>
      </x:c>
      <x:c r="E726" s="6" t="str">
        <x:v>portfolio_resource</x:v>
      </x:c>
      <x:c r="F726" s="6" t="str">
        <x:v>update configuration</x:v>
      </x:c>
      <x:c r="G726" s="6" t="str">
        <x:v>portfolio_resource.admin.configure</x:v>
      </x:c>
      <x:c r="H726" s="6" t="str">
        <x:v>LIVE_ROUTER_REGISTERED</x:v>
      </x:c>
      <x:c r="I726" s="6" t="str">
        <x:v>frontend/src/features/portfolio-resource/api.ts</x:v>
      </x:c>
      <x:c r="J726" s="6" t="str">
        <x:v>NOT_EXECUTED_BY_INVENTORY. SOURCE_LITERAL_OR_TRANSITIVE_HELPER_UNION</x:v>
      </x:c>
    </x:row>
    <x:row r="727" ht="42" customHeight="1">
      <x:c r="A727" s="15" t="str">
        <x:v>API-523</x:v>
      </x:c>
      <x:c r="B727" s="13" t="str">
        <x:v>POST</x:v>
      </x:c>
      <x:c r="C727" s="13" t="str">
        <x:v>/api/v1/portfolio-resource/admin/configurations/{configuration_id}/clone</x:v>
      </x:c>
      <x:c r="D727" s="13" t="str">
        <x:v>ADMIN MODE</x:v>
      </x:c>
      <x:c r="E727" s="13" t="str">
        <x:v>portfolio_resource</x:v>
      </x:c>
      <x:c r="F727" s="13" t="str">
        <x:v>clone configuration</x:v>
      </x:c>
      <x:c r="G727" s="13" t="str">
        <x:v>portfolio_resource.admin.configure</x:v>
      </x:c>
      <x:c r="H727" s="13" t="str">
        <x:v>LIVE_ROUTER_REGISTERED</x:v>
      </x:c>
      <x:c r="I727" s="13" t="str">
        <x:v>frontend/src/features/portfolio-resource/api.ts</x:v>
      </x:c>
      <x:c r="J727" s="13" t="str">
        <x:v>NOT_EXECUTED_BY_INVENTORY. SOURCE_LITERAL_OR_TRANSITIVE_HELPER_UNION</x:v>
      </x:c>
    </x:row>
    <x:row r="728" ht="42" customHeight="1">
      <x:c r="A728" s="14" t="str">
        <x:v>API-524</x:v>
      </x:c>
      <x:c r="B728" s="6" t="str">
        <x:v>POST</x:v>
      </x:c>
      <x:c r="C728" s="6" t="str">
        <x:v>/api/v1/portfolio-resource/admin/configurations/{configuration_id}/publish</x:v>
      </x:c>
      <x:c r="D728" s="6" t="str">
        <x:v>ADMIN MODE</x:v>
      </x:c>
      <x:c r="E728" s="6" t="str">
        <x:v>portfolio_resource</x:v>
      </x:c>
      <x:c r="F728" s="6" t="str">
        <x:v>publish configuration</x:v>
      </x:c>
      <x:c r="G728" s="6" t="str">
        <x:v>portfolio_resource.admin.publish</x:v>
      </x:c>
      <x:c r="H728" s="6" t="str">
        <x:v>LIVE_ROUTER_REGISTERED</x:v>
      </x:c>
      <x:c r="I728" s="6" t="str">
        <x:v>frontend/src/features/portfolio-resource/api.ts</x:v>
      </x:c>
      <x:c r="J728" s="6" t="str">
        <x:v>NOT_EXECUTED_BY_INVENTORY. SOURCE_LITERAL_OR_TRANSITIVE_HELPER_UNION</x:v>
      </x:c>
    </x:row>
    <x:row r="729" ht="42" customHeight="1">
      <x:c r="A729" s="15" t="str">
        <x:v>API-525</x:v>
      </x:c>
      <x:c r="B729" s="13" t="str">
        <x:v>GET</x:v>
      </x:c>
      <x:c r="C729" s="13" t="str">
        <x:v>/api/v1/portfolios/{portfolio_id}/resource-capacity-plans</x:v>
      </x:c>
      <x:c r="D729" s="13" t="str">
        <x:v>READ-ONLY SHARED CONTEXT</x:v>
      </x:c>
      <x:c r="E729" s="13" t="str">
        <x:v>portfolio_resource</x:v>
      </x:c>
      <x:c r="F729" s="13" t="str">
        <x:v>capacity plans</x:v>
      </x:c>
      <x:c r="G729" s="13" t="str">
        <x:v>portfolio_resource.read</x:v>
      </x:c>
      <x:c r="H729" s="13" t="str">
        <x:v>LIVE_ROUTER_REGISTERED</x:v>
      </x:c>
      <x:c r="I729" s="13" t="str">
        <x:v>frontend/src/features/portfolio-resource/api.ts</x:v>
      </x:c>
      <x:c r="J729" s="13" t="str">
        <x:v>NOT_EXECUTED_BY_INVENTORY. SOURCE_LITERAL_OR_TRANSITIVE_HELPER_UNION</x:v>
      </x:c>
    </x:row>
    <x:row r="730" ht="42" customHeight="1">
      <x:c r="A730" s="14" t="str">
        <x:v>API-526</x:v>
      </x:c>
      <x:c r="B730" s="6" t="str">
        <x:v>POST</x:v>
      </x:c>
      <x:c r="C730" s="6" t="str">
        <x:v>/api/v1/portfolios/{portfolio_id}/resource-capacity-plans</x:v>
      </x:c>
      <x:c r="D730" s="6" t="str">
        <x:v>USER MODE</x:v>
      </x:c>
      <x:c r="E730" s="6" t="str">
        <x:v>portfolio_resource</x:v>
      </x:c>
      <x:c r="F730" s="6" t="str">
        <x:v>create capacity plan</x:v>
      </x:c>
      <x:c r="G730" s="6" t="str">
        <x:v>portfolio_resource_capacity.create</x:v>
      </x:c>
      <x:c r="H730" s="6" t="str">
        <x:v>LIVE_ROUTER_REGISTERED</x:v>
      </x:c>
      <x:c r="I730" s="6" t="str">
        <x:v>frontend/src/features/portfolio-resource/api.ts</x:v>
      </x:c>
      <x:c r="J730" s="6" t="str">
        <x:v>NOT_EXECUTED_BY_INVENTORY. SOURCE_LITERAL_OR_TRANSITIVE_HELPER_UNION</x:v>
      </x:c>
    </x:row>
    <x:row r="731" ht="42" customHeight="1">
      <x:c r="A731" s="15" t="str">
        <x:v>API-527</x:v>
      </x:c>
      <x:c r="B731" s="13" t="str">
        <x:v>GET</x:v>
      </x:c>
      <x:c r="C731" s="13" t="str">
        <x:v>/api/v1/portfolios/{portfolio_id}/resource-planning</x:v>
      </x:c>
      <x:c r="D731" s="13" t="str">
        <x:v>READ-ONLY SHARED CONTEXT</x:v>
      </x:c>
      <x:c r="E731" s="13" t="str">
        <x:v>portfolio_resource</x:v>
      </x:c>
      <x:c r="F731" s="13" t="str">
        <x:v>overview</x:v>
      </x:c>
      <x:c r="G731" s="13" t="str">
        <x:v>portfolio_resource.read</x:v>
      </x:c>
      <x:c r="H731" s="13" t="str">
        <x:v>LIVE_ROUTER_REGISTERED</x:v>
      </x:c>
      <x:c r="I731" s="13" t="str">
        <x:v>frontend/src/features/portfolio-resource/api.ts</x:v>
      </x:c>
      <x:c r="J731" s="13" t="str">
        <x:v>NOT_EXECUTED_BY_INVENTORY. SOURCE_LITERAL_OR_TRANSITIVE_HELPER_UNION</x:v>
      </x:c>
    </x:row>
    <x:row r="732" ht="42" customHeight="1">
      <x:c r="A732" s="14" t="str">
        <x:v>API-528</x:v>
      </x:c>
      <x:c r="B732" s="6" t="str">
        <x:v>GET</x:v>
      </x:c>
      <x:c r="C732" s="6" t="str">
        <x:v>/api/v1/portfolios/{portfolio_id}/resource-planning/readiness</x:v>
      </x:c>
      <x:c r="D732" s="6" t="str">
        <x:v>READ-ONLY SHARED CONTEXT</x:v>
      </x:c>
      <x:c r="E732" s="6" t="str">
        <x:v>portfolio_resource</x:v>
      </x:c>
      <x:c r="F732" s="6" t="str">
        <x:v>readiness</x:v>
      </x:c>
      <x:c r="G732" s="6" t="str">
        <x:v>portfolio_resource.read</x:v>
      </x:c>
      <x:c r="H732" s="6" t="str">
        <x:v>LIVE_ROUTER_REGISTERED</x:v>
      </x:c>
      <x:c r="I732" s="6" t="str">
        <x:v>NO_DIRECT_LITERAL_MATCH_NOT_PROOF_UNUSED</x:v>
      </x:c>
      <x:c r="J732" s="6" t="str">
        <x:v>NOT_EXECUTED_BY_INVENTORY. SOURCE_LITERAL_OR_TRANSITIVE_HELPER_UNION</x:v>
      </x:c>
    </x:row>
    <x:row r="733" ht="42" customHeight="1">
      <x:c r="A733" s="15" t="str">
        <x:v>API-529</x:v>
      </x:c>
      <x:c r="B733" s="13" t="str">
        <x:v>GET</x:v>
      </x:c>
      <x:c r="C733" s="13" t="str">
        <x:v>/api/v1/portfolios/{portfolio_id}/resource-planning/recommendation-contract</x:v>
      </x:c>
      <x:c r="D733" s="13" t="str">
        <x:v>READ-ONLY SHARED CONTEXT</x:v>
      </x:c>
      <x:c r="E733" s="13" t="str">
        <x:v>portfolio_resource</x:v>
      </x:c>
      <x:c r="F733" s="13" t="str">
        <x:v>recommendation contract</x:v>
      </x:c>
      <x:c r="G733" s="13" t="str">
        <x:v>portfolio_resource.read</x:v>
      </x:c>
      <x:c r="H733" s="13" t="str">
        <x:v>LIVE_ROUTER_REGISTERED</x:v>
      </x:c>
      <x:c r="I733" s="13" t="str">
        <x:v>NO_DIRECT_LITERAL_MATCH_NOT_PROOF_UNUSED</x:v>
      </x:c>
      <x:c r="J733" s="13" t="str">
        <x:v>NOT_EXECUTED_BY_INVENTORY. SOURCE_LITERAL_OR_TRANSITIVE_HELPER_UNION</x:v>
      </x:c>
    </x:row>
    <x:row r="734" ht="42" customHeight="1">
      <x:c r="A734" s="14" t="str">
        <x:v>API-530</x:v>
      </x:c>
      <x:c r="B734" s="6" t="str">
        <x:v>GET</x:v>
      </x:c>
      <x:c r="C734" s="6" t="str">
        <x:v>/api/v1/portfolios/{portfolio_id}/resource-scenarios</x:v>
      </x:c>
      <x:c r="D734" s="6" t="str">
        <x:v>READ-ONLY SHARED CONTEXT</x:v>
      </x:c>
      <x:c r="E734" s="6" t="str">
        <x:v>portfolio_resource</x:v>
      </x:c>
      <x:c r="F734" s="6" t="str">
        <x:v>scenarios</x:v>
      </x:c>
      <x:c r="G734" s="6" t="str">
        <x:v>portfolio_resource.read</x:v>
      </x:c>
      <x:c r="H734" s="6" t="str">
        <x:v>LIVE_ROUTER_REGISTERED</x:v>
      </x:c>
      <x:c r="I734" s="6" t="str">
        <x:v>frontend/src/features/portfolio-resource/api.ts</x:v>
      </x:c>
      <x:c r="J734" s="6" t="str">
        <x:v>NOT_EXECUTED_BY_INVENTORY. SOURCE_LITERAL_OR_TRANSITIVE_HELPER_UNION</x:v>
      </x:c>
    </x:row>
    <x:row r="735" ht="42" customHeight="1">
      <x:c r="A735" s="15" t="str">
        <x:v>API-531</x:v>
      </x:c>
      <x:c r="B735" s="13" t="str">
        <x:v>POST</x:v>
      </x:c>
      <x:c r="C735" s="13" t="str">
        <x:v>/api/v1/portfolios/{portfolio_id}/resource-scenarios</x:v>
      </x:c>
      <x:c r="D735" s="13" t="str">
        <x:v>USER MODE</x:v>
      </x:c>
      <x:c r="E735" s="13" t="str">
        <x:v>portfolio_resource</x:v>
      </x:c>
      <x:c r="F735" s="13" t="str">
        <x:v>create scenario</x:v>
      </x:c>
      <x:c r="G735" s="13" t="str">
        <x:v>portfolio_resource_scenario.create</x:v>
      </x:c>
      <x:c r="H735" s="13" t="str">
        <x:v>LIVE_ROUTER_REGISTERED</x:v>
      </x:c>
      <x:c r="I735" s="13" t="str">
        <x:v>frontend/src/features/portfolio-resource/api.ts</x:v>
      </x:c>
      <x:c r="J735" s="13" t="str">
        <x:v>NOT_EXECUTED_BY_INVENTORY. SOURCE_LITERAL_OR_TRANSITIVE_HELPER_UNION</x:v>
      </x:c>
    </x:row>
    <x:row r="736" ht="42" customHeight="1">
      <x:c r="A736" s="14" t="str">
        <x:v>API-532</x:v>
      </x:c>
      <x:c r="B736" s="6" t="str">
        <x:v>POST</x:v>
      </x:c>
      <x:c r="C736" s="6" t="str">
        <x:v>/api/v1/portfolios/{portfolio_id}/resource-scenarios/compare</x:v>
      </x:c>
      <x:c r="D736" s="6" t="str">
        <x:v>USER MODE</x:v>
      </x:c>
      <x:c r="E736" s="6" t="str">
        <x:v>portfolio_resource</x:v>
      </x:c>
      <x:c r="F736" s="6" t="str">
        <x:v>compare</x:v>
      </x:c>
      <x:c r="G736" s="6" t="str">
        <x:v>portfolio_resource_scenario.compare</x:v>
      </x:c>
      <x:c r="H736" s="6" t="str">
        <x:v>LIVE_ROUTER_REGISTERED</x:v>
      </x:c>
      <x:c r="I736" s="6" t="str">
        <x:v>frontend/src/features/portfolio-resource/api.ts</x:v>
      </x:c>
      <x:c r="J736" s="6" t="str">
        <x:v>NOT_EXECUTED_BY_INVENTORY. SOURCE_LITERAL_OR_TRANSITIVE_HELPER_UNION</x:v>
      </x:c>
    </x:row>
    <x:row r="737" ht="42" customHeight="1">
      <x:c r="A737" s="15" t="str">
        <x:v>API-533</x:v>
      </x:c>
      <x:c r="B737" s="13" t="str">
        <x:v>GET</x:v>
      </x:c>
      <x:c r="C737" s="13" t="str">
        <x:v>/api/v1/project-resource-demand-profiles/{profile_id}</x:v>
      </x:c>
      <x:c r="D737" s="13" t="str">
        <x:v>READ-ONLY SHARED CONTEXT</x:v>
      </x:c>
      <x:c r="E737" s="13" t="str">
        <x:v>portfolio_resource</x:v>
      </x:c>
      <x:c r="F737" s="13" t="str">
        <x:v>demand profile</x:v>
      </x:c>
      <x:c r="G737" s="13" t="str">
        <x:v>portfolio_resource_demand.read</x:v>
      </x:c>
      <x:c r="H737" s="13" t="str">
        <x:v>LIVE_ROUTER_REGISTERED</x:v>
      </x:c>
      <x:c r="I737" s="13" t="str">
        <x:v>NO_DIRECT_LITERAL_MATCH_NOT_PROOF_UNUSED</x:v>
      </x:c>
      <x:c r="J737" s="13" t="str">
        <x:v>NOT_EXECUTED_BY_INVENTORY. SOURCE_LITERAL_OR_TRANSITIVE_HELPER_UNION</x:v>
      </x:c>
    </x:row>
    <x:row r="738" ht="42" customHeight="1">
      <x:c r="A738" s="14" t="str">
        <x:v>API-534</x:v>
      </x:c>
      <x:c r="B738" s="6" t="str">
        <x:v>PUT</x:v>
      </x:c>
      <x:c r="C738" s="6" t="str">
        <x:v>/api/v1/project-resource-demand-profiles/{profile_id}</x:v>
      </x:c>
      <x:c r="D738" s="6" t="str">
        <x:v>USER MODE</x:v>
      </x:c>
      <x:c r="E738" s="6" t="str">
        <x:v>portfolio_resource</x:v>
      </x:c>
      <x:c r="F738" s="6" t="str">
        <x:v>update demand profile</x:v>
      </x:c>
      <x:c r="G738" s="6" t="str">
        <x:v>portfolio_resource_demand.create</x:v>
      </x:c>
      <x:c r="H738" s="6" t="str">
        <x:v>LIVE_ROUTER_REGISTERED</x:v>
      </x:c>
      <x:c r="I738" s="6" t="str">
        <x:v>NO_DIRECT_LITERAL_MATCH_NOT_PROOF_UNUSED</x:v>
      </x:c>
      <x:c r="J738" s="6" t="str">
        <x:v>NOT_EXECUTED_BY_INVENTORY. SOURCE_LITERAL_OR_TRANSITIVE_HELPER_UNION</x:v>
      </x:c>
    </x:row>
    <x:row r="739" ht="42" customHeight="1">
      <x:c r="A739" s="15" t="str">
        <x:v>API-535</x:v>
      </x:c>
      <x:c r="B739" s="13" t="str">
        <x:v>POST</x:v>
      </x:c>
      <x:c r="C739" s="13" t="str">
        <x:v>/api/v1/project-resource-demand-profiles/{profile_id}/publish</x:v>
      </x:c>
      <x:c r="D739" s="13" t="str">
        <x:v>USER MODE</x:v>
      </x:c>
      <x:c r="E739" s="13" t="str">
        <x:v>portfolio_resource</x:v>
      </x:c>
      <x:c r="F739" s="13" t="str">
        <x:v>publish demand profile</x:v>
      </x:c>
      <x:c r="G739" s="13" t="str">
        <x:v>portfolio_resource_demand.publish</x:v>
      </x:c>
      <x:c r="H739" s="13" t="str">
        <x:v>LIVE_ROUTER_REGISTERED</x:v>
      </x:c>
      <x:c r="I739" s="13" t="str">
        <x:v>frontend/src/features/portfolio-resource/api.ts</x:v>
      </x:c>
      <x:c r="J739" s="13" t="str">
        <x:v>NOT_EXECUTED_BY_INVENTORY. SOURCE_LITERAL_OR_TRANSITIVE_HELPER_UNION</x:v>
      </x:c>
    </x:row>
    <x:row r="740" ht="42" customHeight="1">
      <x:c r="A740" s="14" t="str">
        <x:v>API-536</x:v>
      </x:c>
      <x:c r="B740" s="6" t="str">
        <x:v>GET</x:v>
      </x:c>
      <x:c r="C740" s="6" t="str">
        <x:v>/api/v1/projects/{project_id}/resource-demand-profiles</x:v>
      </x:c>
      <x:c r="D740" s="6" t="str">
        <x:v>READ-ONLY SHARED CONTEXT</x:v>
      </x:c>
      <x:c r="E740" s="6" t="str">
        <x:v>portfolio_resource</x:v>
      </x:c>
      <x:c r="F740" s="6" t="str">
        <x:v>demand profiles</x:v>
      </x:c>
      <x:c r="G740" s="6" t="str">
        <x:v>portfolio_resource_demand.read</x:v>
      </x:c>
      <x:c r="H740" s="6" t="str">
        <x:v>LIVE_ROUTER_REGISTERED</x:v>
      </x:c>
      <x:c r="I740" s="6" t="str">
        <x:v>frontend/src/features/portfolio-resource/api.ts</x:v>
      </x:c>
      <x:c r="J740" s="6" t="str">
        <x:v>NOT_EXECUTED_BY_INVENTORY. SOURCE_LITERAL_OR_TRANSITIVE_HELPER_UNION</x:v>
      </x:c>
    </x:row>
    <x:row r="741" ht="42" customHeight="1">
      <x:c r="A741" s="15" t="str">
        <x:v>API-537</x:v>
      </x:c>
      <x:c r="B741" s="13" t="str">
        <x:v>POST</x:v>
      </x:c>
      <x:c r="C741" s="13" t="str">
        <x:v>/api/v1/projects/{project_id}/resource-demand-profiles</x:v>
      </x:c>
      <x:c r="D741" s="13" t="str">
        <x:v>USER MODE</x:v>
      </x:c>
      <x:c r="E741" s="13" t="str">
        <x:v>portfolio_resource</x:v>
      </x:c>
      <x:c r="F741" s="13" t="str">
        <x:v>create demand profile</x:v>
      </x:c>
      <x:c r="G741" s="13" t="str">
        <x:v>portfolio_resource_demand.create</x:v>
      </x:c>
      <x:c r="H741" s="13" t="str">
        <x:v>LIVE_ROUTER_REGISTERED</x:v>
      </x:c>
      <x:c r="I741" s="13" t="str">
        <x:v>frontend/src/features/portfolio-resource/api.ts</x:v>
      </x:c>
      <x:c r="J741" s="13" t="str">
        <x:v>NOT_EXECUTED_BY_INVENTORY. SOURCE_LITERAL_OR_TRANSITIVE_HELPER_UNION</x:v>
      </x:c>
    </x:row>
    <x:row r="742" ht="42" customHeight="1">
      <x:c r="A742" s="14" t="str">
        <x:v>API-538</x:v>
      </x:c>
      <x:c r="B742" s="6" t="str">
        <x:v>GET</x:v>
      </x:c>
      <x:c r="C742" s="6" t="str">
        <x:v>/api/v1/portfolio-review-actions</x:v>
      </x:c>
      <x:c r="D742" s="6" t="str">
        <x:v>READ-ONLY SHARED CONTEXT</x:v>
      </x:c>
      <x:c r="E742" s="6" t="str">
        <x:v>portfolio_review</x:v>
      </x:c>
      <x:c r="F742" s="6" t="str">
        <x:v>list actions</x:v>
      </x:c>
      <x:c r="G742" s="6" t="str">
        <x:v>portfolio_review.read</x:v>
      </x:c>
      <x:c r="H742" s="6" t="str">
        <x:v>LIVE_ROUTER_REGISTERED</x:v>
      </x:c>
      <x:c r="I742" s="6" t="str">
        <x:v>frontend/src/features/portfolio-review/api.ts</x:v>
      </x:c>
      <x:c r="J742" s="6" t="str">
        <x:v>NOT_EXECUTED_BY_INVENTORY. SOURCE_LITERAL_OR_TRANSITIVE_HELPER_UNION</x:v>
      </x:c>
    </x:row>
    <x:row r="743" ht="42" customHeight="1">
      <x:c r="A743" s="15" t="str">
        <x:v>API-539</x:v>
      </x:c>
      <x:c r="B743" s="13" t="str">
        <x:v>PUT</x:v>
      </x:c>
      <x:c r="C743" s="13" t="str">
        <x:v>/api/v1/portfolio-review-actions/{action_id}</x:v>
      </x:c>
      <x:c r="D743" s="13" t="str">
        <x:v>USER MODE</x:v>
      </x:c>
      <x:c r="E743" s="13" t="str">
        <x:v>portfolio_review</x:v>
      </x:c>
      <x:c r="F743" s="13" t="str">
        <x:v>update action</x:v>
      </x:c>
      <x:c r="G743" s="13" t="str">
        <x:v>portfolio_review.action.update</x:v>
      </x:c>
      <x:c r="H743" s="13" t="str">
        <x:v>LIVE_ROUTER_REGISTERED</x:v>
      </x:c>
      <x:c r="I743" s="13" t="str">
        <x:v>frontend/src/features/portfolio-review/api.ts</x:v>
      </x:c>
      <x:c r="J743" s="13" t="str">
        <x:v>NOT_EXECUTED_BY_INVENTORY. SOURCE_LITERAL_OR_TRANSITIVE_HELPER_UNION</x:v>
      </x:c>
    </x:row>
    <x:row r="744" ht="42" customHeight="1">
      <x:c r="A744" s="14" t="str">
        <x:v>API-540</x:v>
      </x:c>
      <x:c r="B744" s="6" t="str">
        <x:v>POST</x:v>
      </x:c>
      <x:c r="C744" s="6" t="str">
        <x:v>/api/v1/portfolio-review-actions/{action_id}/approve</x:v>
      </x:c>
      <x:c r="D744" s="6" t="str">
        <x:v>USER MODE</x:v>
      </x:c>
      <x:c r="E744" s="6" t="str">
        <x:v>portfolio_review</x:v>
      </x:c>
      <x:c r="F744" s="6" t="str">
        <x:v>approve action</x:v>
      </x:c>
      <x:c r="G744" s="6" t="str">
        <x:v>portfolio_review.action.approve</x:v>
      </x:c>
      <x:c r="H744" s="6" t="str">
        <x:v>LIVE_ROUTER_REGISTERED</x:v>
      </x:c>
      <x:c r="I744" s="6" t="str">
        <x:v>frontend/src/features/portfolio-review/api.ts</x:v>
      </x:c>
      <x:c r="J744" s="6" t="str">
        <x:v>NOT_EXECUTED_BY_INVENTORY. SOURCE_LITERAL_OR_TRANSITIVE_HELPER_UNION</x:v>
      </x:c>
    </x:row>
    <x:row r="745" ht="42" customHeight="1">
      <x:c r="A745" s="15" t="str">
        <x:v>API-541</x:v>
      </x:c>
      <x:c r="B745" s="13" t="str">
        <x:v>POST</x:v>
      </x:c>
      <x:c r="C745" s="13" t="str">
        <x:v>/api/v1/portfolio-review-actions/{action_id}/dispatch</x:v>
      </x:c>
      <x:c r="D745" s="13" t="str">
        <x:v>USER MODE</x:v>
      </x:c>
      <x:c r="E745" s="13" t="str">
        <x:v>portfolio_review</x:v>
      </x:c>
      <x:c r="F745" s="13" t="str">
        <x:v>dispatch action</x:v>
      </x:c>
      <x:c r="G745" s="13" t="str">
        <x:v>portfolio_review.action.dispatch</x:v>
      </x:c>
      <x:c r="H745" s="13" t="str">
        <x:v>LIVE_ROUTER_REGISTERED</x:v>
      </x:c>
      <x:c r="I745" s="13" t="str">
        <x:v>frontend/src/features/portfolio-review/api.ts</x:v>
      </x:c>
      <x:c r="J745" s="13" t="str">
        <x:v>NOT_EXECUTED_BY_INVENTORY. SOURCE_LITERAL_OR_TRANSITIVE_HELPER_UNION</x:v>
      </x:c>
    </x:row>
    <x:row r="746" ht="42" customHeight="1">
      <x:c r="A746" s="14" t="str">
        <x:v>API-542</x:v>
      </x:c>
      <x:c r="B746" s="6" t="str">
        <x:v>PUT</x:v>
      </x:c>
      <x:c r="C746" s="6" t="str">
        <x:v>/api/v1/portfolio-review-conclusions/{conclusion_id}</x:v>
      </x:c>
      <x:c r="D746" s="6" t="str">
        <x:v>USER MODE</x:v>
      </x:c>
      <x:c r="E746" s="6" t="str">
        <x:v>portfolio_review</x:v>
      </x:c>
      <x:c r="F746" s="6" t="str">
        <x:v>update conclusion</x:v>
      </x:c>
      <x:c r="G746" s="6" t="str">
        <x:v>portfolio_review.conduct</x:v>
      </x:c>
      <x:c r="H746" s="6" t="str">
        <x:v>LIVE_ROUTER_REGISTERED</x:v>
      </x:c>
      <x:c r="I746" s="6" t="str">
        <x:v>NO_DIRECT_LITERAL_MATCH_NOT_PROOF_UNUSED</x:v>
      </x:c>
      <x:c r="J746" s="6" t="str">
        <x:v>NOT_EXECUTED_BY_INVENTORY. SOURCE_LITERAL_OR_TRANSITIVE_HELPER_UNION</x:v>
      </x:c>
    </x:row>
    <x:row r="747" ht="42" customHeight="1">
      <x:c r="A747" s="15" t="str">
        <x:v>API-543</x:v>
      </x:c>
      <x:c r="B747" s="13" t="str">
        <x:v>GET</x:v>
      </x:c>
      <x:c r="C747" s="13" t="str">
        <x:v>/api/v1/portfolio-reviews</x:v>
      </x:c>
      <x:c r="D747" s="13" t="str">
        <x:v>READ-ONLY SHARED CONTEXT</x:v>
      </x:c>
      <x:c r="E747" s="13" t="str">
        <x:v>portfolio_review</x:v>
      </x:c>
      <x:c r="F747" s="13" t="str">
        <x:v>list reviews</x:v>
      </x:c>
      <x:c r="G747" s="13" t="str">
        <x:v>portfolio_review.read</x:v>
      </x:c>
      <x:c r="H747" s="13" t="str">
        <x:v>LIVE_ROUTER_REGISTERED</x:v>
      </x:c>
      <x:c r="I747" s="13" t="str">
        <x:v>frontend/src/features/portfolio-review/api.ts</x:v>
      </x:c>
      <x:c r="J747" s="13" t="str">
        <x:v>NOT_EXECUTED_BY_INVENTORY. SOURCE_LITERAL_OR_TRANSITIVE_HELPER_UNION</x:v>
      </x:c>
    </x:row>
    <x:row r="748" ht="42" customHeight="1">
      <x:c r="A748" s="14" t="str">
        <x:v>API-544</x:v>
      </x:c>
      <x:c r="B748" s="6" t="str">
        <x:v>POST</x:v>
      </x:c>
      <x:c r="C748" s="6" t="str">
        <x:v>/api/v1/portfolio-reviews</x:v>
      </x:c>
      <x:c r="D748" s="6" t="str">
        <x:v>USER MODE</x:v>
      </x:c>
      <x:c r="E748" s="6" t="str">
        <x:v>portfolio_review</x:v>
      </x:c>
      <x:c r="F748" s="6" t="str">
        <x:v>create review</x:v>
      </x:c>
      <x:c r="G748" s="6" t="str">
        <x:v>portfolio_review.create</x:v>
      </x:c>
      <x:c r="H748" s="6" t="str">
        <x:v>LIVE_ROUTER_REGISTERED</x:v>
      </x:c>
      <x:c r="I748" s="6" t="str">
        <x:v>frontend/src/features/portfolio-review/api.ts</x:v>
      </x:c>
      <x:c r="J748" s="6" t="str">
        <x:v>NOT_EXECUTED_BY_INVENTORY. SOURCE_LITERAL_OR_TRANSITIVE_HELPER_UNION</x:v>
      </x:c>
    </x:row>
    <x:row r="749" ht="42" customHeight="1">
      <x:c r="A749" s="15" t="str">
        <x:v>API-545</x:v>
      </x:c>
      <x:c r="B749" s="13" t="str">
        <x:v>GET</x:v>
      </x:c>
      <x:c r="C749" s="13" t="str">
        <x:v>/api/v1/portfolio-reviews/admin/configurations</x:v>
      </x:c>
      <x:c r="D749" s="13" t="str">
        <x:v>ADMIN MODE</x:v>
      </x:c>
      <x:c r="E749" s="13" t="str">
        <x:v>portfolio_review</x:v>
      </x:c>
      <x:c r="F749" s="13" t="str">
        <x:v>configurations</x:v>
      </x:c>
      <x:c r="G749" s="13" t="str">
        <x:v>portfolio_review.admin.configure</x:v>
      </x:c>
      <x:c r="H749" s="13" t="str">
        <x:v>LIVE_ROUTER_REGISTERED</x:v>
      </x:c>
      <x:c r="I749" s="13" t="str">
        <x:v>frontend/src/features/portfolio-review/api.ts</x:v>
      </x:c>
      <x:c r="J749" s="13" t="str">
        <x:v>NOT_EXECUTED_BY_INVENTORY. SOURCE_LITERAL_OR_TRANSITIVE_HELPER_UNION</x:v>
      </x:c>
    </x:row>
    <x:row r="750" ht="42" customHeight="1">
      <x:c r="A750" s="14" t="str">
        <x:v>API-546</x:v>
      </x:c>
      <x:c r="B750" s="6" t="str">
        <x:v>PUT</x:v>
      </x:c>
      <x:c r="C750" s="6" t="str">
        <x:v>/api/v1/portfolio-reviews/admin/configurations/{configuration_id}</x:v>
      </x:c>
      <x:c r="D750" s="6" t="str">
        <x:v>ADMIN MODE</x:v>
      </x:c>
      <x:c r="E750" s="6" t="str">
        <x:v>portfolio_review</x:v>
      </x:c>
      <x:c r="F750" s="6" t="str">
        <x:v>update configuration</x:v>
      </x:c>
      <x:c r="G750" s="6" t="str">
        <x:v>portfolio_review.admin.configure</x:v>
      </x:c>
      <x:c r="H750" s="6" t="str">
        <x:v>LIVE_ROUTER_REGISTERED</x:v>
      </x:c>
      <x:c r="I750" s="6" t="str">
        <x:v>frontend/src/features/portfolio-review/api.ts</x:v>
      </x:c>
      <x:c r="J750" s="6" t="str">
        <x:v>NOT_EXECUTED_BY_INVENTORY. SOURCE_LITERAL_OR_TRANSITIVE_HELPER_UNION</x:v>
      </x:c>
    </x:row>
    <x:row r="751" ht="42" customHeight="1">
      <x:c r="A751" s="15" t="str">
        <x:v>API-547</x:v>
      </x:c>
      <x:c r="B751" s="13" t="str">
        <x:v>POST</x:v>
      </x:c>
      <x:c r="C751" s="13" t="str">
        <x:v>/api/v1/portfolio-reviews/admin/configurations/{configuration_id}/clone</x:v>
      </x:c>
      <x:c r="D751" s="13" t="str">
        <x:v>ADMIN MODE</x:v>
      </x:c>
      <x:c r="E751" s="13" t="str">
        <x:v>portfolio_review</x:v>
      </x:c>
      <x:c r="F751" s="13" t="str">
        <x:v>clone configuration</x:v>
      </x:c>
      <x:c r="G751" s="13" t="str">
        <x:v>portfolio_review.admin.configure</x:v>
      </x:c>
      <x:c r="H751" s="13" t="str">
        <x:v>LIVE_ROUTER_REGISTERED</x:v>
      </x:c>
      <x:c r="I751" s="13" t="str">
        <x:v>frontend/src/features/portfolio-review/api.ts</x:v>
      </x:c>
      <x:c r="J751" s="13" t="str">
        <x:v>NOT_EXECUTED_BY_INVENTORY. SOURCE_LITERAL_OR_TRANSITIVE_HELPER_UNION</x:v>
      </x:c>
    </x:row>
    <x:row r="752" ht="42" customHeight="1">
      <x:c r="A752" s="14" t="str">
        <x:v>API-548</x:v>
      </x:c>
      <x:c r="B752" s="6" t="str">
        <x:v>POST</x:v>
      </x:c>
      <x:c r="C752" s="6" t="str">
        <x:v>/api/v1/portfolio-reviews/admin/preview</x:v>
      </x:c>
      <x:c r="D752" s="6" t="str">
        <x:v>ADMIN MODE</x:v>
      </x:c>
      <x:c r="E752" s="6" t="str">
        <x:v>portfolio_review</x:v>
      </x:c>
      <x:c r="F752" s="6" t="str">
        <x:v>configuration preview</x:v>
      </x:c>
      <x:c r="G752" s="6" t="str">
        <x:v>portfolio_review.admin.configure</x:v>
      </x:c>
      <x:c r="H752" s="6" t="str">
        <x:v>LIVE_ROUTER_REGISTERED</x:v>
      </x:c>
      <x:c r="I752" s="6" t="str">
        <x:v>frontend/src/features/portfolio-review/api.ts</x:v>
      </x:c>
      <x:c r="J752" s="6" t="str">
        <x:v>NOT_EXECUTED_BY_INVENTORY. SOURCE_LITERAL_OR_TRANSITIVE_HELPER_UNION</x:v>
      </x:c>
    </x:row>
    <x:row r="753" ht="42" customHeight="1">
      <x:c r="A753" s="15" t="str">
        <x:v>API-549</x:v>
      </x:c>
      <x:c r="B753" s="13" t="str">
        <x:v>GET</x:v>
      </x:c>
      <x:c r="C753" s="13" t="str">
        <x:v>/api/v1/portfolio-reviews/options</x:v>
      </x:c>
      <x:c r="D753" s="13" t="str">
        <x:v>READ-ONLY SHARED CONTEXT</x:v>
      </x:c>
      <x:c r="E753" s="13" t="str">
        <x:v>portfolio_review</x:v>
      </x:c>
      <x:c r="F753" s="13" t="str">
        <x:v>options</x:v>
      </x:c>
      <x:c r="G753" s="13" t="str">
        <x:v>portfolio_review.read</x:v>
      </x:c>
      <x:c r="H753" s="13" t="str">
        <x:v>LIVE_ROUTER_REGISTERED</x:v>
      </x:c>
      <x:c r="I753" s="13" t="str">
        <x:v>NO_DIRECT_LITERAL_MATCH_NOT_PROOF_UNUSED</x:v>
      </x:c>
      <x:c r="J753" s="13" t="str">
        <x:v>NOT_EXECUTED_BY_INVENTORY. SOURCE_LITERAL_OR_TRANSITIVE_HELPER_UNION</x:v>
      </x:c>
    </x:row>
    <x:row r="754" ht="42" customHeight="1">
      <x:c r="A754" s="14" t="str">
        <x:v>API-550</x:v>
      </x:c>
      <x:c r="B754" s="6" t="str">
        <x:v>GET</x:v>
      </x:c>
      <x:c r="C754" s="6" t="str">
        <x:v>/api/v1/portfolio-reviews/trends</x:v>
      </x:c>
      <x:c r="D754" s="6" t="str">
        <x:v>READ-ONLY SHARED CONTEXT</x:v>
      </x:c>
      <x:c r="E754" s="6" t="str">
        <x:v>portfolio_review</x:v>
      </x:c>
      <x:c r="F754" s="6" t="str">
        <x:v>trends</x:v>
      </x:c>
      <x:c r="G754" s="6" t="str">
        <x:v>portfolio_review.read</x:v>
      </x:c>
      <x:c r="H754" s="6" t="str">
        <x:v>LIVE_ROUTER_REGISTERED</x:v>
      </x:c>
      <x:c r="I754" s="6" t="str">
        <x:v>NO_DIRECT_LITERAL_MATCH_NOT_PROOF_UNUSED</x:v>
      </x:c>
      <x:c r="J754" s="6" t="str">
        <x:v>NOT_EXECUTED_BY_INVENTORY. SOURCE_LITERAL_OR_TRANSITIVE_HELPER_UNION</x:v>
      </x:c>
    </x:row>
    <x:row r="755" ht="42" customHeight="1">
      <x:c r="A755" s="15" t="str">
        <x:v>API-551</x:v>
      </x:c>
      <x:c r="B755" s="13" t="str">
        <x:v>GET</x:v>
      </x:c>
      <x:c r="C755" s="13" t="str">
        <x:v>/api/v1/portfolio-reviews/{review_session_id}</x:v>
      </x:c>
      <x:c r="D755" s="13" t="str">
        <x:v>READ-ONLY SHARED CONTEXT</x:v>
      </x:c>
      <x:c r="E755" s="13" t="str">
        <x:v>portfolio_review</x:v>
      </x:c>
      <x:c r="F755" s="13" t="str">
        <x:v>get review</x:v>
      </x:c>
      <x:c r="G755" s="13" t="str">
        <x:v>portfolio_review.read</x:v>
      </x:c>
      <x:c r="H755" s="13" t="str">
        <x:v>LIVE_ROUTER_REGISTERED</x:v>
      </x:c>
      <x:c r="I755" s="13" t="str">
        <x:v>frontend/src/features/portfolio-review/api.ts</x:v>
      </x:c>
      <x:c r="J755" s="13" t="str">
        <x:v>NOT_EXECUTED_BY_INVENTORY. SOURCE_LITERAL_OR_TRANSITIVE_HELPER_UNION</x:v>
      </x:c>
    </x:row>
    <x:row r="756" ht="42" customHeight="1">
      <x:c r="A756" s="14" t="str">
        <x:v>API-552</x:v>
      </x:c>
      <x:c r="B756" s="6" t="str">
        <x:v>PUT</x:v>
      </x:c>
      <x:c r="C756" s="6" t="str">
        <x:v>/api/v1/portfolio-reviews/{review_session_id}</x:v>
      </x:c>
      <x:c r="D756" s="6" t="str">
        <x:v>USER MODE</x:v>
      </x:c>
      <x:c r="E756" s="6" t="str">
        <x:v>portfolio_review</x:v>
      </x:c>
      <x:c r="F756" s="6" t="str">
        <x:v>update review</x:v>
      </x:c>
      <x:c r="G756" s="6" t="str">
        <x:v>portfolio_review.prepare</x:v>
      </x:c>
      <x:c r="H756" s="6" t="str">
        <x:v>LIVE_ROUTER_REGISTERED</x:v>
      </x:c>
      <x:c r="I756" s="6" t="str">
        <x:v>frontend/src/features/portfolio-review/api.ts</x:v>
      </x:c>
      <x:c r="J756" s="6" t="str">
        <x:v>NOT_EXECUTED_BY_INVENTORY. SOURCE_LITERAL_OR_TRANSITIVE_HELPER_UNION</x:v>
      </x:c>
    </x:row>
    <x:row r="757" ht="42" customHeight="1">
      <x:c r="A757" s="15" t="str">
        <x:v>API-553</x:v>
      </x:c>
      <x:c r="B757" s="13" t="str">
        <x:v>POST</x:v>
      </x:c>
      <x:c r="C757" s="13" t="str">
        <x:v>/api/v1/portfolio-reviews/{review_session_id}/actions</x:v>
      </x:c>
      <x:c r="D757" s="13" t="str">
        <x:v>USER MODE</x:v>
      </x:c>
      <x:c r="E757" s="13" t="str">
        <x:v>portfolio_review</x:v>
      </x:c>
      <x:c r="F757" s="13" t="str">
        <x:v>create action</x:v>
      </x:c>
      <x:c r="G757" s="13" t="str">
        <x:v>portfolio_review.action.create</x:v>
      </x:c>
      <x:c r="H757" s="13" t="str">
        <x:v>LIVE_ROUTER_REGISTERED</x:v>
      </x:c>
      <x:c r="I757" s="13" t="str">
        <x:v>frontend/src/features/portfolio-review/api.ts</x:v>
      </x:c>
      <x:c r="J757" s="13" t="str">
        <x:v>NOT_EXECUTED_BY_INVENTORY. SOURCE_LITERAL_OR_TRANSITIVE_HELPER_UNION</x:v>
      </x:c>
    </x:row>
    <x:row r="758" ht="42" customHeight="1">
      <x:c r="A758" s="14" t="str">
        <x:v>API-554</x:v>
      </x:c>
      <x:c r="B758" s="6" t="str">
        <x:v>GET</x:v>
      </x:c>
      <x:c r="C758" s="6" t="str">
        <x:v>/api/v1/portfolio-reviews/{review_session_id}/allocation</x:v>
      </x:c>
      <x:c r="D758" s="6" t="str">
        <x:v>READ-ONLY SHARED CONTEXT</x:v>
      </x:c>
      <x:c r="E758" s="6" t="str">
        <x:v>portfolio_review</x:v>
      </x:c>
      <x:c r="F758" s="6" t="str">
        <x:v>allocation</x:v>
      </x:c>
      <x:c r="G758" s="6" t="str">
        <x:v>portfolio_review.read</x:v>
      </x:c>
      <x:c r="H758" s="6" t="str">
        <x:v>LIVE_ROUTER_REGISTERED</x:v>
      </x:c>
      <x:c r="I758" s="6" t="str">
        <x:v>frontend/src/features/portfolio-review/api.ts</x:v>
      </x:c>
      <x:c r="J758" s="6" t="str">
        <x:v>NOT_EXECUTED_BY_INVENTORY. SOURCE_LITERAL_OR_TRANSITIVE_HELPER_UNION</x:v>
      </x:c>
    </x:row>
    <x:row r="759" ht="42" customHeight="1">
      <x:c r="A759" s="15" t="str">
        <x:v>API-555</x:v>
      </x:c>
      <x:c r="B759" s="13" t="str">
        <x:v>GET</x:v>
      </x:c>
      <x:c r="C759" s="13" t="str">
        <x:v>/api/v1/portfolio-reviews/{review_session_id}/budget-resources</x:v>
      </x:c>
      <x:c r="D759" s="13" t="str">
        <x:v>READ-ONLY SHARED CONTEXT</x:v>
      </x:c>
      <x:c r="E759" s="13" t="str">
        <x:v>portfolio_review</x:v>
      </x:c>
      <x:c r="F759" s="13" t="str">
        <x:v>budget resources</x:v>
      </x:c>
      <x:c r="G759" s="13" t="str">
        <x:v>portfolio_review.read</x:v>
      </x:c>
      <x:c r="H759" s="13" t="str">
        <x:v>LIVE_ROUTER_REGISTERED</x:v>
      </x:c>
      <x:c r="I759" s="13" t="str">
        <x:v>frontend/src/features/portfolio-review/api.ts</x:v>
      </x:c>
      <x:c r="J759" s="13" t="str">
        <x:v>NOT_EXECUTED_BY_INVENTORY. SOURCE_LITERAL_OR_TRANSITIVE_HELPER_UNION</x:v>
      </x:c>
    </x:row>
    <x:row r="760" ht="42" customHeight="1">
      <x:c r="A760" s="14" t="str">
        <x:v>API-556</x:v>
      </x:c>
      <x:c r="B760" s="6" t="str">
        <x:v>POST</x:v>
      </x:c>
      <x:c r="C760" s="6" t="str">
        <x:v>/api/v1/portfolio-reviews/{review_session_id}/cancel</x:v>
      </x:c>
      <x:c r="D760" s="6" t="str">
        <x:v>USER MODE</x:v>
      </x:c>
      <x:c r="E760" s="6" t="str">
        <x:v>portfolio_review</x:v>
      </x:c>
      <x:c r="F760" s="6" t="str">
        <x:v>transition review</x:v>
      </x:c>
      <x:c r="G760" s="6" t="str">
        <x:v>portfolio_review.conduct</x:v>
      </x:c>
      <x:c r="H760" s="6" t="str">
        <x:v>LIVE_ROUTER_REGISTERED</x:v>
      </x:c>
      <x:c r="I760" s="6" t="str">
        <x:v>NO_DIRECT_LITERAL_MATCH_NOT_PROOF_UNUSED</x:v>
      </x:c>
      <x:c r="J760" s="6" t="str">
        <x:v>NOT_EXECUTED_BY_INVENTORY. SOURCE_LITERAL_OR_TRANSITIVE_HELPER_UNION</x:v>
      </x:c>
    </x:row>
    <x:row r="761" ht="42" customHeight="1">
      <x:c r="A761" s="15" t="str">
        <x:v>API-557</x:v>
      </x:c>
      <x:c r="B761" s="13" t="str">
        <x:v>GET</x:v>
      </x:c>
      <x:c r="C761" s="13" t="str">
        <x:v>/api/v1/portfolio-reviews/{review_session_id}/compare/{other_review_session_id}</x:v>
      </x:c>
      <x:c r="D761" s="13" t="str">
        <x:v>READ-ONLY SHARED CONTEXT</x:v>
      </x:c>
      <x:c r="E761" s="13" t="str">
        <x:v>portfolio_review</x:v>
      </x:c>
      <x:c r="F761" s="13" t="str">
        <x:v>compare reviews</x:v>
      </x:c>
      <x:c r="G761" s="13" t="str">
        <x:v>portfolio_review.read</x:v>
      </x:c>
      <x:c r="H761" s="13" t="str">
        <x:v>LIVE_ROUTER_REGISTERED</x:v>
      </x:c>
      <x:c r="I761" s="13" t="str">
        <x:v>frontend/src/features/portfolio-review/api.ts</x:v>
      </x:c>
      <x:c r="J761" s="13" t="str">
        <x:v>NOT_EXECUTED_BY_INVENTORY. SOURCE_LITERAL_OR_TRANSITIVE_HELPER_UNION</x:v>
      </x:c>
    </x:row>
    <x:row r="762" ht="42" customHeight="1">
      <x:c r="A762" s="14" t="str">
        <x:v>API-558</x:v>
      </x:c>
      <x:c r="B762" s="6" t="str">
        <x:v>POST</x:v>
      </x:c>
      <x:c r="C762" s="6" t="str">
        <x:v>/api/v1/portfolio-reviews/{review_session_id}/complete</x:v>
      </x:c>
      <x:c r="D762" s="6" t="str">
        <x:v>USER MODE</x:v>
      </x:c>
      <x:c r="E762" s="6" t="str">
        <x:v>portfolio_review</x:v>
      </x:c>
      <x:c r="F762" s="6" t="str">
        <x:v>complete review</x:v>
      </x:c>
      <x:c r="G762" s="6" t="str">
        <x:v>portfolio_review.complete</x:v>
      </x:c>
      <x:c r="H762" s="6" t="str">
        <x:v>LIVE_ROUTER_REGISTERED</x:v>
      </x:c>
      <x:c r="I762" s="6" t="str">
        <x:v>frontend/src/features/portfolio-review/api.ts</x:v>
      </x:c>
      <x:c r="J762" s="6" t="str">
        <x:v>NOT_EXECUTED_BY_INVENTORY. SOURCE_LITERAL_OR_TRANSITIVE_HELPER_UNION</x:v>
      </x:c>
    </x:row>
    <x:row r="763" ht="42" customHeight="1">
      <x:c r="A763" s="15" t="str">
        <x:v>API-559</x:v>
      </x:c>
      <x:c r="B763" s="13" t="str">
        <x:v>POST</x:v>
      </x:c>
      <x:c r="C763" s="13" t="str">
        <x:v>/api/v1/portfolio-reviews/{review_session_id}/conclusions</x:v>
      </x:c>
      <x:c r="D763" s="13" t="str">
        <x:v>USER MODE</x:v>
      </x:c>
      <x:c r="E763" s="13" t="str">
        <x:v>portfolio_review</x:v>
      </x:c>
      <x:c r="F763" s="13" t="str">
        <x:v>create conclusion</x:v>
      </x:c>
      <x:c r="G763" s="13" t="str">
        <x:v>portfolio_review.conduct</x:v>
      </x:c>
      <x:c r="H763" s="13" t="str">
        <x:v>LIVE_ROUTER_REGISTERED</x:v>
      </x:c>
      <x:c r="I763" s="13" t="str">
        <x:v>frontend/src/features/portfolio-review/api.ts</x:v>
      </x:c>
      <x:c r="J763" s="13" t="str">
        <x:v>NOT_EXECUTED_BY_INVENTORY. SOURCE_LITERAL_OR_TRANSITIVE_HELPER_UNION</x:v>
      </x:c>
    </x:row>
    <x:row r="764" ht="42" customHeight="1">
      <x:c r="A764" s="14" t="str">
        <x:v>API-560</x:v>
      </x:c>
      <x:c r="B764" s="6" t="str">
        <x:v>POST</x:v>
      </x:c>
      <x:c r="C764" s="6" t="str">
        <x:v>/api/v1/portfolio-reviews/{review_session_id}/freeze-snapshot</x:v>
      </x:c>
      <x:c r="D764" s="6" t="str">
        <x:v>USER MODE</x:v>
      </x:c>
      <x:c r="E764" s="6" t="str">
        <x:v>portfolio_review</x:v>
      </x:c>
      <x:c r="F764" s="6" t="str">
        <x:v>freeze snapshot</x:v>
      </x:c>
      <x:c r="G764" s="6" t="str">
        <x:v>portfolio_review.freeze_snapshot</x:v>
      </x:c>
      <x:c r="H764" s="6" t="str">
        <x:v>LIVE_ROUTER_REGISTERED</x:v>
      </x:c>
      <x:c r="I764" s="6" t="str">
        <x:v>frontend/src/features/portfolio-review/api.ts</x:v>
      </x:c>
      <x:c r="J764" s="6" t="str">
        <x:v>NOT_EXECUTED_BY_INVENTORY. SOURCE_LITERAL_OR_TRANSITIVE_HELPER_UNION</x:v>
      </x:c>
    </x:row>
    <x:row r="765" ht="42" customHeight="1">
      <x:c r="A765" s="15" t="str">
        <x:v>API-561</x:v>
      </x:c>
      <x:c r="B765" s="13" t="str">
        <x:v>GET</x:v>
      </x:c>
      <x:c r="C765" s="13" t="str">
        <x:v>/api/v1/portfolio-reviews/{review_session_id}/gate-status</x:v>
      </x:c>
      <x:c r="D765" s="13" t="str">
        <x:v>READ-ONLY SHARED CONTEXT</x:v>
      </x:c>
      <x:c r="E765" s="13" t="str">
        <x:v>portfolio_review</x:v>
      </x:c>
      <x:c r="F765" s="13" t="str">
        <x:v>gate status</x:v>
      </x:c>
      <x:c r="G765" s="13" t="str">
        <x:v>portfolio_review.read</x:v>
      </x:c>
      <x:c r="H765" s="13" t="str">
        <x:v>LIVE_ROUTER_REGISTERED</x:v>
      </x:c>
      <x:c r="I765" s="13" t="str">
        <x:v>frontend/src/features/portfolio-review/api.ts</x:v>
      </x:c>
      <x:c r="J765" s="13" t="str">
        <x:v>NOT_EXECUTED_BY_INVENTORY. SOURCE_LITERAL_OR_TRANSITIVE_HELPER_UNION</x:v>
      </x:c>
    </x:row>
    <x:row r="766" ht="42" customHeight="1">
      <x:c r="A766" s="14" t="str">
        <x:v>API-562</x:v>
      </x:c>
      <x:c r="B766" s="6" t="str">
        <x:v>GET</x:v>
      </x:c>
      <x:c r="C766" s="6" t="str">
        <x:v>/api/v1/portfolio-reviews/{review_session_id}/history</x:v>
      </x:c>
      <x:c r="D766" s="6" t="str">
        <x:v>READ-ONLY SHARED CONTEXT</x:v>
      </x:c>
      <x:c r="E766" s="6" t="str">
        <x:v>portfolio_review</x:v>
      </x:c>
      <x:c r="F766" s="6" t="str">
        <x:v>review history</x:v>
      </x:c>
      <x:c r="G766" s="6" t="str">
        <x:v>portfolio_review.read</x:v>
      </x:c>
      <x:c r="H766" s="6" t="str">
        <x:v>LIVE_ROUTER_REGISTERED</x:v>
      </x:c>
      <x:c r="I766" s="6" t="str">
        <x:v>frontend/src/features/portfolio-review/api.ts</x:v>
      </x:c>
      <x:c r="J766" s="6" t="str">
        <x:v>NOT_EXECUTED_BY_INVENTORY. SOURCE_LITERAL_OR_TRANSITIVE_HELPER_UNION</x:v>
      </x:c>
    </x:row>
    <x:row r="767" ht="42" customHeight="1">
      <x:c r="A767" s="15" t="str">
        <x:v>API-563</x:v>
      </x:c>
      <x:c r="B767" s="13" t="str">
        <x:v>POST</x:v>
      </x:c>
      <x:c r="C767" s="13" t="str">
        <x:v>/api/v1/portfolio-reviews/{review_session_id}/prepare</x:v>
      </x:c>
      <x:c r="D767" s="13" t="str">
        <x:v>USER MODE</x:v>
      </x:c>
      <x:c r="E767" s="13" t="str">
        <x:v>portfolio_review</x:v>
      </x:c>
      <x:c r="F767" s="13" t="str">
        <x:v>prepare review</x:v>
      </x:c>
      <x:c r="G767" s="13" t="str">
        <x:v>portfolio_review.prepare</x:v>
      </x:c>
      <x:c r="H767" s="13" t="str">
        <x:v>LIVE_ROUTER_REGISTERED</x:v>
      </x:c>
      <x:c r="I767" s="13" t="str">
        <x:v>frontend/src/features/portfolio-review/api.ts</x:v>
      </x:c>
      <x:c r="J767" s="13" t="str">
        <x:v>NOT_EXECUTED_BY_INVENTORY. SOURCE_LITERAL_OR_TRANSITIVE_HELPER_UNION</x:v>
      </x:c>
    </x:row>
    <x:row r="768" ht="42" customHeight="1">
      <x:c r="A768" s="14" t="str">
        <x:v>API-564</x:v>
      </x:c>
      <x:c r="B768" s="6" t="str">
        <x:v>GET</x:v>
      </x:c>
      <x:c r="C768" s="6" t="str">
        <x:v>/api/v1/portfolio-reviews/{review_session_id}/project-matrix</x:v>
      </x:c>
      <x:c r="D768" s="6" t="str">
        <x:v>READ-ONLY SHARED CONTEXT</x:v>
      </x:c>
      <x:c r="E768" s="6" t="str">
        <x:v>portfolio_review</x:v>
      </x:c>
      <x:c r="F768" s="6" t="str">
        <x:v>project matrix</x:v>
      </x:c>
      <x:c r="G768" s="6" t="str">
        <x:v>portfolio_review.read</x:v>
      </x:c>
      <x:c r="H768" s="6" t="str">
        <x:v>LIVE_ROUTER_REGISTERED</x:v>
      </x:c>
      <x:c r="I768" s="6" t="str">
        <x:v>NO_DIRECT_LITERAL_MATCH_NOT_PROOF_UNUSED</x:v>
      </x:c>
      <x:c r="J768" s="6" t="str">
        <x:v>NOT_EXECUTED_BY_INVENTORY. SOURCE_LITERAL_OR_TRANSITIVE_HELPER_UNION</x:v>
      </x:c>
    </x:row>
    <x:row r="769" ht="42" customHeight="1">
      <x:c r="A769" s="15" t="str">
        <x:v>API-565</x:v>
      </x:c>
      <x:c r="B769" s="13" t="str">
        <x:v>POST</x:v>
      </x:c>
      <x:c r="C769" s="13" t="str">
        <x:v>/api/v1/portfolio-reviews/{review_session_id}/return</x:v>
      </x:c>
      <x:c r="D769" s="13" t="str">
        <x:v>USER MODE</x:v>
      </x:c>
      <x:c r="E769" s="13" t="str">
        <x:v>portfolio_review</x:v>
      </x:c>
      <x:c r="F769" s="13" t="str">
        <x:v>transition review</x:v>
      </x:c>
      <x:c r="G769" s="13" t="str">
        <x:v>portfolio_review.conduct</x:v>
      </x:c>
      <x:c r="H769" s="13" t="str">
        <x:v>LIVE_ROUTER_REGISTERED</x:v>
      </x:c>
      <x:c r="I769" s="13" t="str">
        <x:v>NO_DIRECT_LITERAL_MATCH_NOT_PROOF_UNUSED</x:v>
      </x:c>
      <x:c r="J769" s="13" t="str">
        <x:v>NOT_EXECUTED_BY_INVENTORY. SOURCE_LITERAL_OR_TRANSITIVE_HELPER_UNION</x:v>
      </x:c>
    </x:row>
    <x:row r="770" ht="42" customHeight="1">
      <x:c r="A770" s="14" t="str">
        <x:v>API-566</x:v>
      </x:c>
      <x:c r="B770" s="6" t="str">
        <x:v>POST</x:v>
      </x:c>
      <x:c r="C770" s="6" t="str">
        <x:v>/api/v1/portfolio-reviews/{review_session_id}/snapshot-preview</x:v>
      </x:c>
      <x:c r="D770" s="6" t="str">
        <x:v>USER MODE</x:v>
      </x:c>
      <x:c r="E770" s="6" t="str">
        <x:v>portfolio_review</x:v>
      </x:c>
      <x:c r="F770" s="6" t="str">
        <x:v>snapshot preview</x:v>
      </x:c>
      <x:c r="G770" s="6" t="str">
        <x:v>portfolio_review.freeze_snapshot</x:v>
      </x:c>
      <x:c r="H770" s="6" t="str">
        <x:v>LIVE_ROUTER_REGISTERED</x:v>
      </x:c>
      <x:c r="I770" s="6" t="str">
        <x:v>frontend/src/features/portfolio-review/api.ts</x:v>
      </x:c>
      <x:c r="J770" s="6" t="str">
        <x:v>NOT_EXECUTED_BY_INVENTORY. SOURCE_LITERAL_OR_TRANSITIVE_HELPER_UNION</x:v>
      </x:c>
    </x:row>
    <x:row r="771" ht="42" customHeight="1">
      <x:c r="A771" s="15" t="str">
        <x:v>API-567</x:v>
      </x:c>
      <x:c r="B771" s="13" t="str">
        <x:v>POST</x:v>
      </x:c>
      <x:c r="C771" s="13" t="str">
        <x:v>/api/v1/portfolio-reviews/{review_session_id}/start-review</x:v>
      </x:c>
      <x:c r="D771" s="13" t="str">
        <x:v>USER MODE</x:v>
      </x:c>
      <x:c r="E771" s="13" t="str">
        <x:v>portfolio_review</x:v>
      </x:c>
      <x:c r="F771" s="13" t="str">
        <x:v>start review</x:v>
      </x:c>
      <x:c r="G771" s="13" t="str">
        <x:v>portfolio_review.conduct</x:v>
      </x:c>
      <x:c r="H771" s="13" t="str">
        <x:v>LIVE_ROUTER_REGISTERED</x:v>
      </x:c>
      <x:c r="I771" s="13" t="str">
        <x:v>frontend/src/features/portfolio-review/api.ts</x:v>
      </x:c>
      <x:c r="J771" s="13" t="str">
        <x:v>NOT_EXECUTED_BY_INVENTORY. SOURCE_LITERAL_OR_TRANSITIVE_HELPER_UNION</x:v>
      </x:c>
    </x:row>
    <x:row r="772" ht="42" customHeight="1">
      <x:c r="A772" s="14" t="str">
        <x:v>API-568</x:v>
      </x:c>
      <x:c r="B772" s="6" t="str">
        <x:v>POST</x:v>
      </x:c>
      <x:c r="C772" s="6" t="str">
        <x:v>/api/v1/portfolio-reviews/{review_session_id}/supersede</x:v>
      </x:c>
      <x:c r="D772" s="6" t="str">
        <x:v>USER MODE</x:v>
      </x:c>
      <x:c r="E772" s="6" t="str">
        <x:v>portfolio_review</x:v>
      </x:c>
      <x:c r="F772" s="6" t="str">
        <x:v>transition review</x:v>
      </x:c>
      <x:c r="G772" s="6" t="str">
        <x:v>portfolio_review.conduct</x:v>
      </x:c>
      <x:c r="H772" s="6" t="str">
        <x:v>LIVE_ROUTER_REGISTERED</x:v>
      </x:c>
      <x:c r="I772" s="6" t="str">
        <x:v>NO_DIRECT_LITERAL_MATCH_NOT_PROOF_UNUSED</x:v>
      </x:c>
      <x:c r="J772" s="6" t="str">
        <x:v>NOT_EXECUTED_BY_INVENTORY. SOURCE_LITERAL_OR_TRANSITIVE_HELPER_UNION</x:v>
      </x:c>
    </x:row>
    <x:row r="773" ht="42" customHeight="1">
      <x:c r="A773" s="15" t="str">
        <x:v>API-569</x:v>
      </x:c>
      <x:c r="B773" s="13" t="str">
        <x:v>GET</x:v>
      </x:c>
      <x:c r="C773" s="13" t="str">
        <x:v>/api/v1/post-fid-governance</x:v>
      </x:c>
      <x:c r="D773" s="13" t="str">
        <x:v>READ-ONLY SHARED CONTEXT</x:v>
      </x:c>
      <x:c r="E773" s="13" t="str">
        <x:v>post_fid_governance</x:v>
      </x:c>
      <x:c r="F773" s="13" t="str">
        <x:v>queue</x:v>
      </x:c>
      <x:c r="G773" s="13" t="str">
        <x:v>post_fid_governance.read</x:v>
      </x:c>
      <x:c r="H773" s="13" t="str">
        <x:v>LIVE_ROUTER_REGISTERED</x:v>
      </x:c>
      <x:c r="I773" s="13" t="str">
        <x:v>frontend/src/features/post-fid-governance/api.ts</x:v>
      </x:c>
      <x:c r="J773" s="13" t="str">
        <x:v>NOT_EXECUTED_BY_INVENTORY. SOURCE_LITERAL_OR_TRANSITIVE_HELPER_UNION</x:v>
      </x:c>
    </x:row>
    <x:row r="774" ht="42" customHeight="1">
      <x:c r="A774" s="14" t="str">
        <x:v>API-570</x:v>
      </x:c>
      <x:c r="B774" s="6" t="str">
        <x:v>GET</x:v>
      </x:c>
      <x:c r="C774" s="6" t="str">
        <x:v>/api/v1/post-fid-governance/admin/configurations</x:v>
      </x:c>
      <x:c r="D774" s="6" t="str">
        <x:v>ADMIN MODE</x:v>
      </x:c>
      <x:c r="E774" s="6" t="str">
        <x:v>post_fid_governance</x:v>
      </x:c>
      <x:c r="F774" s="6" t="str">
        <x:v>configurations</x:v>
      </x:c>
      <x:c r="G774" s="6" t="str">
        <x:v>post_fid_governance.admin.configure</x:v>
      </x:c>
      <x:c r="H774" s="6" t="str">
        <x:v>LIVE_ROUTER_REGISTERED</x:v>
      </x:c>
      <x:c r="I774" s="6" t="str">
        <x:v>frontend/src/features/post-fid-governance/api.ts</x:v>
      </x:c>
      <x:c r="J774" s="6" t="str">
        <x:v>NOT_EXECUTED_BY_INVENTORY. SOURCE_LITERAL_OR_TRANSITIVE_HELPER_UNION</x:v>
      </x:c>
    </x:row>
    <x:row r="775" ht="42" customHeight="1">
      <x:c r="A775" s="15" t="str">
        <x:v>API-571</x:v>
      </x:c>
      <x:c r="B775" s="13" t="str">
        <x:v>POST</x:v>
      </x:c>
      <x:c r="C775" s="13" t="str">
        <x:v>/api/v1/post-fid-governance/admin/configurations/preview</x:v>
      </x:c>
      <x:c r="D775" s="13" t="str">
        <x:v>ADMIN MODE</x:v>
      </x:c>
      <x:c r="E775" s="13" t="str">
        <x:v>post_fid_governance</x:v>
      </x:c>
      <x:c r="F775" s="13" t="str">
        <x:v>configuration preview</x:v>
      </x:c>
      <x:c r="G775" s="13" t="str">
        <x:v>post_fid_governance.admin.configure</x:v>
      </x:c>
      <x:c r="H775" s="13" t="str">
        <x:v>LIVE_ROUTER_REGISTERED</x:v>
      </x:c>
      <x:c r="I775" s="13" t="str">
        <x:v>frontend/src/features/post-fid-governance/api.ts</x:v>
      </x:c>
      <x:c r="J775" s="13" t="str">
        <x:v>NOT_EXECUTED_BY_INVENTORY. SOURCE_LITERAL_OR_TRANSITIVE_HELPER_UNION</x:v>
      </x:c>
    </x:row>
    <x:row r="776" ht="42" customHeight="1">
      <x:c r="A776" s="14" t="str">
        <x:v>API-572</x:v>
      </x:c>
      <x:c r="B776" s="6" t="str">
        <x:v>PUT</x:v>
      </x:c>
      <x:c r="C776" s="6" t="str">
        <x:v>/api/v1/post-fid-governance/admin/configurations/{configuration_id}</x:v>
      </x:c>
      <x:c r="D776" s="6" t="str">
        <x:v>ADMIN MODE</x:v>
      </x:c>
      <x:c r="E776" s="6" t="str">
        <x:v>post_fid_governance</x:v>
      </x:c>
      <x:c r="F776" s="6" t="str">
        <x:v>update configuration</x:v>
      </x:c>
      <x:c r="G776" s="6" t="str">
        <x:v>post_fid_governance.admin.configure</x:v>
      </x:c>
      <x:c r="H776" s="6" t="str">
        <x:v>LIVE_ROUTER_REGISTERED</x:v>
      </x:c>
      <x:c r="I776" s="6" t="str">
        <x:v>frontend/src/features/post-fid-governance/api.ts</x:v>
      </x:c>
      <x:c r="J776" s="6" t="str">
        <x:v>NOT_EXECUTED_BY_INVENTORY. SOURCE_LITERAL_OR_TRANSITIVE_HELPER_UNION</x:v>
      </x:c>
    </x:row>
    <x:row r="777" ht="42" customHeight="1">
      <x:c r="A777" s="15" t="str">
        <x:v>API-573</x:v>
      </x:c>
      <x:c r="B777" s="13" t="str">
        <x:v>POST</x:v>
      </x:c>
      <x:c r="C777" s="13" t="str">
        <x:v>/api/v1/post-fid-governance/admin/configurations/{configuration_id}/clone</x:v>
      </x:c>
      <x:c r="D777" s="13" t="str">
        <x:v>ADMIN MODE</x:v>
      </x:c>
      <x:c r="E777" s="13" t="str">
        <x:v>post_fid_governance</x:v>
      </x:c>
      <x:c r="F777" s="13" t="str">
        <x:v>clone configuration</x:v>
      </x:c>
      <x:c r="G777" s="13" t="str">
        <x:v>post_fid_governance.admin.configure</x:v>
      </x:c>
      <x:c r="H777" s="13" t="str">
        <x:v>LIVE_ROUTER_REGISTERED</x:v>
      </x:c>
      <x:c r="I777" s="13" t="str">
        <x:v>frontend/src/features/post-fid-governance/api.ts</x:v>
      </x:c>
      <x:c r="J777" s="13" t="str">
        <x:v>NOT_EXECUTED_BY_INVENTORY. SOURCE_LITERAL_OR_TRANSITIVE_HELPER_UNION</x:v>
      </x:c>
    </x:row>
    <x:row r="778" ht="42" customHeight="1">
      <x:c r="A778" s="14" t="str">
        <x:v>API-574</x:v>
      </x:c>
      <x:c r="B778" s="6" t="str">
        <x:v>POST</x:v>
      </x:c>
      <x:c r="C778" s="6" t="str">
        <x:v>/api/v1/post-fid-governance/admin/configurations/{configuration_id}/publish</x:v>
      </x:c>
      <x:c r="D778" s="6" t="str">
        <x:v>ADMIN MODE</x:v>
      </x:c>
      <x:c r="E778" s="6" t="str">
        <x:v>post_fid_governance</x:v>
      </x:c>
      <x:c r="F778" s="6" t="str">
        <x:v>publish configuration</x:v>
      </x:c>
      <x:c r="G778" s="6" t="str">
        <x:v>post_fid_governance.admin.publish</x:v>
      </x:c>
      <x:c r="H778" s="6" t="str">
        <x:v>LIVE_ROUTER_REGISTERED</x:v>
      </x:c>
      <x:c r="I778" s="6" t="str">
        <x:v>frontend/src/features/post-fid-governance/api.ts</x:v>
      </x:c>
      <x:c r="J778" s="6" t="str">
        <x:v>NOT_EXECUTED_BY_INVENTORY. SOURCE_LITERAL_OR_TRANSITIVE_HELPER_UNION</x:v>
      </x:c>
    </x:row>
    <x:row r="779" ht="42" customHeight="1">
      <x:c r="A779" s="15" t="str">
        <x:v>API-575</x:v>
      </x:c>
      <x:c r="B779" s="13" t="str">
        <x:v>GET</x:v>
      </x:c>
      <x:c r="C779" s="13" t="str">
        <x:v>/api/v1/post-fid-governance/{decision_id}</x:v>
      </x:c>
      <x:c r="D779" s="13" t="str">
        <x:v>READ-ONLY SHARED CONTEXT</x:v>
      </x:c>
      <x:c r="E779" s="13" t="str">
        <x:v>post_fid_governance</x:v>
      </x:c>
      <x:c r="F779" s="13" t="str">
        <x:v>decision</x:v>
      </x:c>
      <x:c r="G779" s="13" t="str">
        <x:v>post_fid_governance.read</x:v>
      </x:c>
      <x:c r="H779" s="13" t="str">
        <x:v>LIVE_ROUTER_REGISTERED</x:v>
      </x:c>
      <x:c r="I779" s="13" t="str">
        <x:v>frontend/src/features/post-fid-governance/api.ts</x:v>
      </x:c>
      <x:c r="J779" s="13" t="str">
        <x:v>NOT_EXECUTED_BY_INVENTORY. SOURCE_LITERAL_OR_TRANSITIVE_HELPER_UNION</x:v>
      </x:c>
    </x:row>
    <x:row r="780" ht="42" customHeight="1">
      <x:c r="A780" s="14" t="str">
        <x:v>API-576</x:v>
      </x:c>
      <x:c r="B780" s="6" t="str">
        <x:v>POST</x:v>
      </x:c>
      <x:c r="C780" s="6" t="str">
        <x:v>/api/v1/post-fid-governance/{decision_id}/evaluate</x:v>
      </x:c>
      <x:c r="D780" s="6" t="str">
        <x:v>USER MODE</x:v>
      </x:c>
      <x:c r="E780" s="6" t="str">
        <x:v>post_fid_governance</x:v>
      </x:c>
      <x:c r="F780" s="6" t="str">
        <x:v>evaluate</x:v>
      </x:c>
      <x:c r="G780" s="6" t="str">
        <x:v>post_fid_governance.evaluate</x:v>
      </x:c>
      <x:c r="H780" s="6" t="str">
        <x:v>LIVE_ROUTER_REGISTERED</x:v>
      </x:c>
      <x:c r="I780" s="6" t="str">
        <x:v>frontend/src/features/post-fid-governance/api.ts</x:v>
      </x:c>
      <x:c r="J780" s="6" t="str">
        <x:v>NOT_EXECUTED_BY_INVENTORY. SOURCE_LITERAL_OR_TRANSITIVE_HELPER_UNION</x:v>
      </x:c>
    </x:row>
    <x:row r="781" ht="42" customHeight="1">
      <x:c r="A781" s="15" t="str">
        <x:v>API-577</x:v>
      </x:c>
      <x:c r="B781" s="13" t="str">
        <x:v>GET</x:v>
      </x:c>
      <x:c r="C781" s="13" t="str">
        <x:v>/api/v1/post-fid-governance/{decision_id}/history</x:v>
      </x:c>
      <x:c r="D781" s="13" t="str">
        <x:v>READ-ONLY SHARED CONTEXT</x:v>
      </x:c>
      <x:c r="E781" s="13" t="str">
        <x:v>post_fid_governance</x:v>
      </x:c>
      <x:c r="F781" s="13" t="str">
        <x:v>history</x:v>
      </x:c>
      <x:c r="G781" s="13" t="str">
        <x:v>post_fid_governance.read</x:v>
      </x:c>
      <x:c r="H781" s="13" t="str">
        <x:v>LIVE_ROUTER_REGISTERED</x:v>
      </x:c>
      <x:c r="I781" s="13" t="str">
        <x:v>frontend/src/features/post-fid-governance/api.ts</x:v>
      </x:c>
      <x:c r="J781" s="13" t="str">
        <x:v>NOT_EXECUTED_BY_INVENTORY. SOURCE_LITERAL_OR_TRANSITIVE_HELPER_UNION</x:v>
      </x:c>
    </x:row>
    <x:row r="782" ht="42" customHeight="1">
      <x:c r="A782" s="14" t="str">
        <x:v>API-578</x:v>
      </x:c>
      <x:c r="B782" s="6" t="str">
        <x:v>GET</x:v>
      </x:c>
      <x:c r="C782" s="6" t="str">
        <x:v>/api/v1/post-fid-governance/{decision_id}/projects</x:v>
      </x:c>
      <x:c r="D782" s="6" t="str">
        <x:v>READ-ONLY SHARED CONTEXT</x:v>
      </x:c>
      <x:c r="E782" s="6" t="str">
        <x:v>post_fid_governance</x:v>
      </x:c>
      <x:c r="F782" s="6" t="str">
        <x:v>projects</x:v>
      </x:c>
      <x:c r="G782" s="6" t="str">
        <x:v>post_fid_governance.read</x:v>
      </x:c>
      <x:c r="H782" s="6" t="str">
        <x:v>LIVE_ROUTER_REGISTERED</x:v>
      </x:c>
      <x:c r="I782" s="6" t="str">
        <x:v>NO_DIRECT_LITERAL_MATCH_NOT_PROOF_UNUSED</x:v>
      </x:c>
      <x:c r="J782" s="6" t="str">
        <x:v>NOT_EXECUTED_BY_INVENTORY. SOURCE_LITERAL_OR_TRANSITIVE_HELPER_UNION</x:v>
      </x:c>
    </x:row>
    <x:row r="783" ht="42" customHeight="1">
      <x:c r="A783" s="15" t="str">
        <x:v>API-579</x:v>
      </x:c>
      <x:c r="B783" s="13" t="str">
        <x:v>GET</x:v>
      </x:c>
      <x:c r="C783" s="13" t="str">
        <x:v>/api/v1/post-fid-governance/{decision_id}/projects/{project_id}/activation-handoff</x:v>
      </x:c>
      <x:c r="D783" s="13" t="str">
        <x:v>READ-ONLY SHARED CONTEXT</x:v>
      </x:c>
      <x:c r="E783" s="13" t="str">
        <x:v>post_fid_governance</x:v>
      </x:c>
      <x:c r="F783" s="13" t="str">
        <x:v>activation handoff</x:v>
      </x:c>
      <x:c r="G783" s="13" t="str">
        <x:v>post_fid_governance.read</x:v>
      </x:c>
      <x:c r="H783" s="13" t="str">
        <x:v>LIVE_ROUTER_REGISTERED</x:v>
      </x:c>
      <x:c r="I783" s="13" t="str">
        <x:v>NO_DIRECT_LITERAL_MATCH_NOT_PROOF_UNUSED</x:v>
      </x:c>
      <x:c r="J783" s="13" t="str">
        <x:v>NOT_EXECUTED_BY_INVENTORY. SOURCE_LITERAL_OR_TRANSITIVE_HELPER_UNION</x:v>
      </x:c>
    </x:row>
    <x:row r="784" ht="42" customHeight="1">
      <x:c r="A784" s="14" t="str">
        <x:v>API-580</x:v>
      </x:c>
      <x:c r="B784" s="6" t="str">
        <x:v>GET</x:v>
      </x:c>
      <x:c r="C784" s="6" t="str">
        <x:v>/api/v1/post-fid-governance/{decision_id}/projects/{project_id}/eligibility</x:v>
      </x:c>
      <x:c r="D784" s="6" t="str">
        <x:v>READ-ONLY SHARED CONTEXT</x:v>
      </x:c>
      <x:c r="E784" s="6" t="str">
        <x:v>post_fid_governance</x:v>
      </x:c>
      <x:c r="F784" s="6" t="str">
        <x:v>eligibility</x:v>
      </x:c>
      <x:c r="G784" s="6" t="str">
        <x:v>post_fid_governance.read</x:v>
      </x:c>
      <x:c r="H784" s="6" t="str">
        <x:v>LIVE_ROUTER_REGISTERED</x:v>
      </x:c>
      <x:c r="I784" s="6" t="str">
        <x:v>NO_DIRECT_LITERAL_MATCH_NOT_PROOF_UNUSED</x:v>
      </x:c>
      <x:c r="J784" s="6" t="str">
        <x:v>NOT_EXECUTED_BY_INVENTORY. SOURCE_LITERAL_OR_TRANSITIVE_HELPER_UNION</x:v>
      </x:c>
    </x:row>
    <x:row r="785" ht="42" customHeight="1">
      <x:c r="A785" s="15" t="str">
        <x:v>API-581</x:v>
      </x:c>
      <x:c r="B785" s="13" t="str">
        <x:v>GET</x:v>
      </x:c>
      <x:c r="C785" s="13" t="str">
        <x:v>/api/v1/post-fid-governance/{decision_id}/projects/{project_id}/initialization-handoff</x:v>
      </x:c>
      <x:c r="D785" s="13" t="str">
        <x:v>READ-ONLY SHARED CONTEXT</x:v>
      </x:c>
      <x:c r="E785" s="13" t="str">
        <x:v>post_fid_governance</x:v>
      </x:c>
      <x:c r="F785" s="13" t="str">
        <x:v>initialization handoff</x:v>
      </x:c>
      <x:c r="G785" s="13" t="str">
        <x:v>post_fid_governance.read</x:v>
      </x:c>
      <x:c r="H785" s="13" t="str">
        <x:v>LIVE_ROUTER_REGISTERED</x:v>
      </x:c>
      <x:c r="I785" s="13" t="str">
        <x:v>NO_DIRECT_LITERAL_MATCH_NOT_PROOF_UNUSED</x:v>
      </x:c>
      <x:c r="J785" s="13" t="str">
        <x:v>NOT_EXECUTED_BY_INVENTORY. SOURCE_LITERAL_OR_TRANSITIVE_HELPER_UNION</x:v>
      </x:c>
    </x:row>
    <x:row r="786" ht="42" customHeight="1">
      <x:c r="A786" s="14" t="str">
        <x:v>API-582</x:v>
      </x:c>
      <x:c r="B786" s="6" t="str">
        <x:v>POST</x:v>
      </x:c>
      <x:c r="C786" s="6" t="str">
        <x:v>/api/v1/post-fid-governance/{decision_id}/refresh</x:v>
      </x:c>
      <x:c r="D786" s="6" t="str">
        <x:v>USER MODE</x:v>
      </x:c>
      <x:c r="E786" s="6" t="str">
        <x:v>post_fid_governance</x:v>
      </x:c>
      <x:c r="F786" s="6" t="str">
        <x:v>refresh</x:v>
      </x:c>
      <x:c r="G786" s="6" t="str">
        <x:v>post_fid_governance.refresh</x:v>
      </x:c>
      <x:c r="H786" s="6" t="str">
        <x:v>LIVE_ROUTER_REGISTERED</x:v>
      </x:c>
      <x:c r="I786" s="6" t="str">
        <x:v>frontend/src/features/post-fid-governance/api.ts</x:v>
      </x:c>
      <x:c r="J786" s="6" t="str">
        <x:v>NOT_EXECUTED_BY_INVENTORY. SOURCE_LITERAL_OR_TRANSITIVE_HELPER_UNION</x:v>
      </x:c>
    </x:row>
    <x:row r="787" ht="42" customHeight="1">
      <x:c r="A787" s="15" t="str">
        <x:v>API-583</x:v>
      </x:c>
      <x:c r="B787" s="13" t="str">
        <x:v>POST</x:v>
      </x:c>
      <x:c r="C787" s="13" t="str">
        <x:v>/api/v1/post-fid-governance/{decision_id}/refresh/preview</x:v>
      </x:c>
      <x:c r="D787" s="13" t="str">
        <x:v>USER MODE</x:v>
      </x:c>
      <x:c r="E787" s="13" t="str">
        <x:v>post_fid_governance</x:v>
      </x:c>
      <x:c r="F787" s="13" t="str">
        <x:v>refresh preview</x:v>
      </x:c>
      <x:c r="G787" s="13" t="str">
        <x:v>post_fid_governance.refresh</x:v>
      </x:c>
      <x:c r="H787" s="13" t="str">
        <x:v>LIVE_ROUTER_REGISTERED</x:v>
      </x:c>
      <x:c r="I787" s="13" t="str">
        <x:v>frontend/src/features/post-fid-governance/api.ts</x:v>
      </x:c>
      <x:c r="J787" s="13" t="str">
        <x:v>NOT_EXECUTED_BY_INVENTORY. SOURCE_LITERAL_OR_TRANSITIVE_HELPER_UNION</x:v>
      </x:c>
    </x:row>
    <x:row r="788" ht="42" customHeight="1">
      <x:c r="A788" s="14" t="str">
        <x:v>API-584</x:v>
      </x:c>
      <x:c r="B788" s="6" t="str">
        <x:v>GET</x:v>
      </x:c>
      <x:c r="C788" s="6" t="str">
        <x:v>/api/v1/project-creation-requests</x:v>
      </x:c>
      <x:c r="D788" s="6" t="str">
        <x:v>READ-ONLY SHARED CONTEXT</x:v>
      </x:c>
      <x:c r="E788" s="6" t="str">
        <x:v>project_creation</x:v>
      </x:c>
      <x:c r="F788" s="6" t="str">
        <x:v>list requests</x:v>
      </x:c>
      <x:c r="G788" s="6" t="str">
        <x:v>project_creation.request.read</x:v>
      </x:c>
      <x:c r="H788" s="6" t="str">
        <x:v>LIVE_ROUTER_REGISTERED</x:v>
      </x:c>
      <x:c r="I788" s="6" t="str">
        <x:v>frontend/src/features/enterprise-structure/api/index.ts</x:v>
      </x:c>
      <x:c r="J788" s="6" t="str">
        <x:v>NOT_EXECUTED_BY_INVENTORY. SOURCE_LITERAL_OR_TRANSITIVE_HELPER_UNION</x:v>
      </x:c>
    </x:row>
    <x:row r="789" ht="53" customHeight="1">
      <x:c r="A789" s="15" t="str">
        <x:v>API-585</x:v>
      </x:c>
      <x:c r="B789" s="13" t="str">
        <x:v>POST</x:v>
      </x:c>
      <x:c r="C789" s="13" t="str">
        <x:v>/api/v1/project-creation-requests</x:v>
      </x:c>
      <x:c r="D789" s="13" t="str">
        <x:v>USER MODE</x:v>
      </x:c>
      <x:c r="E789" s="13" t="str">
        <x:v>project_creation</x:v>
      </x:c>
      <x:c r="F789" s="13" t="str">
        <x:v>create request</x:v>
      </x:c>
      <x:c r="G789" s="13" t="str">
        <x:v>project_creation.contract_source.create; project_creation.direct.create; project_creation.request.create</x:v>
      </x:c>
      <x:c r="H789" s="13" t="str">
        <x:v>LIVE_ROUTER_REGISTERED</x:v>
      </x:c>
      <x:c r="I789" s="13" t="str">
        <x:v>frontend/src/features/enterprise-structure/api/index.ts</x:v>
      </x:c>
      <x:c r="J789" s="13" t="str">
        <x:v>NOT_EXECUTED_BY_INVENTORY. SOURCE_LITERAL_OR_TRANSITIVE_HELPER_UNION</x:v>
      </x:c>
    </x:row>
    <x:row r="790" ht="42" customHeight="1">
      <x:c r="A790" s="14" t="str">
        <x:v>API-586</x:v>
      </x:c>
      <x:c r="B790" s="6" t="str">
        <x:v>GET</x:v>
      </x:c>
      <x:c r="C790" s="6" t="str">
        <x:v>/api/v1/project-creation-requests/options</x:v>
      </x:c>
      <x:c r="D790" s="6" t="str">
        <x:v>READ-ONLY SHARED CONTEXT</x:v>
      </x:c>
      <x:c r="E790" s="6" t="str">
        <x:v>project_creation</x:v>
      </x:c>
      <x:c r="F790" s="6" t="str">
        <x:v>options</x:v>
      </x:c>
      <x:c r="G790" s="6" t="str">
        <x:v>project_creation.request.create</x:v>
      </x:c>
      <x:c r="H790" s="6" t="str">
        <x:v>LIVE_ROUTER_REGISTERED</x:v>
      </x:c>
      <x:c r="I790" s="6" t="str">
        <x:v>NO_DIRECT_LITERAL_MATCH_NOT_PROOF_UNUSED</x:v>
      </x:c>
      <x:c r="J790" s="6" t="str">
        <x:v>NOT_EXECUTED_BY_INVENTORY. SOURCE_LITERAL_OR_TRANSITIVE_HELPER_UNION</x:v>
      </x:c>
    </x:row>
    <x:row r="791" ht="42" customHeight="1">
      <x:c r="A791" s="15" t="str">
        <x:v>API-587</x:v>
      </x:c>
      <x:c r="B791" s="13" t="str">
        <x:v>GET</x:v>
      </x:c>
      <x:c r="C791" s="13" t="str">
        <x:v>/api/v1/project-creation-requests/{request_id}</x:v>
      </x:c>
      <x:c r="D791" s="13" t="str">
        <x:v>READ-ONLY SHARED CONTEXT</x:v>
      </x:c>
      <x:c r="E791" s="13" t="str">
        <x:v>project_creation</x:v>
      </x:c>
      <x:c r="F791" s="13" t="str">
        <x:v>get request</x:v>
      </x:c>
      <x:c r="G791" s="13" t="str">
        <x:v>project_creation.request.read</x:v>
      </x:c>
      <x:c r="H791" s="13" t="str">
        <x:v>LIVE_ROUTER_REGISTERED</x:v>
      </x:c>
      <x:c r="I791" s="13" t="str">
        <x:v>frontend/src/features/enterprise-structure/api/index.ts</x:v>
      </x:c>
      <x:c r="J791" s="13" t="str">
        <x:v>NOT_EXECUTED_BY_INVENTORY. SOURCE_LITERAL_OR_TRANSITIVE_HELPER_UNION</x:v>
      </x:c>
    </x:row>
    <x:row r="792" ht="42" customHeight="1">
      <x:c r="A792" s="14" t="str">
        <x:v>API-588</x:v>
      </x:c>
      <x:c r="B792" s="6" t="str">
        <x:v>PUT</x:v>
      </x:c>
      <x:c r="C792" s="6" t="str">
        <x:v>/api/v1/project-creation-requests/{request_id}</x:v>
      </x:c>
      <x:c r="D792" s="6" t="str">
        <x:v>USER MODE</x:v>
      </x:c>
      <x:c r="E792" s="6" t="str">
        <x:v>project_creation</x:v>
      </x:c>
      <x:c r="F792" s="6" t="str">
        <x:v>update request</x:v>
      </x:c>
      <x:c r="G792" s="6" t="str">
        <x:v>project_creation.request.edit</x:v>
      </x:c>
      <x:c r="H792" s="6" t="str">
        <x:v>LIVE_ROUTER_REGISTERED</x:v>
      </x:c>
      <x:c r="I792" s="6" t="str">
        <x:v>frontend/src/features/enterprise-structure/api/index.ts</x:v>
      </x:c>
      <x:c r="J792" s="6" t="str">
        <x:v>NOT_EXECUTED_BY_INVENTORY. SOURCE_LITERAL_OR_TRANSITIVE_HELPER_UNION</x:v>
      </x:c>
    </x:row>
    <x:row r="793" ht="42" customHeight="1">
      <x:c r="A793" s="15" t="str">
        <x:v>API-589</x:v>
      </x:c>
      <x:c r="B793" s="13" t="str">
        <x:v>POST</x:v>
      </x:c>
      <x:c r="C793" s="13" t="str">
        <x:v>/api/v1/project-creation-requests/{request_id}/approve</x:v>
      </x:c>
      <x:c r="D793" s="13" t="str">
        <x:v>USER MODE</x:v>
      </x:c>
      <x:c r="E793" s="13" t="str">
        <x:v>project_creation</x:v>
      </x:c>
      <x:c r="F793" s="13" t="str">
        <x:v>approve request</x:v>
      </x:c>
      <x:c r="G793" s="13" t="str">
        <x:v>project_creation.approve</x:v>
      </x:c>
      <x:c r="H793" s="13" t="str">
        <x:v>LIVE_ROUTER_REGISTERED</x:v>
      </x:c>
      <x:c r="I793" s="13" t="str">
        <x:v>NO_DIRECT_LITERAL_MATCH_NOT_PROOF_UNUSED</x:v>
      </x:c>
      <x:c r="J793" s="13" t="str">
        <x:v>NOT_EXECUTED_BY_INVENTORY. SOURCE_LITERAL_OR_TRANSITIVE_HELPER_UNION</x:v>
      </x:c>
    </x:row>
    <x:row r="794" ht="42" customHeight="1">
      <x:c r="A794" s="14" t="str">
        <x:v>API-590</x:v>
      </x:c>
      <x:c r="B794" s="6" t="str">
        <x:v>POST</x:v>
      </x:c>
      <x:c r="C794" s="6" t="str">
        <x:v>/api/v1/project-creation-requests/{request_id}/cancel</x:v>
      </x:c>
      <x:c r="D794" s="6" t="str">
        <x:v>USER MODE</x:v>
      </x:c>
      <x:c r="E794" s="6" t="str">
        <x:v>project_creation</x:v>
      </x:c>
      <x:c r="F794" s="6" t="str">
        <x:v>cancel request</x:v>
      </x:c>
      <x:c r="G794" s="6" t="str">
        <x:v>project_creation.request.submit</x:v>
      </x:c>
      <x:c r="H794" s="6" t="str">
        <x:v>LIVE_ROUTER_REGISTERED</x:v>
      </x:c>
      <x:c r="I794" s="6" t="str">
        <x:v>NO_DIRECT_LITERAL_MATCH_NOT_PROOF_UNUSED</x:v>
      </x:c>
      <x:c r="J794" s="6" t="str">
        <x:v>NOT_EXECUTED_BY_INVENTORY. SOURCE_LITERAL_OR_TRANSITIVE_HELPER_UNION</x:v>
      </x:c>
    </x:row>
    <x:row r="795" ht="42" customHeight="1">
      <x:c r="A795" s="15" t="str">
        <x:v>API-591</x:v>
      </x:c>
      <x:c r="B795" s="13" t="str">
        <x:v>POST</x:v>
      </x:c>
      <x:c r="C795" s="13" t="str">
        <x:v>/api/v1/project-creation-requests/{request_id}/materialize</x:v>
      </x:c>
      <x:c r="D795" s="13" t="str">
        <x:v>USER MODE</x:v>
      </x:c>
      <x:c r="E795" s="13" t="str">
        <x:v>project_creation</x:v>
      </x:c>
      <x:c r="F795" s="13" t="str">
        <x:v>materialize request</x:v>
      </x:c>
      <x:c r="G795" s="13" t="str">
        <x:v>project_creation.materialize</x:v>
      </x:c>
      <x:c r="H795" s="13" t="str">
        <x:v>LIVE_ROUTER_REGISTERED</x:v>
      </x:c>
      <x:c r="I795" s="13" t="str">
        <x:v>frontend/src/features/enterprise-structure/api/index.ts</x:v>
      </x:c>
      <x:c r="J795" s="13" t="str">
        <x:v>NOT_EXECUTED_BY_INVENTORY. SOURCE_LITERAL_OR_TRANSITIVE_HELPER_UNION</x:v>
      </x:c>
    </x:row>
    <x:row r="796" ht="42" customHeight="1">
      <x:c r="A796" s="14" t="str">
        <x:v>API-592</x:v>
      </x:c>
      <x:c r="B796" s="6" t="str">
        <x:v>POST</x:v>
      </x:c>
      <x:c r="C796" s="6" t="str">
        <x:v>/api/v1/project-creation-requests/{request_id}/preview</x:v>
      </x:c>
      <x:c r="D796" s="6" t="str">
        <x:v>USER MODE</x:v>
      </x:c>
      <x:c r="E796" s="6" t="str">
        <x:v>project_creation</x:v>
      </x:c>
      <x:c r="F796" s="6" t="str">
        <x:v>preview request</x:v>
      </x:c>
      <x:c r="G796" s="6" t="str">
        <x:v>project_creation.request.read</x:v>
      </x:c>
      <x:c r="H796" s="6" t="str">
        <x:v>LIVE_ROUTER_REGISTERED</x:v>
      </x:c>
      <x:c r="I796" s="6" t="str">
        <x:v>frontend/src/features/enterprise-structure/api/index.ts</x:v>
      </x:c>
      <x:c r="J796" s="6" t="str">
        <x:v>NOT_EXECUTED_BY_INVENTORY. SOURCE_LITERAL_OR_TRANSITIVE_HELPER_UNION</x:v>
      </x:c>
    </x:row>
    <x:row r="797" ht="42" customHeight="1">
      <x:c r="A797" s="15" t="str">
        <x:v>API-593</x:v>
      </x:c>
      <x:c r="B797" s="13" t="str">
        <x:v>POST</x:v>
      </x:c>
      <x:c r="C797" s="13" t="str">
        <x:v>/api/v1/project-creation-requests/{request_id}/reject</x:v>
      </x:c>
      <x:c r="D797" s="13" t="str">
        <x:v>USER MODE</x:v>
      </x:c>
      <x:c r="E797" s="13" t="str">
        <x:v>project_creation</x:v>
      </x:c>
      <x:c r="F797" s="13" t="str">
        <x:v>reject request</x:v>
      </x:c>
      <x:c r="G797" s="13" t="str">
        <x:v>project_creation.review</x:v>
      </x:c>
      <x:c r="H797" s="13" t="str">
        <x:v>LIVE_ROUTER_REGISTERED</x:v>
      </x:c>
      <x:c r="I797" s="13" t="str">
        <x:v>NO_DIRECT_LITERAL_MATCH_NOT_PROOF_UNUSED</x:v>
      </x:c>
      <x:c r="J797" s="13" t="str">
        <x:v>NOT_EXECUTED_BY_INVENTORY. SOURCE_LITERAL_OR_TRANSITIVE_HELPER_UNION</x:v>
      </x:c>
    </x:row>
    <x:row r="798" ht="42" customHeight="1">
      <x:c r="A798" s="14" t="str">
        <x:v>API-594</x:v>
      </x:c>
      <x:c r="B798" s="6" t="str">
        <x:v>POST</x:v>
      </x:c>
      <x:c r="C798" s="6" t="str">
        <x:v>/api/v1/project-creation-requests/{request_id}/return</x:v>
      </x:c>
      <x:c r="D798" s="6" t="str">
        <x:v>USER MODE</x:v>
      </x:c>
      <x:c r="E798" s="6" t="str">
        <x:v>project_creation</x:v>
      </x:c>
      <x:c r="F798" s="6" t="str">
        <x:v>return request</x:v>
      </x:c>
      <x:c r="G798" s="6" t="str">
        <x:v>project_creation.review</x:v>
      </x:c>
      <x:c r="H798" s="6" t="str">
        <x:v>LIVE_ROUTER_REGISTERED</x:v>
      </x:c>
      <x:c r="I798" s="6" t="str">
        <x:v>NO_DIRECT_LITERAL_MATCH_NOT_PROOF_UNUSED</x:v>
      </x:c>
      <x:c r="J798" s="6" t="str">
        <x:v>NOT_EXECUTED_BY_INVENTORY. SOURCE_LITERAL_OR_TRANSITIVE_HELPER_UNION</x:v>
      </x:c>
    </x:row>
    <x:row r="799" ht="42" customHeight="1">
      <x:c r="A799" s="15" t="str">
        <x:v>API-595</x:v>
      </x:c>
      <x:c r="B799" s="13" t="str">
        <x:v>POST</x:v>
      </x:c>
      <x:c r="C799" s="13" t="str">
        <x:v>/api/v1/project-creation-requests/{request_id}/start-review</x:v>
      </x:c>
      <x:c r="D799" s="13" t="str">
        <x:v>USER MODE</x:v>
      </x:c>
      <x:c r="E799" s="13" t="str">
        <x:v>project_creation</x:v>
      </x:c>
      <x:c r="F799" s="13" t="str">
        <x:v>start review</x:v>
      </x:c>
      <x:c r="G799" s="13" t="str">
        <x:v>project_creation.review</x:v>
      </x:c>
      <x:c r="H799" s="13" t="str">
        <x:v>LIVE_ROUTER_REGISTERED</x:v>
      </x:c>
      <x:c r="I799" s="13" t="str">
        <x:v>NO_DIRECT_LITERAL_MATCH_NOT_PROOF_UNUSED</x:v>
      </x:c>
      <x:c r="J799" s="13" t="str">
        <x:v>NOT_EXECUTED_BY_INVENTORY. SOURCE_LITERAL_OR_TRANSITIVE_HELPER_UNION</x:v>
      </x:c>
    </x:row>
    <x:row r="800" ht="42" customHeight="1">
      <x:c r="A800" s="14" t="str">
        <x:v>API-596</x:v>
      </x:c>
      <x:c r="B800" s="6" t="str">
        <x:v>POST</x:v>
      </x:c>
      <x:c r="C800" s="6" t="str">
        <x:v>/api/v1/project-creation-requests/{request_id}/submit</x:v>
      </x:c>
      <x:c r="D800" s="6" t="str">
        <x:v>USER MODE</x:v>
      </x:c>
      <x:c r="E800" s="6" t="str">
        <x:v>project_creation</x:v>
      </x:c>
      <x:c r="F800" s="6" t="str">
        <x:v>submit request</x:v>
      </x:c>
      <x:c r="G800" s="6" t="str">
        <x:v>project_creation.request.submit</x:v>
      </x:c>
      <x:c r="H800" s="6" t="str">
        <x:v>LIVE_ROUTER_REGISTERED</x:v>
      </x:c>
      <x:c r="I800" s="6" t="str">
        <x:v>NO_DIRECT_LITERAL_MATCH_NOT_PROOF_UNUSED</x:v>
      </x:c>
      <x:c r="J800" s="6" t="str">
        <x:v>NOT_EXECUTED_BY_INVENTORY. SOURCE_LITERAL_OR_TRANSITIVE_HELPER_UNION</x:v>
      </x:c>
    </x:row>
    <x:row r="801" ht="42" customHeight="1">
      <x:c r="A801" s="15" t="str">
        <x:v>API-597</x:v>
      </x:c>
      <x:c r="B801" s="13" t="str">
        <x:v>POST</x:v>
      </x:c>
      <x:c r="C801" s="13" t="str">
        <x:v>/api/v1/project-creation/direct</x:v>
      </x:c>
      <x:c r="D801" s="13" t="str">
        <x:v>USER MODE</x:v>
      </x:c>
      <x:c r="E801" s="13" t="str">
        <x:v>project_creation</x:v>
      </x:c>
      <x:c r="F801" s="13" t="str">
        <x:v>create direct</x:v>
      </x:c>
      <x:c r="G801" s="13" t="str">
        <x:v>project_creation.direct.create</x:v>
      </x:c>
      <x:c r="H801" s="13" t="str">
        <x:v>LIVE_ROUTER_REGISTERED</x:v>
      </x:c>
      <x:c r="I801" s="13" t="str">
        <x:v>frontend/src/features/enterprise-structure/api/index.ts</x:v>
      </x:c>
      <x:c r="J801" s="13" t="str">
        <x:v>NOT_EXECUTED_BY_INVENTORY. SOURCE_LITERAL_OR_TRANSITIVE_HELPER_UNION</x:v>
      </x:c>
    </x:row>
    <x:row r="802" ht="42" customHeight="1">
      <x:c r="A802" s="14" t="str">
        <x:v>API-598</x:v>
      </x:c>
      <x:c r="B802" s="6" t="str">
        <x:v>POST</x:v>
      </x:c>
      <x:c r="C802" s="6" t="str">
        <x:v>/api/v1/project-creation/direct/preview</x:v>
      </x:c>
      <x:c r="D802" s="6" t="str">
        <x:v>USER MODE</x:v>
      </x:c>
      <x:c r="E802" s="6" t="str">
        <x:v>project_creation</x:v>
      </x:c>
      <x:c r="F802" s="6" t="str">
        <x:v>preview direct</x:v>
      </x:c>
      <x:c r="G802" s="6" t="str">
        <x:v>project_creation.direct.create</x:v>
      </x:c>
      <x:c r="H802" s="6" t="str">
        <x:v>LIVE_ROUTER_REGISTERED</x:v>
      </x:c>
      <x:c r="I802" s="6" t="str">
        <x:v>frontend/src/features/enterprise-structure/api/index.ts</x:v>
      </x:c>
      <x:c r="J802" s="6" t="str">
        <x:v>NOT_EXECUTED_BY_INVENTORY. SOURCE_LITERAL_OR_TRANSITIVE_HELPER_UNION</x:v>
      </x:c>
    </x:row>
    <x:row r="803" ht="42" customHeight="1">
      <x:c r="A803" s="15" t="str">
        <x:v>API-599</x:v>
      </x:c>
      <x:c r="B803" s="13" t="str">
        <x:v>POST</x:v>
      </x:c>
      <x:c r="C803" s="13" t="str">
        <x:v>/api/v1/project-creation/from-contract</x:v>
      </x:c>
      <x:c r="D803" s="13" t="str">
        <x:v>USER MODE</x:v>
      </x:c>
      <x:c r="E803" s="13" t="str">
        <x:v>project_creation</x:v>
      </x:c>
      <x:c r="F803" s="13" t="str">
        <x:v>create from contract</x:v>
      </x:c>
      <x:c r="G803" s="13" t="str">
        <x:v>project_creation.contract_source.create</x:v>
      </x:c>
      <x:c r="H803" s="13" t="str">
        <x:v>LIVE_ROUTER_REGISTERED</x:v>
      </x:c>
      <x:c r="I803" s="13" t="str">
        <x:v>frontend/src/features/enterprise-structure/api/index.ts</x:v>
      </x:c>
      <x:c r="J803" s="13" t="str">
        <x:v>NOT_EXECUTED_BY_INVENTORY. SOURCE_LITERAL_OR_TRANSITIVE_HELPER_UNION</x:v>
      </x:c>
    </x:row>
    <x:row r="804" ht="42" customHeight="1">
      <x:c r="A804" s="14" t="str">
        <x:v>API-600</x:v>
      </x:c>
      <x:c r="B804" s="6" t="str">
        <x:v>POST</x:v>
      </x:c>
      <x:c r="C804" s="6" t="str">
        <x:v>/api/v1/project-creation/from-contract/preview</x:v>
      </x:c>
      <x:c r="D804" s="6" t="str">
        <x:v>USER MODE</x:v>
      </x:c>
      <x:c r="E804" s="6" t="str">
        <x:v>project_creation</x:v>
      </x:c>
      <x:c r="F804" s="6" t="str">
        <x:v>preview from contract</x:v>
      </x:c>
      <x:c r="G804" s="6" t="str">
        <x:v>project_creation.contract_source.create</x:v>
      </x:c>
      <x:c r="H804" s="6" t="str">
        <x:v>LIVE_ROUTER_REGISTERED</x:v>
      </x:c>
      <x:c r="I804" s="6" t="str">
        <x:v>frontend/src/features/enterprise-structure/api/index.ts</x:v>
      </x:c>
      <x:c r="J804" s="6" t="str">
        <x:v>NOT_EXECUTED_BY_INVENTORY. SOURCE_LITERAL_OR_TRANSITIVE_HELPER_UNION</x:v>
      </x:c>
    </x:row>
    <x:row r="805" ht="42" customHeight="1">
      <x:c r="A805" s="15" t="str">
        <x:v>API-601</x:v>
      </x:c>
      <x:c r="B805" s="13" t="str">
        <x:v>GET</x:v>
      </x:c>
      <x:c r="C805" s="13" t="str">
        <x:v>/api/v1/project-creation/options</x:v>
      </x:c>
      <x:c r="D805" s="13" t="str">
        <x:v>READ-ONLY SHARED CONTEXT</x:v>
      </x:c>
      <x:c r="E805" s="13" t="str">
        <x:v>project_creation</x:v>
      </x:c>
      <x:c r="F805" s="13" t="str">
        <x:v>generic options</x:v>
      </x:c>
      <x:c r="G805" s="13" t="str">
        <x:v>project_creation.request.create</x:v>
      </x:c>
      <x:c r="H805" s="13" t="str">
        <x:v>LIVE_ROUTER_REGISTERED</x:v>
      </x:c>
      <x:c r="I805" s="13" t="str">
        <x:v>NO_DIRECT_LITERAL_MATCH_NOT_PROOF_UNUSED</x:v>
      </x:c>
      <x:c r="J805" s="13" t="str">
        <x:v>NOT_EXECUTED_BY_INVENTORY. SOURCE_LITERAL_OR_TRANSITIVE_HELPER_UNION</x:v>
      </x:c>
    </x:row>
    <x:row r="806" ht="42" customHeight="1">
      <x:c r="A806" s="14" t="str">
        <x:v>API-602</x:v>
      </x:c>
      <x:c r="B806" s="6" t="str">
        <x:v>GET</x:v>
      </x:c>
      <x:c r="C806" s="6" t="str">
        <x:v>/api/v1/project-workspaces/{workspace_id}/overview</x:v>
      </x:c>
      <x:c r="D806" s="6" t="str">
        <x:v>READ-ONLY SHARED CONTEXT</x:v>
      </x:c>
      <x:c r="E806" s="6" t="str">
        <x:v>project_creation</x:v>
      </x:c>
      <x:c r="F806" s="6" t="str">
        <x:v>project overview</x:v>
      </x:c>
      <x:c r="G806" s="6" t="str">
        <x:v>enterprise_structure.read</x:v>
      </x:c>
      <x:c r="H806" s="6" t="str">
        <x:v>LIVE_ROUTER_REGISTERED</x:v>
      </x:c>
      <x:c r="I806" s="6" t="str">
        <x:v>frontend/src/features/enterprise-structure/api/index.ts</x:v>
      </x:c>
      <x:c r="J806" s="6" t="str">
        <x:v>NOT_EXECUTED_BY_INVENTORY. SOURCE_LITERAL_OR_TRANSITIVE_HELPER_UNION</x:v>
      </x:c>
    </x:row>
    <x:row r="807" ht="42" customHeight="1">
      <x:c r="A807" s="15" t="str">
        <x:v>API-603</x:v>
      </x:c>
      <x:c r="B807" s="13" t="str">
        <x:v>GET</x:v>
      </x:c>
      <x:c r="C807" s="13" t="str">
        <x:v>/api/v1/project-definition</x:v>
      </x:c>
      <x:c r="D807" s="13" t="str">
        <x:v>READ-ONLY SHARED CONTEXT</x:v>
      </x:c>
      <x:c r="E807" s="13" t="str">
        <x:v>project_definition</x:v>
      </x:c>
      <x:c r="F807" s="13" t="str">
        <x:v>overview</x:v>
      </x:c>
      <x:c r="G807" s="13" t="str">
        <x:v>project_definition.read</x:v>
      </x:c>
      <x:c r="H807" s="13" t="str">
        <x:v>LIVE_ROUTER_REGISTERED</x:v>
      </x:c>
      <x:c r="I807" s="13" t="str">
        <x:v>NO_DIRECT_LITERAL_MATCH_NOT_PROOF_UNUSED</x:v>
      </x:c>
      <x:c r="J807" s="13" t="str">
        <x:v>NOT_EXECUTED_BY_INVENTORY. SOURCE_LITERAL_OR_TRANSITIVE_HELPER_UNION</x:v>
      </x:c>
    </x:row>
    <x:row r="808" ht="42" customHeight="1">
      <x:c r="A808" s="14" t="str">
        <x:v>API-604</x:v>
      </x:c>
      <x:c r="B808" s="6" t="str">
        <x:v>PUT</x:v>
      </x:c>
      <x:c r="C808" s="6" t="str">
        <x:v>/api/v1/project-definition-actions/{action_id}</x:v>
      </x:c>
      <x:c r="D808" s="6" t="str">
        <x:v>USER MODE</x:v>
      </x:c>
      <x:c r="E808" s="6" t="str">
        <x:v>project_definition</x:v>
      </x:c>
      <x:c r="F808" s="6" t="str">
        <x:v>update action</x:v>
      </x:c>
      <x:c r="G808" s="6" t="str">
        <x:v>project_definition_action.manage</x:v>
      </x:c>
      <x:c r="H808" s="6" t="str">
        <x:v>LIVE_ROUTER_REGISTERED</x:v>
      </x:c>
      <x:c r="I808" s="6" t="str">
        <x:v>frontend/src/features/project-definition/api.ts</x:v>
      </x:c>
      <x:c r="J808" s="6" t="str">
        <x:v>NOT_EXECUTED_BY_INVENTORY. SOURCE_LITERAL_OR_TRANSITIVE_HELPER_UNION</x:v>
      </x:c>
    </x:row>
    <x:row r="809" ht="42" customHeight="1">
      <x:c r="A809" s="15" t="str">
        <x:v>API-605</x:v>
      </x:c>
      <x:c r="B809" s="13" t="str">
        <x:v>GET</x:v>
      </x:c>
      <x:c r="C809" s="13" t="str">
        <x:v>/api/v1/project-definition-assessments/{assessment_id}</x:v>
      </x:c>
      <x:c r="D809" s="13" t="str">
        <x:v>READ-ONLY SHARED CONTEXT</x:v>
      </x:c>
      <x:c r="E809" s="13" t="str">
        <x:v>project_definition</x:v>
      </x:c>
      <x:c r="F809" s="13" t="str">
        <x:v>assessment</x:v>
      </x:c>
      <x:c r="G809" s="13" t="str">
        <x:v>project_definition.read</x:v>
      </x:c>
      <x:c r="H809" s="13" t="str">
        <x:v>LIVE_ROUTER_REGISTERED</x:v>
      </x:c>
      <x:c r="I809" s="13" t="str">
        <x:v>frontend/src/features/project-definition/api.ts</x:v>
      </x:c>
      <x:c r="J809" s="13" t="str">
        <x:v>NOT_EXECUTED_BY_INVENTORY. SOURCE_LITERAL_OR_TRANSITIVE_HELPER_UNION</x:v>
      </x:c>
    </x:row>
    <x:row r="810" ht="42" customHeight="1">
      <x:c r="A810" s="14" t="str">
        <x:v>API-606</x:v>
      </x:c>
      <x:c r="B810" s="6" t="str">
        <x:v>PUT</x:v>
      </x:c>
      <x:c r="C810" s="6" t="str">
        <x:v>/api/v1/project-definition-assessments/{assessment_id}</x:v>
      </x:c>
      <x:c r="D810" s="6" t="str">
        <x:v>USER MODE</x:v>
      </x:c>
      <x:c r="E810" s="6" t="str">
        <x:v>project_definition</x:v>
      </x:c>
      <x:c r="F810" s="6" t="str">
        <x:v>update assessment</x:v>
      </x:c>
      <x:c r="G810" s="6" t="str">
        <x:v>project_definition_assessment.edit</x:v>
      </x:c>
      <x:c r="H810" s="6" t="str">
        <x:v>LIVE_ROUTER_REGISTERED</x:v>
      </x:c>
      <x:c r="I810" s="6" t="str">
        <x:v>frontend/src/features/project-definition/api.ts</x:v>
      </x:c>
      <x:c r="J810" s="6" t="str">
        <x:v>NOT_EXECUTED_BY_INVENTORY. SOURCE_LITERAL_OR_TRANSITIVE_HELPER_UNION</x:v>
      </x:c>
    </x:row>
    <x:row r="811" ht="42" customHeight="1">
      <x:c r="A811" s="15" t="str">
        <x:v>API-607</x:v>
      </x:c>
      <x:c r="B811" s="13" t="str">
        <x:v>POST</x:v>
      </x:c>
      <x:c r="C811" s="13" t="str">
        <x:v>/api/v1/project-definition-assessments/{assessment_id}/complete</x:v>
      </x:c>
      <x:c r="D811" s="13" t="str">
        <x:v>USER MODE</x:v>
      </x:c>
      <x:c r="E811" s="13" t="str">
        <x:v>project_definition</x:v>
      </x:c>
      <x:c r="F811" s="13" t="str">
        <x:v>complete assessment</x:v>
      </x:c>
      <x:c r="G811" s="13" t="str">
        <x:v>project_definition_assessment.complete</x:v>
      </x:c>
      <x:c r="H811" s="13" t="str">
        <x:v>LIVE_ROUTER_REGISTERED</x:v>
      </x:c>
      <x:c r="I811" s="13" t="str">
        <x:v>frontend/src/features/project-definition/api.ts</x:v>
      </x:c>
      <x:c r="J811" s="13" t="str">
        <x:v>NOT_EXECUTED_BY_INVENTORY. SOURCE_LITERAL_OR_TRANSITIVE_HELPER_UNION</x:v>
      </x:c>
    </x:row>
    <x:row r="812" ht="42" customHeight="1">
      <x:c r="A812" s="14" t="str">
        <x:v>API-608</x:v>
      </x:c>
      <x:c r="B812" s="6" t="str">
        <x:v>POST</x:v>
      </x:c>
      <x:c r="C812" s="6" t="str">
        <x:v>/api/v1/project-definition-assessments/{assessment_id}/reevaluate</x:v>
      </x:c>
      <x:c r="D812" s="6" t="str">
        <x:v>USER MODE</x:v>
      </x:c>
      <x:c r="E812" s="6" t="str">
        <x:v>project_definition</x:v>
      </x:c>
      <x:c r="F812" s="6" t="str">
        <x:v>reevaluate</x:v>
      </x:c>
      <x:c r="G812" s="6" t="str">
        <x:v>project_definition_assessment.reevaluate</x:v>
      </x:c>
      <x:c r="H812" s="6" t="str">
        <x:v>LIVE_ROUTER_REGISTERED</x:v>
      </x:c>
      <x:c r="I812" s="6" t="str">
        <x:v>frontend/src/features/project-definition/api.ts</x:v>
      </x:c>
      <x:c r="J812" s="6" t="str">
        <x:v>NOT_EXECUTED_BY_INVENTORY. SOURCE_LITERAL_OR_TRANSITIVE_HELPER_UNION</x:v>
      </x:c>
    </x:row>
    <x:row r="813" ht="42" customHeight="1">
      <x:c r="A813" s="15" t="str">
        <x:v>API-609</x:v>
      </x:c>
      <x:c r="B813" s="13" t="str">
        <x:v>GET</x:v>
      </x:c>
      <x:c r="C813" s="13" t="str">
        <x:v>/api/v1/project-definition/admin/configurations</x:v>
      </x:c>
      <x:c r="D813" s="13" t="str">
        <x:v>ADMIN MODE</x:v>
      </x:c>
      <x:c r="E813" s="13" t="str">
        <x:v>project_definition</x:v>
      </x:c>
      <x:c r="F813" s="13" t="str">
        <x:v>configurations</x:v>
      </x:c>
      <x:c r="G813" s="13" t="str">
        <x:v>project_definition.admin.configure</x:v>
      </x:c>
      <x:c r="H813" s="13" t="str">
        <x:v>LIVE_ROUTER_REGISTERED</x:v>
      </x:c>
      <x:c r="I813" s="13" t="str">
        <x:v>frontend/src/features/project-definition/api.ts</x:v>
      </x:c>
      <x:c r="J813" s="13" t="str">
        <x:v>NOT_EXECUTED_BY_INVENTORY. SOURCE_LITERAL_OR_TRANSITIVE_HELPER_UNION</x:v>
      </x:c>
    </x:row>
    <x:row r="814" ht="42" customHeight="1">
      <x:c r="A814" s="14" t="str">
        <x:v>API-610</x:v>
      </x:c>
      <x:c r="B814" s="6" t="str">
        <x:v>POST</x:v>
      </x:c>
      <x:c r="C814" s="6" t="str">
        <x:v>/api/v1/project-definition/admin/configurations/preview</x:v>
      </x:c>
      <x:c r="D814" s="6" t="str">
        <x:v>ADMIN MODE</x:v>
      </x:c>
      <x:c r="E814" s="6" t="str">
        <x:v>project_definition</x:v>
      </x:c>
      <x:c r="F814" s="6" t="str">
        <x:v>configuration preview</x:v>
      </x:c>
      <x:c r="G814" s="6" t="str">
        <x:v>project_definition.admin.configure</x:v>
      </x:c>
      <x:c r="H814" s="6" t="str">
        <x:v>LIVE_ROUTER_REGISTERED</x:v>
      </x:c>
      <x:c r="I814" s="6" t="str">
        <x:v>frontend/src/features/project-definition/api.ts</x:v>
      </x:c>
      <x:c r="J814" s="6" t="str">
        <x:v>NOT_EXECUTED_BY_INVENTORY. SOURCE_LITERAL_OR_TRANSITIVE_HELPER_UNION</x:v>
      </x:c>
    </x:row>
    <x:row r="815" ht="42" customHeight="1">
      <x:c r="A815" s="15" t="str">
        <x:v>API-611</x:v>
      </x:c>
      <x:c r="B815" s="13" t="str">
        <x:v>PUT</x:v>
      </x:c>
      <x:c r="C815" s="13" t="str">
        <x:v>/api/v1/project-definition/admin/configurations/{configuration_id}</x:v>
      </x:c>
      <x:c r="D815" s="13" t="str">
        <x:v>ADMIN MODE</x:v>
      </x:c>
      <x:c r="E815" s="13" t="str">
        <x:v>project_definition</x:v>
      </x:c>
      <x:c r="F815" s="13" t="str">
        <x:v>update configuration</x:v>
      </x:c>
      <x:c r="G815" s="13" t="str">
        <x:v>project_definition.admin.configure</x:v>
      </x:c>
      <x:c r="H815" s="13" t="str">
        <x:v>LIVE_ROUTER_REGISTERED</x:v>
      </x:c>
      <x:c r="I815" s="13" t="str">
        <x:v>frontend/src/features/project-definition/api.ts</x:v>
      </x:c>
      <x:c r="J815" s="13" t="str">
        <x:v>NOT_EXECUTED_BY_INVENTORY. SOURCE_LITERAL_OR_TRANSITIVE_HELPER_UNION</x:v>
      </x:c>
    </x:row>
    <x:row r="816" ht="42" customHeight="1">
      <x:c r="A816" s="14" t="str">
        <x:v>API-612</x:v>
      </x:c>
      <x:c r="B816" s="6" t="str">
        <x:v>POST</x:v>
      </x:c>
      <x:c r="C816" s="6" t="str">
        <x:v>/api/v1/project-definition/admin/configurations/{configuration_id}/clone</x:v>
      </x:c>
      <x:c r="D816" s="6" t="str">
        <x:v>ADMIN MODE</x:v>
      </x:c>
      <x:c r="E816" s="6" t="str">
        <x:v>project_definition</x:v>
      </x:c>
      <x:c r="F816" s="6" t="str">
        <x:v>clone configuration</x:v>
      </x:c>
      <x:c r="G816" s="6" t="str">
        <x:v>project_definition.admin.configure</x:v>
      </x:c>
      <x:c r="H816" s="6" t="str">
        <x:v>LIVE_ROUTER_REGISTERED</x:v>
      </x:c>
      <x:c r="I816" s="6" t="str">
        <x:v>frontend/src/features/project-definition/api.ts</x:v>
      </x:c>
      <x:c r="J816" s="6" t="str">
        <x:v>NOT_EXECUTED_BY_INVENTORY. SOURCE_LITERAL_OR_TRANSITIVE_HELPER_UNION</x:v>
      </x:c>
    </x:row>
    <x:row r="817" ht="42" customHeight="1">
      <x:c r="A817" s="15" t="str">
        <x:v>API-613</x:v>
      </x:c>
      <x:c r="B817" s="13" t="str">
        <x:v>POST</x:v>
      </x:c>
      <x:c r="C817" s="13" t="str">
        <x:v>/api/v1/project-definition/admin/configurations/{configuration_id}/publish</x:v>
      </x:c>
      <x:c r="D817" s="13" t="str">
        <x:v>ADMIN MODE</x:v>
      </x:c>
      <x:c r="E817" s="13" t="str">
        <x:v>project_definition</x:v>
      </x:c>
      <x:c r="F817" s="13" t="str">
        <x:v>publish configuration</x:v>
      </x:c>
      <x:c r="G817" s="13" t="str">
        <x:v>project_definition.admin.publish</x:v>
      </x:c>
      <x:c r="H817" s="13" t="str">
        <x:v>LIVE_ROUTER_REGISTERED</x:v>
      </x:c>
      <x:c r="I817" s="13" t="str">
        <x:v>frontend/src/features/project-definition/api.ts</x:v>
      </x:c>
      <x:c r="J817" s="13" t="str">
        <x:v>NOT_EXECUTED_BY_INVENTORY. SOURCE_LITERAL_OR_TRANSITIVE_HELPER_UNION</x:v>
      </x:c>
    </x:row>
    <x:row r="818" ht="42" customHeight="1">
      <x:c r="A818" s="14" t="str">
        <x:v>API-614</x:v>
      </x:c>
      <x:c r="B818" s="6" t="str">
        <x:v>GET</x:v>
      </x:c>
      <x:c r="C818" s="6" t="str">
        <x:v>/api/v1/projects/{project_id}/definition</x:v>
      </x:c>
      <x:c r="D818" s="6" t="str">
        <x:v>READ-ONLY SHARED CONTEXT</x:v>
      </x:c>
      <x:c r="E818" s="6" t="str">
        <x:v>project_definition</x:v>
      </x:c>
      <x:c r="F818" s="6" t="str">
        <x:v>project overview</x:v>
      </x:c>
      <x:c r="G818" s="6" t="str">
        <x:v>project_definition.read</x:v>
      </x:c>
      <x:c r="H818" s="6" t="str">
        <x:v>LIVE_ROUTER_REGISTERED</x:v>
      </x:c>
      <x:c r="I818" s="6" t="str">
        <x:v>NO_DIRECT_LITERAL_MATCH_NOT_PROOF_UNUSED</x:v>
      </x:c>
      <x:c r="J818" s="6" t="str">
        <x:v>NOT_EXECUTED_BY_INVENTORY. SOURCE_LITERAL_OR_TRANSITIVE_HELPER_UNION</x:v>
      </x:c>
    </x:row>
    <x:row r="819" ht="42" customHeight="1">
      <x:c r="A819" s="15" t="str">
        <x:v>API-615</x:v>
      </x:c>
      <x:c r="B819" s="13" t="str">
        <x:v>GET</x:v>
      </x:c>
      <x:c r="C819" s="13" t="str">
        <x:v>/api/v1/projects/{project_id}/definition-actions</x:v>
      </x:c>
      <x:c r="D819" s="13" t="str">
        <x:v>READ-ONLY SHARED CONTEXT</x:v>
      </x:c>
      <x:c r="E819" s="13" t="str">
        <x:v>project_definition</x:v>
      </x:c>
      <x:c r="F819" s="13" t="str">
        <x:v>actions</x:v>
      </x:c>
      <x:c r="G819" s="13" t="str">
        <x:v>project_definition.read</x:v>
      </x:c>
      <x:c r="H819" s="13" t="str">
        <x:v>LIVE_ROUTER_REGISTERED</x:v>
      </x:c>
      <x:c r="I819" s="13" t="str">
        <x:v>frontend/src/features/project-definition/api.ts</x:v>
      </x:c>
      <x:c r="J819" s="13" t="str">
        <x:v>NOT_EXECUTED_BY_INVENTORY. SOURCE_LITERAL_OR_TRANSITIVE_HELPER_UNION</x:v>
      </x:c>
    </x:row>
    <x:row r="820" ht="42" customHeight="1">
      <x:c r="A820" s="14" t="str">
        <x:v>API-616</x:v>
      </x:c>
      <x:c r="B820" s="6" t="str">
        <x:v>POST</x:v>
      </x:c>
      <x:c r="C820" s="6" t="str">
        <x:v>/api/v1/projects/{project_id}/definition-actions</x:v>
      </x:c>
      <x:c r="D820" s="6" t="str">
        <x:v>USER MODE</x:v>
      </x:c>
      <x:c r="E820" s="6" t="str">
        <x:v>project_definition</x:v>
      </x:c>
      <x:c r="F820" s="6" t="str">
        <x:v>create action</x:v>
      </x:c>
      <x:c r="G820" s="6" t="str">
        <x:v>project_definition_action.manage</x:v>
      </x:c>
      <x:c r="H820" s="6" t="str">
        <x:v>LIVE_ROUTER_REGISTERED</x:v>
      </x:c>
      <x:c r="I820" s="6" t="str">
        <x:v>frontend/src/features/project-definition/api.ts</x:v>
      </x:c>
      <x:c r="J820" s="6" t="str">
        <x:v>NOT_EXECUTED_BY_INVENTORY. SOURCE_LITERAL_OR_TRANSITIVE_HELPER_UNION</x:v>
      </x:c>
    </x:row>
    <x:row r="821" ht="42" customHeight="1">
      <x:c r="A821" s="15" t="str">
        <x:v>API-617</x:v>
      </x:c>
      <x:c r="B821" s="13" t="str">
        <x:v>GET</x:v>
      </x:c>
      <x:c r="C821" s="13" t="str">
        <x:v>/api/v1/projects/{project_id}/definition-assessments</x:v>
      </x:c>
      <x:c r="D821" s="13" t="str">
        <x:v>READ-ONLY SHARED CONTEXT</x:v>
      </x:c>
      <x:c r="E821" s="13" t="str">
        <x:v>project_definition</x:v>
      </x:c>
      <x:c r="F821" s="13" t="str">
        <x:v>assessments</x:v>
      </x:c>
      <x:c r="G821" s="13" t="str">
        <x:v>project_definition.read</x:v>
      </x:c>
      <x:c r="H821" s="13" t="str">
        <x:v>LIVE_ROUTER_REGISTERED</x:v>
      </x:c>
      <x:c r="I821" s="13" t="str">
        <x:v>frontend/src/features/project-definition/api.ts</x:v>
      </x:c>
      <x:c r="J821" s="13" t="str">
        <x:v>NOT_EXECUTED_BY_INVENTORY. SOURCE_LITERAL_OR_TRANSITIVE_HELPER_UNION</x:v>
      </x:c>
    </x:row>
    <x:row r="822" ht="42" customHeight="1">
      <x:c r="A822" s="14" t="str">
        <x:v>API-618</x:v>
      </x:c>
      <x:c r="B822" s="6" t="str">
        <x:v>POST</x:v>
      </x:c>
      <x:c r="C822" s="6" t="str">
        <x:v>/api/v1/projects/{project_id}/definition-assessments</x:v>
      </x:c>
      <x:c r="D822" s="6" t="str">
        <x:v>USER MODE</x:v>
      </x:c>
      <x:c r="E822" s="6" t="str">
        <x:v>project_definition</x:v>
      </x:c>
      <x:c r="F822" s="6" t="str">
        <x:v>create assessment</x:v>
      </x:c>
      <x:c r="G822" s="6" t="str">
        <x:v>project_definition_assessment.create</x:v>
      </x:c>
      <x:c r="H822" s="6" t="str">
        <x:v>LIVE_ROUTER_REGISTERED</x:v>
      </x:c>
      <x:c r="I822" s="6" t="str">
        <x:v>frontend/src/features/project-definition/api.ts</x:v>
      </x:c>
      <x:c r="J822" s="6" t="str">
        <x:v>NOT_EXECUTED_BY_INVENTORY. SOURCE_LITERAL_OR_TRANSITIVE_HELPER_UNION</x:v>
      </x:c>
    </x:row>
    <x:row r="823" ht="42" customHeight="1">
      <x:c r="A823" s="15" t="str">
        <x:v>API-619</x:v>
      </x:c>
      <x:c r="B823" s="13" t="str">
        <x:v>GET</x:v>
      </x:c>
      <x:c r="C823" s="13" t="str">
        <x:v>/api/v1/projects/{project_id}/definition-readiness</x:v>
      </x:c>
      <x:c r="D823" s="13" t="str">
        <x:v>READ-ONLY SHARED CONTEXT</x:v>
      </x:c>
      <x:c r="E823" s="13" t="str">
        <x:v>project_definition</x:v>
      </x:c>
      <x:c r="F823" s="13" t="str">
        <x:v>readiness</x:v>
      </x:c>
      <x:c r="G823" s="13" t="str">
        <x:v>project_definition.read</x:v>
      </x:c>
      <x:c r="H823" s="13" t="str">
        <x:v>LIVE_ROUTER_REGISTERED</x:v>
      </x:c>
      <x:c r="I823" s="13" t="str">
        <x:v>NO_DIRECT_LITERAL_MATCH_NOT_PROOF_UNUSED</x:v>
      </x:c>
      <x:c r="J823" s="13" t="str">
        <x:v>NOT_EXECUTED_BY_INVENTORY. SOURCE_LITERAL_OR_TRANSITIVE_HELPER_UNION</x:v>
      </x:c>
    </x:row>
    <x:row r="824" ht="42" customHeight="1">
      <x:c r="A824" s="14" t="str">
        <x:v>API-620</x:v>
      </x:c>
      <x:c r="B824" s="6" t="str">
        <x:v>GET</x:v>
      </x:c>
      <x:c r="C824" s="6" t="str">
        <x:v>/api/v1/projects/{project_id}/definition/investment-gate-evidence</x:v>
      </x:c>
      <x:c r="D824" s="6" t="str">
        <x:v>READ-ONLY SHARED CONTEXT</x:v>
      </x:c>
      <x:c r="E824" s="6" t="str">
        <x:v>project_definition</x:v>
      </x:c>
      <x:c r="F824" s="6" t="str">
        <x:v>investment gate evidence</x:v>
      </x:c>
      <x:c r="G824" s="6" t="str">
        <x:v>project_definition.read</x:v>
      </x:c>
      <x:c r="H824" s="6" t="str">
        <x:v>LIVE_ROUTER_REGISTERED</x:v>
      </x:c>
      <x:c r="I824" s="6" t="str">
        <x:v>frontend/src/features/project-definition/api.ts</x:v>
      </x:c>
      <x:c r="J824" s="6" t="str">
        <x:v>NOT_EXECUTED_BY_INVENTORY. SOURCE_LITERAL_OR_TRANSITIVE_HELPER_UNION</x:v>
      </x:c>
    </x:row>
    <x:row r="825" ht="42" customHeight="1">
      <x:c r="A825" s="15" t="str">
        <x:v>API-621</x:v>
      </x:c>
      <x:c r="B825" s="13" t="str">
        <x:v>POST</x:v>
      </x:c>
      <x:c r="C825" s="13" t="str">
        <x:v>/api/v1/projects/{project_id}/definition/refresh</x:v>
      </x:c>
      <x:c r="D825" s="13" t="str">
        <x:v>USER MODE</x:v>
      </x:c>
      <x:c r="E825" s="13" t="str">
        <x:v>project_definition</x:v>
      </x:c>
      <x:c r="F825" s="13" t="str">
        <x:v>refresh</x:v>
      </x:c>
      <x:c r="G825" s="13" t="str">
        <x:v>project_definition.refresh</x:v>
      </x:c>
      <x:c r="H825" s="13" t="str">
        <x:v>LIVE_ROUTER_REGISTERED</x:v>
      </x:c>
      <x:c r="I825" s="13" t="str">
        <x:v>NO_DIRECT_LITERAL_MATCH_NOT_PROOF_UNUSED</x:v>
      </x:c>
      <x:c r="J825" s="13" t="str">
        <x:v>NOT_EXECUTED_BY_INVENTORY. SOURCE_LITERAL_OR_TRANSITIVE_HELPER_UNION</x:v>
      </x:c>
    </x:row>
    <x:row r="826" ht="42" customHeight="1">
      <x:c r="A826" s="14" t="str">
        <x:v>API-622</x:v>
      </x:c>
      <x:c r="B826" s="6" t="str">
        <x:v>POST</x:v>
      </x:c>
      <x:c r="C826" s="6" t="str">
        <x:v>/api/v1/projects/{project_id}/definition/refresh/preview</x:v>
      </x:c>
      <x:c r="D826" s="6" t="str">
        <x:v>USER MODE</x:v>
      </x:c>
      <x:c r="E826" s="6" t="str">
        <x:v>project_definition</x:v>
      </x:c>
      <x:c r="F826" s="6" t="str">
        <x:v>refresh preview</x:v>
      </x:c>
      <x:c r="G826" s="6" t="str">
        <x:v>project_definition.refresh</x:v>
      </x:c>
      <x:c r="H826" s="6" t="str">
        <x:v>LIVE_ROUTER_REGISTERED</x:v>
      </x:c>
      <x:c r="I826" s="6" t="str">
        <x:v>frontend/src/features/project-definition/api.ts</x:v>
      </x:c>
      <x:c r="J826" s="6" t="str">
        <x:v>NOT_EXECUTED_BY_INVENTORY. SOURCE_LITERAL_OR_TRANSITIVE_HELPER_UNION</x:v>
      </x:c>
    </x:row>
    <x:row r="827" ht="42" customHeight="1">
      <x:c r="A827" s="15" t="str">
        <x:v>API-623</x:v>
      </x:c>
      <x:c r="B827" s="13" t="str">
        <x:v>POST</x:v>
      </x:c>
      <x:c r="C827" s="13" t="str">
        <x:v>/api/v1/projects/{project_id}/fel-stage/complete</x:v>
      </x:c>
      <x:c r="D827" s="13" t="str">
        <x:v>USER MODE</x:v>
      </x:c>
      <x:c r="E827" s="13" t="str">
        <x:v>project_definition</x:v>
      </x:c>
      <x:c r="F827" s="13" t="str">
        <x:v>complete stage</x:v>
      </x:c>
      <x:c r="G827" s="13" t="str">
        <x:v>project_definition_stage.review</x:v>
      </x:c>
      <x:c r="H827" s="13" t="str">
        <x:v>LIVE_ROUTER_REGISTERED</x:v>
      </x:c>
      <x:c r="I827" s="13" t="str">
        <x:v>NO_DIRECT_LITERAL_MATCH_NOT_PROOF_UNUSED</x:v>
      </x:c>
      <x:c r="J827" s="13" t="str">
        <x:v>NOT_EXECUTED_BY_INVENTORY. SOURCE_LITERAL_OR_TRANSITIVE_HELPER_UNION</x:v>
      </x:c>
    </x:row>
    <x:row r="828" ht="42" customHeight="1">
      <x:c r="A828" s="14" t="str">
        <x:v>API-624</x:v>
      </x:c>
      <x:c r="B828" s="6" t="str">
        <x:v>POST</x:v>
      </x:c>
      <x:c r="C828" s="6" t="str">
        <x:v>/api/v1/projects/{project_id}/fel-stage/return</x:v>
      </x:c>
      <x:c r="D828" s="6" t="str">
        <x:v>USER MODE</x:v>
      </x:c>
      <x:c r="E828" s="6" t="str">
        <x:v>project_definition</x:v>
      </x:c>
      <x:c r="F828" s="6" t="str">
        <x:v>return stage</x:v>
      </x:c>
      <x:c r="G828" s="6" t="str">
        <x:v>project_definition_stage.review</x:v>
      </x:c>
      <x:c r="H828" s="6" t="str">
        <x:v>LIVE_ROUTER_REGISTERED</x:v>
      </x:c>
      <x:c r="I828" s="6" t="str">
        <x:v>NO_DIRECT_LITERAL_MATCH_NOT_PROOF_UNUSED</x:v>
      </x:c>
      <x:c r="J828" s="6" t="str">
        <x:v>NOT_EXECUTED_BY_INVENTORY. SOURCE_LITERAL_OR_TRANSITIVE_HELPER_UNION</x:v>
      </x:c>
    </x:row>
    <x:row r="829" ht="42" customHeight="1">
      <x:c r="A829" s="15" t="str">
        <x:v>API-625</x:v>
      </x:c>
      <x:c r="B829" s="13" t="str">
        <x:v>POST</x:v>
      </x:c>
      <x:c r="C829" s="13" t="str">
        <x:v>/api/v1/projects/{project_id}/fel-stage/submit-review</x:v>
      </x:c>
      <x:c r="D829" s="13" t="str">
        <x:v>USER MODE</x:v>
      </x:c>
      <x:c r="E829" s="13" t="str">
        <x:v>project_definition</x:v>
      </x:c>
      <x:c r="F829" s="13" t="str">
        <x:v>submit review</x:v>
      </x:c>
      <x:c r="G829" s="13" t="str">
        <x:v>project_definition_stage.submit</x:v>
      </x:c>
      <x:c r="H829" s="13" t="str">
        <x:v>LIVE_ROUTER_REGISTERED</x:v>
      </x:c>
      <x:c r="I829" s="13" t="str">
        <x:v>NO_DIRECT_LITERAL_MATCH_NOT_PROOF_UNUSED</x:v>
      </x:c>
      <x:c r="J829" s="13" t="str">
        <x:v>NOT_EXECUTED_BY_INVENTORY. SOURCE_LITERAL_OR_TRANSITIVE_HELPER_UNION</x:v>
      </x:c>
    </x:row>
    <x:row r="830" ht="42" customHeight="1">
      <x:c r="A830" s="14" t="str">
        <x:v>API-626</x:v>
      </x:c>
      <x:c r="B830" s="6" t="str">
        <x:v>GET</x:v>
      </x:c>
      <x:c r="C830" s="6" t="str">
        <x:v>/api/v1/projects/{project_id}/fel-status</x:v>
      </x:c>
      <x:c r="D830" s="6" t="str">
        <x:v>READ-ONLY SHARED CONTEXT</x:v>
      </x:c>
      <x:c r="E830" s="6" t="str">
        <x:v>project_definition</x:v>
      </x:c>
      <x:c r="F830" s="6" t="str">
        <x:v>fel status</x:v>
      </x:c>
      <x:c r="G830" s="6" t="str">
        <x:v>project_definition.read</x:v>
      </x:c>
      <x:c r="H830" s="6" t="str">
        <x:v>LIVE_ROUTER_REGISTERED</x:v>
      </x:c>
      <x:c r="I830" s="6" t="str">
        <x:v>NO_DIRECT_LITERAL_MATCH_NOT_PROOF_UNUSED</x:v>
      </x:c>
      <x:c r="J830" s="6" t="str">
        <x:v>NOT_EXECUTED_BY_INVENTORY. SOURCE_LITERAL_OR_TRANSITIVE_HELPER_UNION</x:v>
      </x:c>
    </x:row>
    <x:row r="831" ht="42" customHeight="1">
      <x:c r="A831" s="15" t="str">
        <x:v>API-627</x:v>
      </x:c>
      <x:c r="B831" s="13" t="str">
        <x:v>POST</x:v>
      </x:c>
      <x:c r="C831" s="13" t="str">
        <x:v>/api/v1/projects/{project_id}/fel/start</x:v>
      </x:c>
      <x:c r="D831" s="13" t="str">
        <x:v>USER MODE</x:v>
      </x:c>
      <x:c r="E831" s="13" t="str">
        <x:v>project_definition</x:v>
      </x:c>
      <x:c r="F831" s="13" t="str">
        <x:v>start fel</x:v>
      </x:c>
      <x:c r="G831" s="13" t="str">
        <x:v>project_definition.status.manage</x:v>
      </x:c>
      <x:c r="H831" s="13" t="str">
        <x:v>LIVE_ROUTER_REGISTERED</x:v>
      </x:c>
      <x:c r="I831" s="13" t="str">
        <x:v>frontend/src/features/project-definition/api.ts</x:v>
      </x:c>
      <x:c r="J831" s="13" t="str">
        <x:v>NOT_EXECUTED_BY_INVENTORY. SOURCE_LITERAL_OR_TRANSITIVE_HELPER_UNION</x:v>
      </x:c>
    </x:row>
    <x:row r="832" ht="42" customHeight="1">
      <x:c r="A832" s="14" t="str">
        <x:v>API-628</x:v>
      </x:c>
      <x:c r="B832" s="6" t="str">
        <x:v>GET</x:v>
      </x:c>
      <x:c r="C832" s="6" t="str">
        <x:v>/api/v1/ideas/{idea_id}/project-proposals</x:v>
      </x:c>
      <x:c r="D832" s="6" t="str">
        <x:v>READ-ONLY SHARED CONTEXT</x:v>
      </x:c>
      <x:c r="E832" s="6" t="str">
        <x:v>project_proposal</x:v>
      </x:c>
      <x:c r="F832" s="6" t="str">
        <x:v>idea project proposals</x:v>
      </x:c>
      <x:c r="G832" s="6" t="str">
        <x:v>project_proposal.read</x:v>
      </x:c>
      <x:c r="H832" s="6" t="str">
        <x:v>LIVE_ROUTER_REGISTERED</x:v>
      </x:c>
      <x:c r="I832" s="6" t="str">
        <x:v>frontend/src/features/project-proposal/api.ts</x:v>
      </x:c>
      <x:c r="J832" s="6" t="str">
        <x:v>NOT_EXECUTED_BY_INVENTORY. SOURCE_LITERAL_OR_TRANSITIVE_HELPER_UNION</x:v>
      </x:c>
    </x:row>
    <x:row r="833" ht="42" customHeight="1">
      <x:c r="A833" s="15" t="str">
        <x:v>API-629</x:v>
      </x:c>
      <x:c r="B833" s="13" t="str">
        <x:v>POST</x:v>
      </x:c>
      <x:c r="C833" s="13" t="str">
        <x:v>/api/v1/ideas/{idea_id}/project-proposals/preview</x:v>
      </x:c>
      <x:c r="D833" s="13" t="str">
        <x:v>USER MODE</x:v>
      </x:c>
      <x:c r="E833" s="13" t="str">
        <x:v>project_proposal</x:v>
      </x:c>
      <x:c r="F833" s="13" t="str">
        <x:v>idea project proposal preview</x:v>
      </x:c>
      <x:c r="G833" s="13" t="str">
        <x:v>project_proposal.create</x:v>
      </x:c>
      <x:c r="H833" s="13" t="str">
        <x:v>LIVE_ROUTER_REGISTERED</x:v>
      </x:c>
      <x:c r="I833" s="13" t="str">
        <x:v>frontend/src/features/project-proposal/api.ts</x:v>
      </x:c>
      <x:c r="J833" s="13" t="str">
        <x:v>NOT_EXECUTED_BY_INVENTORY. SOURCE_LITERAL_OR_TRANSITIVE_HELPER_UNION</x:v>
      </x:c>
    </x:row>
    <x:row r="834" ht="42" customHeight="1">
      <x:c r="A834" s="14" t="str">
        <x:v>API-630</x:v>
      </x:c>
      <x:c r="B834" s="6" t="str">
        <x:v>GET</x:v>
      </x:c>
      <x:c r="C834" s="6" t="str">
        <x:v>/api/v1/project-proposals</x:v>
      </x:c>
      <x:c r="D834" s="6" t="str">
        <x:v>READ-ONLY SHARED CONTEXT</x:v>
      </x:c>
      <x:c r="E834" s="6" t="str">
        <x:v>project_proposal</x:v>
      </x:c>
      <x:c r="F834" s="6" t="str">
        <x:v>list proposals</x:v>
      </x:c>
      <x:c r="G834" s="6" t="str">
        <x:v>project_proposal.read</x:v>
      </x:c>
      <x:c r="H834" s="6" t="str">
        <x:v>LIVE_ROUTER_REGISTERED</x:v>
      </x:c>
      <x:c r="I834" s="6" t="str">
        <x:v>frontend/src/features/project-proposal/api.ts</x:v>
      </x:c>
      <x:c r="J834" s="6" t="str">
        <x:v>NOT_EXECUTED_BY_INVENTORY. SOURCE_LITERAL_OR_TRANSITIVE_HELPER_UNION</x:v>
      </x:c>
    </x:row>
    <x:row r="835" ht="42" customHeight="1">
      <x:c r="A835" s="15" t="str">
        <x:v>API-631</x:v>
      </x:c>
      <x:c r="B835" s="13" t="str">
        <x:v>POST</x:v>
      </x:c>
      <x:c r="C835" s="13" t="str">
        <x:v>/api/v1/project-proposals</x:v>
      </x:c>
      <x:c r="D835" s="13" t="str">
        <x:v>USER MODE</x:v>
      </x:c>
      <x:c r="E835" s="13" t="str">
        <x:v>project_proposal</x:v>
      </x:c>
      <x:c r="F835" s="13" t="str">
        <x:v>create</x:v>
      </x:c>
      <x:c r="G835" s="13" t="str">
        <x:v>project_proposal.create</x:v>
      </x:c>
      <x:c r="H835" s="13" t="str">
        <x:v>LIVE_ROUTER_REGISTERED</x:v>
      </x:c>
      <x:c r="I835" s="13" t="str">
        <x:v>frontend/src/features/project-proposal/api.ts</x:v>
      </x:c>
      <x:c r="J835" s="13" t="str">
        <x:v>NOT_EXECUTED_BY_INVENTORY. SOURCE_LITERAL_OR_TRANSITIVE_HELPER_UNION</x:v>
      </x:c>
    </x:row>
    <x:row r="836" ht="42" customHeight="1">
      <x:c r="A836" s="14" t="str">
        <x:v>API-632</x:v>
      </x:c>
      <x:c r="B836" s="6" t="str">
        <x:v>POST</x:v>
      </x:c>
      <x:c r="C836" s="6" t="str">
        <x:v>/api/v1/project-proposals/admin/configuration/preview</x:v>
      </x:c>
      <x:c r="D836" s="6" t="str">
        <x:v>ADMIN MODE</x:v>
      </x:c>
      <x:c r="E836" s="6" t="str">
        <x:v>project_proposal</x:v>
      </x:c>
      <x:c r="F836" s="6" t="str">
        <x:v>configuration preview</x:v>
      </x:c>
      <x:c r="G836" s="6" t="str">
        <x:v>project_proposal.admin.configure</x:v>
      </x:c>
      <x:c r="H836" s="6" t="str">
        <x:v>LIVE_ROUTER_REGISTERED</x:v>
      </x:c>
      <x:c r="I836" s="6" t="str">
        <x:v>frontend/src/features/project-proposal/api.ts</x:v>
      </x:c>
      <x:c r="J836" s="6" t="str">
        <x:v>NOT_EXECUTED_BY_INVENTORY. SOURCE_LITERAL_OR_TRANSITIVE_HELPER_UNION</x:v>
      </x:c>
    </x:row>
    <x:row r="837" ht="42" customHeight="1">
      <x:c r="A837" s="15" t="str">
        <x:v>API-633</x:v>
      </x:c>
      <x:c r="B837" s="13" t="str">
        <x:v>GET</x:v>
      </x:c>
      <x:c r="C837" s="13" t="str">
        <x:v>/api/v1/project-proposals/admin/configurations/list</x:v>
      </x:c>
      <x:c r="D837" s="13" t="str">
        <x:v>ADMIN MODE</x:v>
      </x:c>
      <x:c r="E837" s="13" t="str">
        <x:v>project_proposal</x:v>
      </x:c>
      <x:c r="F837" s="13" t="str">
        <x:v>admin configurations</x:v>
      </x:c>
      <x:c r="G837" s="13" t="str">
        <x:v>project_proposal.admin.configure</x:v>
      </x:c>
      <x:c r="H837" s="13" t="str">
        <x:v>LIVE_ROUTER_REGISTERED</x:v>
      </x:c>
      <x:c r="I837" s="13" t="str">
        <x:v>frontend/src/features/project-proposal/api.ts</x:v>
      </x:c>
      <x:c r="J837" s="13" t="str">
        <x:v>NOT_EXECUTED_BY_INVENTORY. SOURCE_LITERAL_OR_TRANSITIVE_HELPER_UNION</x:v>
      </x:c>
    </x:row>
    <x:row r="838" ht="42" customHeight="1">
      <x:c r="A838" s="14" t="str">
        <x:v>API-634</x:v>
      </x:c>
      <x:c r="B838" s="6" t="str">
        <x:v>PUT</x:v>
      </x:c>
      <x:c r="C838" s="6" t="str">
        <x:v>/api/v1/project-proposals/admin/configurations/{configuration_id}</x:v>
      </x:c>
      <x:c r="D838" s="6" t="str">
        <x:v>ADMIN MODE</x:v>
      </x:c>
      <x:c r="E838" s="6" t="str">
        <x:v>project_proposal</x:v>
      </x:c>
      <x:c r="F838" s="6" t="str">
        <x:v>update configuration</x:v>
      </x:c>
      <x:c r="G838" s="6" t="str">
        <x:v>project_proposal.admin.configure</x:v>
      </x:c>
      <x:c r="H838" s="6" t="str">
        <x:v>LIVE_ROUTER_REGISTERED</x:v>
      </x:c>
      <x:c r="I838" s="6" t="str">
        <x:v>frontend/src/features/project-proposal/api.ts</x:v>
      </x:c>
      <x:c r="J838" s="6" t="str">
        <x:v>NOT_EXECUTED_BY_INVENTORY. SOURCE_LITERAL_OR_TRANSITIVE_HELPER_UNION</x:v>
      </x:c>
    </x:row>
    <x:row r="839" ht="42" customHeight="1">
      <x:c r="A839" s="15" t="str">
        <x:v>API-635</x:v>
      </x:c>
      <x:c r="B839" s="13" t="str">
        <x:v>POST</x:v>
      </x:c>
      <x:c r="C839" s="13" t="str">
        <x:v>/api/v1/project-proposals/admin/configurations/{configuration_id}/clone</x:v>
      </x:c>
      <x:c r="D839" s="13" t="str">
        <x:v>ADMIN MODE</x:v>
      </x:c>
      <x:c r="E839" s="13" t="str">
        <x:v>project_proposal</x:v>
      </x:c>
      <x:c r="F839" s="13" t="str">
        <x:v>clone configuration</x:v>
      </x:c>
      <x:c r="G839" s="13" t="str">
        <x:v>project_proposal.admin.configure</x:v>
      </x:c>
      <x:c r="H839" s="13" t="str">
        <x:v>LIVE_ROUTER_REGISTERED</x:v>
      </x:c>
      <x:c r="I839" s="13" t="str">
        <x:v>frontend/src/features/project-proposal/api.ts</x:v>
      </x:c>
      <x:c r="J839" s="13" t="str">
        <x:v>NOT_EXECUTED_BY_INVENTORY. SOURCE_LITERAL_OR_TRANSITIVE_HELPER_UNION</x:v>
      </x:c>
    </x:row>
    <x:row r="840" ht="42" customHeight="1">
      <x:c r="A840" s="14" t="str">
        <x:v>API-636</x:v>
      </x:c>
      <x:c r="B840" s="6" t="str">
        <x:v>POST</x:v>
      </x:c>
      <x:c r="C840" s="6" t="str">
        <x:v>/api/v1/project-proposals/admin/configurations/{configuration_id}/publish</x:v>
      </x:c>
      <x:c r="D840" s="6" t="str">
        <x:v>ADMIN MODE</x:v>
      </x:c>
      <x:c r="E840" s="6" t="str">
        <x:v>project_proposal</x:v>
      </x:c>
      <x:c r="F840" s="6" t="str">
        <x:v>publish configuration</x:v>
      </x:c>
      <x:c r="G840" s="6" t="str">
        <x:v>project_proposal.admin.publish</x:v>
      </x:c>
      <x:c r="H840" s="6" t="str">
        <x:v>LIVE_ROUTER_REGISTERED</x:v>
      </x:c>
      <x:c r="I840" s="6" t="str">
        <x:v>frontend/src/features/project-proposal/api.ts</x:v>
      </x:c>
      <x:c r="J840" s="6" t="str">
        <x:v>NOT_EXECUTED_BY_INVENTORY. SOURCE_LITERAL_OR_TRANSITIVE_HELPER_UNION</x:v>
      </x:c>
    </x:row>
    <x:row r="841" ht="42" customHeight="1">
      <x:c r="A841" s="15" t="str">
        <x:v>API-637</x:v>
      </x:c>
      <x:c r="B841" s="13" t="str">
        <x:v>GET</x:v>
      </x:c>
      <x:c r="C841" s="13" t="str">
        <x:v>/api/v1/project-proposals/options</x:v>
      </x:c>
      <x:c r="D841" s="13" t="str">
        <x:v>READ-ONLY SHARED CONTEXT</x:v>
      </x:c>
      <x:c r="E841" s="13" t="str">
        <x:v>project_proposal</x:v>
      </x:c>
      <x:c r="F841" s="13" t="str">
        <x:v>options</x:v>
      </x:c>
      <x:c r="G841" s="13" t="str">
        <x:v>project_proposal.create</x:v>
      </x:c>
      <x:c r="H841" s="13" t="str">
        <x:v>LIVE_ROUTER_REGISTERED</x:v>
      </x:c>
      <x:c r="I841" s="13" t="str">
        <x:v>frontend/src/features/project-proposal/api.ts</x:v>
      </x:c>
      <x:c r="J841" s="13" t="str">
        <x:v>NOT_EXECUTED_BY_INVENTORY. SOURCE_LITERAL_OR_TRANSITIVE_HELPER_UNION</x:v>
      </x:c>
    </x:row>
    <x:row r="842" ht="42" customHeight="1">
      <x:c r="A842" s="14" t="str">
        <x:v>API-638</x:v>
      </x:c>
      <x:c r="B842" s="6" t="str">
        <x:v>POST</x:v>
      </x:c>
      <x:c r="C842" s="6" t="str">
        <x:v>/api/v1/project-proposals/preview</x:v>
      </x:c>
      <x:c r="D842" s="6" t="str">
        <x:v>USER MODE</x:v>
      </x:c>
      <x:c r="E842" s="6" t="str">
        <x:v>project_proposal</x:v>
      </x:c>
      <x:c r="F842" s="6" t="str">
        <x:v>preview</x:v>
      </x:c>
      <x:c r="G842" s="6" t="str">
        <x:v>project_proposal.create</x:v>
      </x:c>
      <x:c r="H842" s="6" t="str">
        <x:v>LIVE_ROUTER_REGISTERED</x:v>
      </x:c>
      <x:c r="I842" s="6" t="str">
        <x:v>frontend/src/features/project-proposal/api.ts</x:v>
      </x:c>
      <x:c r="J842" s="6" t="str">
        <x:v>NOT_EXECUTED_BY_INVENTORY. SOURCE_LITERAL_OR_TRANSITIVE_HELPER_UNION</x:v>
      </x:c>
    </x:row>
    <x:row r="843" ht="42" customHeight="1">
      <x:c r="A843" s="15" t="str">
        <x:v>API-639</x:v>
      </x:c>
      <x:c r="B843" s="13" t="str">
        <x:v>GET</x:v>
      </x:c>
      <x:c r="C843" s="13" t="str">
        <x:v>/api/v1/project-proposals/{proposal_id}</x:v>
      </x:c>
      <x:c r="D843" s="13" t="str">
        <x:v>READ-ONLY SHARED CONTEXT</x:v>
      </x:c>
      <x:c r="E843" s="13" t="str">
        <x:v>project_proposal</x:v>
      </x:c>
      <x:c r="F843" s="13" t="str">
        <x:v>get proposal</x:v>
      </x:c>
      <x:c r="G843" s="13" t="str">
        <x:v>project_proposal.read</x:v>
      </x:c>
      <x:c r="H843" s="13" t="str">
        <x:v>LIVE_ROUTER_REGISTERED</x:v>
      </x:c>
      <x:c r="I843" s="13" t="str">
        <x:v>frontend/src/features/project-proposal/api.ts</x:v>
      </x:c>
      <x:c r="J843" s="13" t="str">
        <x:v>NOT_EXECUTED_BY_INVENTORY. SOURCE_LITERAL_OR_TRANSITIVE_HELPER_UNION</x:v>
      </x:c>
    </x:row>
    <x:row r="844" ht="42" customHeight="1">
      <x:c r="A844" s="14" t="str">
        <x:v>API-640</x:v>
      </x:c>
      <x:c r="B844" s="6" t="str">
        <x:v>PUT</x:v>
      </x:c>
      <x:c r="C844" s="6" t="str">
        <x:v>/api/v1/project-proposals/{proposal_id}</x:v>
      </x:c>
      <x:c r="D844" s="6" t="str">
        <x:v>USER MODE</x:v>
      </x:c>
      <x:c r="E844" s="6" t="str">
        <x:v>project_proposal</x:v>
      </x:c>
      <x:c r="F844" s="6" t="str">
        <x:v>update proposal</x:v>
      </x:c>
      <x:c r="G844" s="6" t="str">
        <x:v>project_proposal.edit</x:v>
      </x:c>
      <x:c r="H844" s="6" t="str">
        <x:v>LIVE_ROUTER_REGISTERED</x:v>
      </x:c>
      <x:c r="I844" s="6" t="str">
        <x:v>frontend/src/features/project-proposal/api.ts</x:v>
      </x:c>
      <x:c r="J844" s="6" t="str">
        <x:v>NOT_EXECUTED_BY_INVENTORY. SOURCE_LITERAL_OR_TRANSITIVE_HELPER_UNION</x:v>
      </x:c>
    </x:row>
    <x:row r="845" ht="42" customHeight="1">
      <x:c r="A845" s="15" t="str">
        <x:v>API-641</x:v>
      </x:c>
      <x:c r="B845" s="13" t="str">
        <x:v>POST</x:v>
      </x:c>
      <x:c r="C845" s="13" t="str">
        <x:v>/api/v1/project-proposals/{proposal_id}/complete-evaluation</x:v>
      </x:c>
      <x:c r="D845" s="13" t="str">
        <x:v>USER MODE</x:v>
      </x:c>
      <x:c r="E845" s="13" t="str">
        <x:v>project_proposal</x:v>
      </x:c>
      <x:c r="F845" s="13" t="str">
        <x:v>complete evaluation</x:v>
      </x:c>
      <x:c r="G845" s="13" t="str">
        <x:v>project_proposal.evaluate</x:v>
      </x:c>
      <x:c r="H845" s="13" t="str">
        <x:v>LIVE_ROUTER_REGISTERED</x:v>
      </x:c>
      <x:c r="I845" s="13" t="str">
        <x:v>NO_DIRECT_LITERAL_MATCH_NOT_PROOF_UNUSED</x:v>
      </x:c>
      <x:c r="J845" s="13" t="str">
        <x:v>NOT_EXECUTED_BY_INVENTORY. SOURCE_LITERAL_OR_TRANSITIVE_HELPER_UNION</x:v>
      </x:c>
    </x:row>
    <x:row r="846" ht="42" customHeight="1">
      <x:c r="A846" s="14" t="str">
        <x:v>API-642</x:v>
      </x:c>
      <x:c r="B846" s="6" t="str">
        <x:v>GET</x:v>
      </x:c>
      <x:c r="C846" s="6" t="str">
        <x:v>/api/v1/project-proposals/{proposal_id}/evaluations</x:v>
      </x:c>
      <x:c r="D846" s="6" t="str">
        <x:v>READ-ONLY SHARED CONTEXT</x:v>
      </x:c>
      <x:c r="E846" s="6" t="str">
        <x:v>project_proposal</x:v>
      </x:c>
      <x:c r="F846" s="6" t="str">
        <x:v>evaluations</x:v>
      </x:c>
      <x:c r="G846" s="6" t="str">
        <x:v>project_proposal.read</x:v>
      </x:c>
      <x:c r="H846" s="6" t="str">
        <x:v>LIVE_ROUTER_REGISTERED</x:v>
      </x:c>
      <x:c r="I846" s="6" t="str">
        <x:v>NO_DIRECT_LITERAL_MATCH_NOT_PROOF_UNUSED</x:v>
      </x:c>
      <x:c r="J846" s="6" t="str">
        <x:v>NOT_EXECUTED_BY_INVENTORY. SOURCE_LITERAL_OR_TRANSITIVE_HELPER_UNION</x:v>
      </x:c>
    </x:row>
    <x:row r="847" ht="42" customHeight="1">
      <x:c r="A847" s="15" t="str">
        <x:v>API-643</x:v>
      </x:c>
      <x:c r="B847" s="13" t="str">
        <x:v>GET</x:v>
      </x:c>
      <x:c r="C847" s="13" t="str">
        <x:v>/api/v1/project-proposals/{proposal_id}/gate-readiness</x:v>
      </x:c>
      <x:c r="D847" s="13" t="str">
        <x:v>READ-ONLY SHARED CONTEXT</x:v>
      </x:c>
      <x:c r="E847" s="13" t="str">
        <x:v>project_proposal</x:v>
      </x:c>
      <x:c r="F847" s="13" t="str">
        <x:v>gate readiness</x:v>
      </x:c>
      <x:c r="G847" s="13" t="str">
        <x:v>project_proposal.read</x:v>
      </x:c>
      <x:c r="H847" s="13" t="str">
        <x:v>LIVE_ROUTER_REGISTERED</x:v>
      </x:c>
      <x:c r="I847" s="13" t="str">
        <x:v>frontend/src/features/project-proposal/api.ts</x:v>
      </x:c>
      <x:c r="J847" s="13" t="str">
        <x:v>NOT_EXECUTED_BY_INVENTORY. SOURCE_LITERAL_OR_TRANSITIVE_HELPER_UNION</x:v>
      </x:c>
    </x:row>
    <x:row r="848" ht="42" customHeight="1">
      <x:c r="A848" s="14" t="str">
        <x:v>API-644</x:v>
      </x:c>
      <x:c r="B848" s="6" t="str">
        <x:v>GET</x:v>
      </x:c>
      <x:c r="C848" s="6" t="str">
        <x:v>/api/v1/project-proposals/{proposal_id}/history</x:v>
      </x:c>
      <x:c r="D848" s="6" t="str">
        <x:v>READ-ONLY SHARED CONTEXT</x:v>
      </x:c>
      <x:c r="E848" s="6" t="str">
        <x:v>project_proposal</x:v>
      </x:c>
      <x:c r="F848" s="6" t="str">
        <x:v>history</x:v>
      </x:c>
      <x:c r="G848" s="6" t="str">
        <x:v>project_proposal.read</x:v>
      </x:c>
      <x:c r="H848" s="6" t="str">
        <x:v>LIVE_ROUTER_REGISTERED</x:v>
      </x:c>
      <x:c r="I848" s="6" t="str">
        <x:v>frontend/src/features/project-proposal/api.ts</x:v>
      </x:c>
      <x:c r="J848" s="6" t="str">
        <x:v>NOT_EXECUTED_BY_INVENTORY. SOURCE_LITERAL_OR_TRANSITIVE_HELPER_UNION</x:v>
      </x:c>
    </x:row>
    <x:row r="849" ht="42" customHeight="1">
      <x:c r="A849" s="15" t="str">
        <x:v>API-645</x:v>
      </x:c>
      <x:c r="B849" s="13" t="str">
        <x:v>POST</x:v>
      </x:c>
      <x:c r="C849" s="13" t="str">
        <x:v>/api/v1/project-proposals/{proposal_id}/return</x:v>
      </x:c>
      <x:c r="D849" s="13" t="str">
        <x:v>USER MODE</x:v>
      </x:c>
      <x:c r="E849" s="13" t="str">
        <x:v>project_proposal</x:v>
      </x:c>
      <x:c r="F849" s="13" t="str">
        <x:v>return proposal</x:v>
      </x:c>
      <x:c r="G849" s="13" t="str">
        <x:v>project_proposal.return</x:v>
      </x:c>
      <x:c r="H849" s="13" t="str">
        <x:v>LIVE_ROUTER_REGISTERED</x:v>
      </x:c>
      <x:c r="I849" s="13" t="str">
        <x:v>NO_DIRECT_LITERAL_MATCH_NOT_PROOF_UNUSED</x:v>
      </x:c>
      <x:c r="J849" s="13" t="str">
        <x:v>NOT_EXECUTED_BY_INVENTORY. SOURCE_LITERAL_OR_TRANSITIVE_HELPER_UNION</x:v>
      </x:c>
    </x:row>
    <x:row r="850" ht="42" customHeight="1">
      <x:c r="A850" s="14" t="str">
        <x:v>API-646</x:v>
      </x:c>
      <x:c r="B850" s="6" t="str">
        <x:v>GET</x:v>
      </x:c>
      <x:c r="C850" s="6" t="str">
        <x:v>/api/v1/project-workspaces</x:v>
      </x:c>
      <x:c r="D850" s="6" t="str">
        <x:v>READ-ONLY SHARED CONTEXT</x:v>
      </x:c>
      <x:c r="E850" s="6" t="str">
        <x:v>project_workspace_initialization</x:v>
      </x:c>
      <x:c r="F850" s="6" t="str">
        <x:v>list project workspaces</x:v>
      </x:c>
      <x:c r="G850" s="6" t="str">
        <x:v>project_workspace.initialization.read</x:v>
      </x:c>
      <x:c r="H850" s="6" t="str">
        <x:v>LIVE_ROUTER_REGISTERED</x:v>
      </x:c>
      <x:c r="I850" s="6" t="str">
        <x:v>NO_DIRECT_LITERAL_MATCH_NOT_PROOF_UNUSED</x:v>
      </x:c>
      <x:c r="J850" s="6" t="str">
        <x:v>NOT_EXECUTED_BY_INVENTORY. SOURCE_LITERAL_OR_TRANSITIVE_HELPER_UNION</x:v>
      </x:c>
    </x:row>
    <x:row r="851" ht="42" customHeight="1">
      <x:c r="A851" s="15" t="str">
        <x:v>API-647</x:v>
      </x:c>
      <x:c r="B851" s="13" t="str">
        <x:v>POST</x:v>
      </x:c>
      <x:c r="C851" s="13" t="str">
        <x:v>/api/v1/project-workspaces/{workspace_id}/activate</x:v>
      </x:c>
      <x:c r="D851" s="13" t="str">
        <x:v>USER MODE</x:v>
      </x:c>
      <x:c r="E851" s="13" t="str">
        <x:v>project_workspace_initialization</x:v>
      </x:c>
      <x:c r="F851" s="13" t="str">
        <x:v>activate workspace</x:v>
      </x:c>
      <x:c r="G851" s="13" t="str">
        <x:v>project_workspace.activation.execute</x:v>
      </x:c>
      <x:c r="H851" s="13" t="str">
        <x:v>LIVE_ROUTER_REGISTERED</x:v>
      </x:c>
      <x:c r="I851" s="13" t="str">
        <x:v>frontend/src/features/enterprise-structure/api/index.ts</x:v>
      </x:c>
      <x:c r="J851" s="13" t="str">
        <x:v>NOT_EXECUTED_BY_INVENTORY. SOURCE_LITERAL_OR_TRANSITIVE_HELPER_UNION</x:v>
      </x:c>
    </x:row>
    <x:row r="852" ht="42" customHeight="1">
      <x:c r="A852" s="14" t="str">
        <x:v>API-648</x:v>
      </x:c>
      <x:c r="B852" s="6" t="str">
        <x:v>GET</x:v>
      </x:c>
      <x:c r="C852" s="6" t="str">
        <x:v>/api/v1/project-workspaces/{workspace_id}/initialization</x:v>
      </x:c>
      <x:c r="D852" s="6" t="str">
        <x:v>READ-ONLY SHARED CONTEXT</x:v>
      </x:c>
      <x:c r="E852" s="6" t="str">
        <x:v>project_workspace_initialization</x:v>
      </x:c>
      <x:c r="F852" s="6" t="str">
        <x:v>get initialization</x:v>
      </x:c>
      <x:c r="G852" s="6" t="str">
        <x:v>project_workspace.initialization.read</x:v>
      </x:c>
      <x:c r="H852" s="6" t="str">
        <x:v>LIVE_ROUTER_REGISTERED</x:v>
      </x:c>
      <x:c r="I852" s="6" t="str">
        <x:v>frontend/src/features/enterprise-structure/api/index.ts</x:v>
      </x:c>
      <x:c r="J852" s="6" t="str">
        <x:v>NOT_EXECUTED_BY_INVENTORY. SOURCE_LITERAL_OR_TRANSITIVE_HELPER_UNION</x:v>
      </x:c>
    </x:row>
    <x:row r="853" ht="42" customHeight="1">
      <x:c r="A853" s="15" t="str">
        <x:v>API-649</x:v>
      </x:c>
      <x:c r="B853" s="13" t="str">
        <x:v>POST</x:v>
      </x:c>
      <x:c r="C853" s="13" t="str">
        <x:v>/api/v1/project-workspaces/{workspace_id}/initialization/preview</x:v>
      </x:c>
      <x:c r="D853" s="13" t="str">
        <x:v>USER MODE</x:v>
      </x:c>
      <x:c r="E853" s="13" t="str">
        <x:v>project_workspace_initialization</x:v>
      </x:c>
      <x:c r="F853" s="13" t="str">
        <x:v>preview initialization</x:v>
      </x:c>
      <x:c r="G853" s="13" t="str">
        <x:v>project_workspace.initialization.read</x:v>
      </x:c>
      <x:c r="H853" s="13" t="str">
        <x:v>LIVE_ROUTER_REGISTERED</x:v>
      </x:c>
      <x:c r="I853" s="13" t="str">
        <x:v>frontend/src/features/enterprise-structure/api/index.ts</x:v>
      </x:c>
      <x:c r="J853" s="13" t="str">
        <x:v>NOT_EXECUTED_BY_INVENTORY. SOURCE_LITERAL_OR_TRANSITIVE_HELPER_UNION</x:v>
      </x:c>
    </x:row>
    <x:row r="854" ht="42" customHeight="1">
      <x:c r="A854" s="14" t="str">
        <x:v>API-650</x:v>
      </x:c>
      <x:c r="B854" s="6" t="str">
        <x:v>POST</x:v>
      </x:c>
      <x:c r="C854" s="6" t="str">
        <x:v>/api/v1/project-workspaces/{workspace_id}/initialization/start</x:v>
      </x:c>
      <x:c r="D854" s="6" t="str">
        <x:v>USER MODE</x:v>
      </x:c>
      <x:c r="E854" s="6" t="str">
        <x:v>project_workspace_initialization</x:v>
      </x:c>
      <x:c r="F854" s="6" t="str">
        <x:v>start initialization</x:v>
      </x:c>
      <x:c r="G854" s="6" t="str">
        <x:v>project_workspace.initialization.execute</x:v>
      </x:c>
      <x:c r="H854" s="6" t="str">
        <x:v>LIVE_ROUTER_REGISTERED</x:v>
      </x:c>
      <x:c r="I854" s="6" t="str">
        <x:v>NO_DIRECT_LITERAL_MATCH_NOT_PROOF_UNUSED</x:v>
      </x:c>
      <x:c r="J854" s="6" t="str">
        <x:v>NOT_EXECUTED_BY_INVENTORY. SOURCE_LITERAL_OR_TRANSITIVE_HELPER_UNION</x:v>
      </x:c>
    </x:row>
    <x:row r="855" ht="42" customHeight="1">
      <x:c r="A855" s="15" t="str">
        <x:v>API-651</x:v>
      </x:c>
      <x:c r="B855" s="13" t="str">
        <x:v>POST</x:v>
      </x:c>
      <x:c r="C855" s="13" t="str">
        <x:v>/api/v1/project-workspaces/{workspace_id}/initialization/validate</x:v>
      </x:c>
      <x:c r="D855" s="13" t="str">
        <x:v>USER MODE</x:v>
      </x:c>
      <x:c r="E855" s="13" t="str">
        <x:v>project_workspace_initialization</x:v>
      </x:c>
      <x:c r="F855" s="13" t="str">
        <x:v>validate initialization</x:v>
      </x:c>
      <x:c r="G855" s="13" t="str">
        <x:v>project_workspace.initialization.execute</x:v>
      </x:c>
      <x:c r="H855" s="13" t="str">
        <x:v>LIVE_ROUTER_REGISTERED</x:v>
      </x:c>
      <x:c r="I855" s="13" t="str">
        <x:v>NO_DIRECT_LITERAL_MATCH_NOT_PROOF_UNUSED</x:v>
      </x:c>
      <x:c r="J855" s="13" t="str">
        <x:v>NOT_EXECUTED_BY_INVENTORY. SOURCE_LITERAL_OR_TRANSITIVE_HELPER_UNION</x:v>
      </x:c>
    </x:row>
    <x:row r="856" ht="42" customHeight="1">
      <x:c r="A856" s="14" t="str">
        <x:v>API-652</x:v>
      </x:c>
      <x:c r="B856" s="6" t="str">
        <x:v>GET</x:v>
      </x:c>
      <x:c r="C856" s="6" t="str">
        <x:v>/api/v1/qra-engine/models/{model_id}/preflight</x:v>
      </x:c>
      <x:c r="D856" s="6" t="str">
        <x:v>READ-ONLY SHARED CONTEXT</x:v>
      </x:c>
      <x:c r="E856" s="6" t="str">
        <x:v>qra_engine</x:v>
      </x:c>
      <x:c r="F856" s="6" t="str">
        <x:v>preflight</x:v>
      </x:c>
      <x:c r="G856" s="6" t="str">
        <x:v>qra_run.read</x:v>
      </x:c>
      <x:c r="H856" s="6" t="str">
        <x:v>LIVE_ROUTER_REGISTERED</x:v>
      </x:c>
      <x:c r="I856" s="6" t="str">
        <x:v>frontend/src/features/qra-engine/api.ts</x:v>
      </x:c>
      <x:c r="J856" s="6" t="str">
        <x:v>NOT_EXECUTED_BY_INVENTORY. SOURCE_LITERAL_OR_TRANSITIVE_HELPER_UNION</x:v>
      </x:c>
    </x:row>
    <x:row r="857" ht="42" customHeight="1">
      <x:c r="A857" s="15" t="str">
        <x:v>API-653</x:v>
      </x:c>
      <x:c r="B857" s="13" t="str">
        <x:v>POST</x:v>
      </x:c>
      <x:c r="C857" s="13" t="str">
        <x:v>/api/v1/qra-engine/models/{model_id}/runs</x:v>
      </x:c>
      <x:c r="D857" s="13" t="str">
        <x:v>USER MODE</x:v>
      </x:c>
      <x:c r="E857" s="13" t="str">
        <x:v>qra_engine</x:v>
      </x:c>
      <x:c r="F857" s="13" t="str">
        <x:v>create run</x:v>
      </x:c>
      <x:c r="G857" s="13" t="str">
        <x:v>qra_run.create</x:v>
      </x:c>
      <x:c r="H857" s="13" t="str">
        <x:v>LIVE_ROUTER_REGISTERED</x:v>
      </x:c>
      <x:c r="I857" s="13" t="str">
        <x:v>frontend/src/features/qra-engine/api.ts</x:v>
      </x:c>
      <x:c r="J857" s="13" t="str">
        <x:v>NOT_EXECUTED_BY_INVENTORY. SOURCE_LITERAL_OR_TRANSITIVE_HELPER_UNION</x:v>
      </x:c>
    </x:row>
    <x:row r="858" ht="42" customHeight="1">
      <x:c r="A858" s="14" t="str">
        <x:v>API-654</x:v>
      </x:c>
      <x:c r="B858" s="6" t="str">
        <x:v>GET</x:v>
      </x:c>
      <x:c r="C858" s="6" t="str">
        <x:v>/api/v1/qra-engine/projects/{project_id}/approved-models</x:v>
      </x:c>
      <x:c r="D858" s="6" t="str">
        <x:v>READ-ONLY SHARED CONTEXT</x:v>
      </x:c>
      <x:c r="E858" s="6" t="str">
        <x:v>qra_engine</x:v>
      </x:c>
      <x:c r="F858" s="6" t="str">
        <x:v>approved models</x:v>
      </x:c>
      <x:c r="G858" s="6" t="str">
        <x:v>qra_run.read</x:v>
      </x:c>
      <x:c r="H858" s="6" t="str">
        <x:v>LIVE_ROUTER_REGISTERED</x:v>
      </x:c>
      <x:c r="I858" s="6" t="str">
        <x:v>frontend/src/features/qra-engine/api.ts</x:v>
      </x:c>
      <x:c r="J858" s="6" t="str">
        <x:v>NOT_EXECUTED_BY_INVENTORY. SOURCE_LITERAL_OR_TRANSITIVE_HELPER_UNION</x:v>
      </x:c>
    </x:row>
    <x:row r="859" ht="42" customHeight="1">
      <x:c r="A859" s="15" t="str">
        <x:v>API-655</x:v>
      </x:c>
      <x:c r="B859" s="13" t="str">
        <x:v>GET</x:v>
      </x:c>
      <x:c r="C859" s="13" t="str">
        <x:v>/api/v1/qra-engine/projects/{project_id}/options</x:v>
      </x:c>
      <x:c r="D859" s="13" t="str">
        <x:v>READ-ONLY SHARED CONTEXT</x:v>
      </x:c>
      <x:c r="E859" s="13" t="str">
        <x:v>qra_engine</x:v>
      </x:c>
      <x:c r="F859" s="13" t="str">
        <x:v>options</x:v>
      </x:c>
      <x:c r="G859" s="13" t="str">
        <x:v>qra_run.read</x:v>
      </x:c>
      <x:c r="H859" s="13" t="str">
        <x:v>LIVE_ROUTER_REGISTERED</x:v>
      </x:c>
      <x:c r="I859" s="13" t="str">
        <x:v>frontend/src/features/qra-engine/api.ts</x:v>
      </x:c>
      <x:c r="J859" s="13" t="str">
        <x:v>NOT_EXECUTED_BY_INVENTORY. SOURCE_LITERAL_OR_TRANSITIVE_HELPER_UNION</x:v>
      </x:c>
    </x:row>
    <x:row r="860" ht="42" customHeight="1">
      <x:c r="A860" s="14" t="str">
        <x:v>API-656</x:v>
      </x:c>
      <x:c r="B860" s="6" t="str">
        <x:v>GET</x:v>
      </x:c>
      <x:c r="C860" s="6" t="str">
        <x:v>/api/v1/qra-engine/projects/{project_id}/provider-evidence</x:v>
      </x:c>
      <x:c r="D860" s="6" t="str">
        <x:v>READ-ONLY SHARED CONTEXT</x:v>
      </x:c>
      <x:c r="E860" s="6" t="str">
        <x:v>qra_engine</x:v>
      </x:c>
      <x:c r="F860" s="6" t="str">
        <x:v>provider</x:v>
      </x:c>
      <x:c r="G860" s="6" t="str">
        <x:v>qra_run.read</x:v>
      </x:c>
      <x:c r="H860" s="6" t="str">
        <x:v>LIVE_ROUTER_REGISTERED</x:v>
      </x:c>
      <x:c r="I860" s="6" t="str">
        <x:v>NO_DIRECT_LITERAL_MATCH_NOT_PROOF_UNUSED</x:v>
      </x:c>
      <x:c r="J860" s="6" t="str">
        <x:v>NOT_EXECUTED_BY_INVENTORY. SOURCE_LITERAL_OR_TRANSITIVE_HELPER_UNION</x:v>
      </x:c>
    </x:row>
    <x:row r="861" ht="42" customHeight="1">
      <x:c r="A861" s="15" t="str">
        <x:v>API-657</x:v>
      </x:c>
      <x:c r="B861" s="13" t="str">
        <x:v>GET</x:v>
      </x:c>
      <x:c r="C861" s="13" t="str">
        <x:v>/api/v1/qra-engine/projects/{project_id}/runs</x:v>
      </x:c>
      <x:c r="D861" s="13" t="str">
        <x:v>READ-ONLY SHARED CONTEXT</x:v>
      </x:c>
      <x:c r="E861" s="13" t="str">
        <x:v>qra_engine</x:v>
      </x:c>
      <x:c r="F861" s="13" t="str">
        <x:v>runs</x:v>
      </x:c>
      <x:c r="G861" s="13" t="str">
        <x:v>qra_run.read</x:v>
      </x:c>
      <x:c r="H861" s="13" t="str">
        <x:v>LIVE_ROUTER_REGISTERED</x:v>
      </x:c>
      <x:c r="I861" s="13" t="str">
        <x:v>frontend/src/features/qra-engine/api.ts</x:v>
      </x:c>
      <x:c r="J861" s="13" t="str">
        <x:v>NOT_EXECUTED_BY_INVENTORY. SOURCE_LITERAL_OR_TRANSITIVE_HELPER_UNION</x:v>
      </x:c>
    </x:row>
    <x:row r="862" ht="42" customHeight="1">
      <x:c r="A862" s="14" t="str">
        <x:v>API-658</x:v>
      </x:c>
      <x:c r="B862" s="6" t="str">
        <x:v>GET</x:v>
      </x:c>
      <x:c r="C862" s="6" t="str">
        <x:v>/api/v1/qra-engine/runs/compare</x:v>
      </x:c>
      <x:c r="D862" s="6" t="str">
        <x:v>READ-ONLY SHARED CONTEXT</x:v>
      </x:c>
      <x:c r="E862" s="6" t="str">
        <x:v>qra_engine</x:v>
      </x:c>
      <x:c r="F862" s="6" t="str">
        <x:v>compare</x:v>
      </x:c>
      <x:c r="G862" s="6" t="str">
        <x:v>qra_run.read</x:v>
      </x:c>
      <x:c r="H862" s="6" t="str">
        <x:v>LIVE_ROUTER_REGISTERED</x:v>
      </x:c>
      <x:c r="I862" s="6" t="str">
        <x:v>frontend/src/features/qra-engine/api.ts</x:v>
      </x:c>
      <x:c r="J862" s="6" t="str">
        <x:v>NOT_EXECUTED_BY_INVENTORY. SOURCE_LITERAL_OR_TRANSITIVE_HELPER_UNION</x:v>
      </x:c>
    </x:row>
    <x:row r="863" ht="42" customHeight="1">
      <x:c r="A863" s="15" t="str">
        <x:v>API-659</x:v>
      </x:c>
      <x:c r="B863" s="13" t="str">
        <x:v>GET</x:v>
      </x:c>
      <x:c r="C863" s="13" t="str">
        <x:v>/api/v1/qra-engine/runs/{run_id}</x:v>
      </x:c>
      <x:c r="D863" s="13" t="str">
        <x:v>READ-ONLY SHARED CONTEXT</x:v>
      </x:c>
      <x:c r="E863" s="13" t="str">
        <x:v>qra_engine</x:v>
      </x:c>
      <x:c r="F863" s="13" t="str">
        <x:v>run</x:v>
      </x:c>
      <x:c r="G863" s="13" t="str">
        <x:v>qra_run.read</x:v>
      </x:c>
      <x:c r="H863" s="13" t="str">
        <x:v>LIVE_ROUTER_REGISTERED</x:v>
      </x:c>
      <x:c r="I863" s="13" t="str">
        <x:v>frontend/src/features/qra-engine/api.ts</x:v>
      </x:c>
      <x:c r="J863" s="13" t="str">
        <x:v>NOT_EXECUTED_BY_INVENTORY. SOURCE_LITERAL_OR_TRANSITIVE_HELPER_UNION</x:v>
      </x:c>
    </x:row>
    <x:row r="864" ht="42" customHeight="1">
      <x:c r="A864" s="14" t="str">
        <x:v>API-660</x:v>
      </x:c>
      <x:c r="B864" s="6" t="str">
        <x:v>POST</x:v>
      </x:c>
      <x:c r="C864" s="6" t="str">
        <x:v>/api/v1/qra-engine/runs/{run_id}/accept</x:v>
      </x:c>
      <x:c r="D864" s="6" t="str">
        <x:v>USER MODE</x:v>
      </x:c>
      <x:c r="E864" s="6" t="str">
        <x:v>qra_engine</x:v>
      </x:c>
      <x:c r="F864" s="6" t="str">
        <x:v>accept</x:v>
      </x:c>
      <x:c r="G864" s="6" t="str">
        <x:v>qra_run.accept</x:v>
      </x:c>
      <x:c r="H864" s="6" t="str">
        <x:v>LIVE_ROUTER_REGISTERED</x:v>
      </x:c>
      <x:c r="I864" s="6" t="str">
        <x:v>NO_DIRECT_LITERAL_MATCH_NOT_PROOF_UNUSED</x:v>
      </x:c>
      <x:c r="J864" s="6" t="str">
        <x:v>NOT_EXECUTED_BY_INVENTORY. SOURCE_LITERAL_OR_TRANSITIVE_HELPER_UNION</x:v>
      </x:c>
    </x:row>
    <x:row r="865" ht="42" customHeight="1">
      <x:c r="A865" s="15" t="str">
        <x:v>API-661</x:v>
      </x:c>
      <x:c r="B865" s="13" t="str">
        <x:v>POST</x:v>
      </x:c>
      <x:c r="C865" s="13" t="str">
        <x:v>/api/v1/qra-engine/runs/{run_id}/cancel</x:v>
      </x:c>
      <x:c r="D865" s="13" t="str">
        <x:v>USER MODE</x:v>
      </x:c>
      <x:c r="E865" s="13" t="str">
        <x:v>qra_engine</x:v>
      </x:c>
      <x:c r="F865" s="13" t="str">
        <x:v>cancel</x:v>
      </x:c>
      <x:c r="G865" s="13" t="str">
        <x:v>qra_run.cancel</x:v>
      </x:c>
      <x:c r="H865" s="13" t="str">
        <x:v>LIVE_ROUTER_REGISTERED</x:v>
      </x:c>
      <x:c r="I865" s="13" t="str">
        <x:v>NO_DIRECT_LITERAL_MATCH_NOT_PROOF_UNUSED</x:v>
      </x:c>
      <x:c r="J865" s="13" t="str">
        <x:v>NOT_EXECUTED_BY_INVENTORY. SOURCE_LITERAL_OR_TRANSITIVE_HELPER_UNION</x:v>
      </x:c>
    </x:row>
    <x:row r="866" ht="42" customHeight="1">
      <x:c r="A866" s="14" t="str">
        <x:v>API-662</x:v>
      </x:c>
      <x:c r="B866" s="6" t="str">
        <x:v>GET</x:v>
      </x:c>
      <x:c r="C866" s="6" t="str">
        <x:v>/api/v1/qra-engine/runs/{run_id}/cdf</x:v>
      </x:c>
      <x:c r="D866" s="6" t="str">
        <x:v>READ-ONLY SHARED CONTEXT</x:v>
      </x:c>
      <x:c r="E866" s="6" t="str">
        <x:v>qra_engine</x:v>
      </x:c>
      <x:c r="F866" s="6" t="str">
        <x:v>run result cdf</x:v>
      </x:c>
      <x:c r="G866" s="6" t="str">
        <x:v>qra_run.read</x:v>
      </x:c>
      <x:c r="H866" s="6" t="str">
        <x:v>LIVE_DYNAMIC_ROUTER_REGISTERED</x:v>
      </x:c>
      <x:c r="I866" s="6" t="str">
        <x:v>DYNAMIC_RESULT_SECTION_CLIENT</x:v>
      </x:c>
      <x:c r="J866" s="6" t="str">
        <x:v>NOT_EXECUTED_BY_INVENTORY. EXACT_DYNAMIC_FACTORY</x:v>
      </x:c>
    </x:row>
    <x:row r="867" ht="42" customHeight="1">
      <x:c r="A867" s="15" t="str">
        <x:v>API-663</x:v>
      </x:c>
      <x:c r="B867" s="13" t="str">
        <x:v>GET</x:v>
      </x:c>
      <x:c r="C867" s="13" t="str">
        <x:v>/api/v1/qra-engine/runs/{run_id}/convergence</x:v>
      </x:c>
      <x:c r="D867" s="13" t="str">
        <x:v>READ-ONLY SHARED CONTEXT</x:v>
      </x:c>
      <x:c r="E867" s="13" t="str">
        <x:v>qra_engine</x:v>
      </x:c>
      <x:c r="F867" s="13" t="str">
        <x:v>run result convergence</x:v>
      </x:c>
      <x:c r="G867" s="13" t="str">
        <x:v>qra_run.read</x:v>
      </x:c>
      <x:c r="H867" s="13" t="str">
        <x:v>LIVE_DYNAMIC_ROUTER_REGISTERED</x:v>
      </x:c>
      <x:c r="I867" s="13" t="str">
        <x:v>DYNAMIC_RESULT_SECTION_CLIENT</x:v>
      </x:c>
      <x:c r="J867" s="13" t="str">
        <x:v>NOT_EXECUTED_BY_INVENTORY. EXACT_DYNAMIC_FACTORY</x:v>
      </x:c>
    </x:row>
    <x:row r="868" ht="42" customHeight="1">
      <x:c r="A868" s="14" t="str">
        <x:v>API-664</x:v>
      </x:c>
      <x:c r="B868" s="6" t="str">
        <x:v>GET</x:v>
      </x:c>
      <x:c r="C868" s="6" t="str">
        <x:v>/api/v1/qra-engine/runs/{run_id}/drivers</x:v>
      </x:c>
      <x:c r="D868" s="6" t="str">
        <x:v>READ-ONLY SHARED CONTEXT</x:v>
      </x:c>
      <x:c r="E868" s="6" t="str">
        <x:v>qra_engine</x:v>
      </x:c>
      <x:c r="F868" s="6" t="str">
        <x:v>run result drivers</x:v>
      </x:c>
      <x:c r="G868" s="6" t="str">
        <x:v>qra_run.read</x:v>
      </x:c>
      <x:c r="H868" s="6" t="str">
        <x:v>LIVE_DYNAMIC_ROUTER_REGISTERED</x:v>
      </x:c>
      <x:c r="I868" s="6" t="str">
        <x:v>DYNAMIC_RESULT_SECTION_CLIENT</x:v>
      </x:c>
      <x:c r="J868" s="6" t="str">
        <x:v>NOT_EXECUTED_BY_INVENTORY. EXACT_DYNAMIC_FACTORY</x:v>
      </x:c>
    </x:row>
    <x:row r="869" ht="42" customHeight="1">
      <x:c r="A869" s="15" t="str">
        <x:v>API-665</x:v>
      </x:c>
      <x:c r="B869" s="13" t="str">
        <x:v>GET</x:v>
      </x:c>
      <x:c r="C869" s="13" t="str">
        <x:v>/api/v1/qra-engine/runs/{run_id}/evidence</x:v>
      </x:c>
      <x:c r="D869" s="13" t="str">
        <x:v>READ-ONLY SHARED CONTEXT</x:v>
      </x:c>
      <x:c r="E869" s="13" t="str">
        <x:v>qra_engine</x:v>
      </x:c>
      <x:c r="F869" s="13" t="str">
        <x:v>evidence</x:v>
      </x:c>
      <x:c r="G869" s="13" t="str">
        <x:v>qra_run.read</x:v>
      </x:c>
      <x:c r="H869" s="13" t="str">
        <x:v>LIVE_ROUTER_REGISTERED</x:v>
      </x:c>
      <x:c r="I869" s="13" t="str">
        <x:v>NO_DIRECT_LITERAL_MATCH_NOT_PROOF_UNUSED</x:v>
      </x:c>
      <x:c r="J869" s="13" t="str">
        <x:v>NOT_EXECUTED_BY_INVENTORY. SOURCE_LITERAL_OR_TRANSITIVE_HELPER_UNION</x:v>
      </x:c>
    </x:row>
    <x:row r="870" ht="42" customHeight="1">
      <x:c r="A870" s="14" t="str">
        <x:v>API-666</x:v>
      </x:c>
      <x:c r="B870" s="6" t="str">
        <x:v>POST</x:v>
      </x:c>
      <x:c r="C870" s="6" t="str">
        <x:v>/api/v1/qra-engine/runs/{run_id}/execute</x:v>
      </x:c>
      <x:c r="D870" s="6" t="str">
        <x:v>USER MODE</x:v>
      </x:c>
      <x:c r="E870" s="6" t="str">
        <x:v>qra_engine</x:v>
      </x:c>
      <x:c r="F870" s="6" t="str">
        <x:v>execute</x:v>
      </x:c>
      <x:c r="G870" s="6" t="str">
        <x:v>qra_run.execute</x:v>
      </x:c>
      <x:c r="H870" s="6" t="str">
        <x:v>LIVE_ROUTER_REGISTERED</x:v>
      </x:c>
      <x:c r="I870" s="6" t="str">
        <x:v>NO_DIRECT_LITERAL_MATCH_NOT_PROOF_UNUSED</x:v>
      </x:c>
      <x:c r="J870" s="6" t="str">
        <x:v>NOT_EXECUTED_BY_INVENTORY. SOURCE_LITERAL_OR_TRANSITIVE_HELPER_UNION</x:v>
      </x:c>
    </x:row>
    <x:row r="871" ht="42" customHeight="1">
      <x:c r="A871" s="15" t="str">
        <x:v>API-667</x:v>
      </x:c>
      <x:c r="B871" s="13" t="str">
        <x:v>GET</x:v>
      </x:c>
      <x:c r="C871" s="13" t="str">
        <x:v>/api/v1/qra-engine/runs/{run_id}/histogram</x:v>
      </x:c>
      <x:c r="D871" s="13" t="str">
        <x:v>READ-ONLY SHARED CONTEXT</x:v>
      </x:c>
      <x:c r="E871" s="13" t="str">
        <x:v>qra_engine</x:v>
      </x:c>
      <x:c r="F871" s="13" t="str">
        <x:v>run result histogram</x:v>
      </x:c>
      <x:c r="G871" s="13" t="str">
        <x:v>qra_run.read</x:v>
      </x:c>
      <x:c r="H871" s="13" t="str">
        <x:v>LIVE_DYNAMIC_ROUTER_REGISTERED</x:v>
      </x:c>
      <x:c r="I871" s="13" t="str">
        <x:v>DYNAMIC_RESULT_SECTION_CLIENT</x:v>
      </x:c>
      <x:c r="J871" s="13" t="str">
        <x:v>NOT_EXECUTED_BY_INVENTORY. EXACT_DYNAMIC_FACTORY</x:v>
      </x:c>
    </x:row>
    <x:row r="872" ht="42" customHeight="1">
      <x:c r="A872" s="14" t="str">
        <x:v>API-668</x:v>
      </x:c>
      <x:c r="B872" s="6" t="str">
        <x:v>GET</x:v>
      </x:c>
      <x:c r="C872" s="6" t="str">
        <x:v>/api/v1/qra-engine/runs/{run_id}/milestones</x:v>
      </x:c>
      <x:c r="D872" s="6" t="str">
        <x:v>READ-ONLY SHARED CONTEXT</x:v>
      </x:c>
      <x:c r="E872" s="6" t="str">
        <x:v>qra_engine</x:v>
      </x:c>
      <x:c r="F872" s="6" t="str">
        <x:v>run result milestones</x:v>
      </x:c>
      <x:c r="G872" s="6" t="str">
        <x:v>qra_run.read</x:v>
      </x:c>
      <x:c r="H872" s="6" t="str">
        <x:v>LIVE_DYNAMIC_ROUTER_REGISTERED</x:v>
      </x:c>
      <x:c r="I872" s="6" t="str">
        <x:v>DYNAMIC_RESULT_SECTION_CLIENT</x:v>
      </x:c>
      <x:c r="J872" s="6" t="str">
        <x:v>NOT_EXECUTED_BY_INVENTORY. EXACT_DYNAMIC_FACTORY</x:v>
      </x:c>
    </x:row>
    <x:row r="873" ht="42" customHeight="1">
      <x:c r="A873" s="15" t="str">
        <x:v>API-669</x:v>
      </x:c>
      <x:c r="B873" s="13" t="str">
        <x:v>GET</x:v>
      </x:c>
      <x:c r="C873" s="13" t="str">
        <x:v>/api/v1/qra-engine/runs/{run_id}/percentiles</x:v>
      </x:c>
      <x:c r="D873" s="13" t="str">
        <x:v>READ-ONLY SHARED CONTEXT</x:v>
      </x:c>
      <x:c r="E873" s="13" t="str">
        <x:v>qra_engine</x:v>
      </x:c>
      <x:c r="F873" s="13" t="str">
        <x:v>run result percentiles</x:v>
      </x:c>
      <x:c r="G873" s="13" t="str">
        <x:v>qra_run.read</x:v>
      </x:c>
      <x:c r="H873" s="13" t="str">
        <x:v>LIVE_DYNAMIC_ROUTER_REGISTERED</x:v>
      </x:c>
      <x:c r="I873" s="13" t="str">
        <x:v>DYNAMIC_RESULT_SECTION_CLIENT</x:v>
      </x:c>
      <x:c r="J873" s="13" t="str">
        <x:v>NOT_EXECUTED_BY_INVENTORY. EXACT_DYNAMIC_FACTORY</x:v>
      </x:c>
    </x:row>
    <x:row r="874" ht="42" customHeight="1">
      <x:c r="A874" s="14" t="str">
        <x:v>API-670</x:v>
      </x:c>
      <x:c r="B874" s="6" t="str">
        <x:v>GET</x:v>
      </x:c>
      <x:c r="C874" s="6" t="str">
        <x:v>/api/v1/qra-engine/runs/{run_id}/provenance</x:v>
      </x:c>
      <x:c r="D874" s="6" t="str">
        <x:v>READ-ONLY SHARED CONTEXT</x:v>
      </x:c>
      <x:c r="E874" s="6" t="str">
        <x:v>qra_engine</x:v>
      </x:c>
      <x:c r="F874" s="6" t="str">
        <x:v>run result provenance</x:v>
      </x:c>
      <x:c r="G874" s="6" t="str">
        <x:v>qra_run.read</x:v>
      </x:c>
      <x:c r="H874" s="6" t="str">
        <x:v>LIVE_DYNAMIC_ROUTER_REGISTERED</x:v>
      </x:c>
      <x:c r="I874" s="6" t="str">
        <x:v>DYNAMIC_RESULT_SECTION_CLIENT</x:v>
      </x:c>
      <x:c r="J874" s="6" t="str">
        <x:v>NOT_EXECUTED_BY_INVENTORY. EXACT_DYNAMIC_FACTORY</x:v>
      </x:c>
    </x:row>
    <x:row r="875" ht="42" customHeight="1">
      <x:c r="A875" s="15" t="str">
        <x:v>API-671</x:v>
      </x:c>
      <x:c r="B875" s="13" t="str">
        <x:v>POST</x:v>
      </x:c>
      <x:c r="C875" s="13" t="str">
        <x:v>/api/v1/qra-engine/runs/{run_id}/review</x:v>
      </x:c>
      <x:c r="D875" s="13" t="str">
        <x:v>USER MODE</x:v>
      </x:c>
      <x:c r="E875" s="13" t="str">
        <x:v>qra_engine</x:v>
      </x:c>
      <x:c r="F875" s="13" t="str">
        <x:v>review</x:v>
      </x:c>
      <x:c r="G875" s="13" t="str">
        <x:v>qra_run.review</x:v>
      </x:c>
      <x:c r="H875" s="13" t="str">
        <x:v>LIVE_ROUTER_REGISTERED</x:v>
      </x:c>
      <x:c r="I875" s="13" t="str">
        <x:v>NO_DIRECT_LITERAL_MATCH_NOT_PROOF_UNUSED</x:v>
      </x:c>
      <x:c r="J875" s="13" t="str">
        <x:v>NOT_EXECUTED_BY_INVENTORY. SOURCE_LITERAL_OR_TRANSITIVE_HELPER_UNION</x:v>
      </x:c>
    </x:row>
    <x:row r="876" ht="42" customHeight="1">
      <x:c r="A876" s="14" t="str">
        <x:v>API-672</x:v>
      </x:c>
      <x:c r="B876" s="6" t="str">
        <x:v>GET</x:v>
      </x:c>
      <x:c r="C876" s="6" t="str">
        <x:v>/api/v1/qra-engine/runs/{run_id}/sensitivity</x:v>
      </x:c>
      <x:c r="D876" s="6" t="str">
        <x:v>READ-ONLY SHARED CONTEXT</x:v>
      </x:c>
      <x:c r="E876" s="6" t="str">
        <x:v>qra_engine</x:v>
      </x:c>
      <x:c r="F876" s="6" t="str">
        <x:v>run result sensitivity</x:v>
      </x:c>
      <x:c r="G876" s="6" t="str">
        <x:v>qra_run.read</x:v>
      </x:c>
      <x:c r="H876" s="6" t="str">
        <x:v>LIVE_DYNAMIC_ROUTER_REGISTERED</x:v>
      </x:c>
      <x:c r="I876" s="6" t="str">
        <x:v>DYNAMIC_RESULT_SECTION_CLIENT</x:v>
      </x:c>
      <x:c r="J876" s="6" t="str">
        <x:v>NOT_EXECUTED_BY_INVENTORY. EXACT_DYNAMIC_FACTORY</x:v>
      </x:c>
    </x:row>
    <x:row r="877" ht="42" customHeight="1">
      <x:c r="A877" s="15" t="str">
        <x:v>API-673</x:v>
      </x:c>
      <x:c r="B877" s="13" t="str">
        <x:v>GET</x:v>
      </x:c>
      <x:c r="C877" s="13" t="str">
        <x:v>/api/v1/qra-engine/runs/{run_id}/status</x:v>
      </x:c>
      <x:c r="D877" s="13" t="str">
        <x:v>READ-ONLY SHARED CONTEXT</x:v>
      </x:c>
      <x:c r="E877" s="13" t="str">
        <x:v>qra_engine</x:v>
      </x:c>
      <x:c r="F877" s="13" t="str">
        <x:v>status</x:v>
      </x:c>
      <x:c r="G877" s="13" t="str">
        <x:v>qra_run.read</x:v>
      </x:c>
      <x:c r="H877" s="13" t="str">
        <x:v>LIVE_ROUTER_REGISTERED</x:v>
      </x:c>
      <x:c r="I877" s="13" t="str">
        <x:v>frontend/src/features/qra-engine/api.ts</x:v>
      </x:c>
      <x:c r="J877" s="13" t="str">
        <x:v>NOT_EXECUTED_BY_INVENTORY. SOURCE_LITERAL_OR_TRANSITIVE_HELPER_UNION</x:v>
      </x:c>
    </x:row>
    <x:row r="878" ht="42" customHeight="1">
      <x:c r="A878" s="14" t="str">
        <x:v>API-674</x:v>
      </x:c>
      <x:c r="B878" s="6" t="str">
        <x:v>GET</x:v>
      </x:c>
      <x:c r="C878" s="6" t="str">
        <x:v>/api/v1/qra-engine/runs/{run_id}/summary</x:v>
      </x:c>
      <x:c r="D878" s="6" t="str">
        <x:v>READ-ONLY SHARED CONTEXT</x:v>
      </x:c>
      <x:c r="E878" s="6" t="str">
        <x:v>qra_engine</x:v>
      </x:c>
      <x:c r="F878" s="6" t="str">
        <x:v>run result summary</x:v>
      </x:c>
      <x:c r="G878" s="6" t="str">
        <x:v>qra_run.read</x:v>
      </x:c>
      <x:c r="H878" s="6" t="str">
        <x:v>LIVE_DYNAMIC_ROUTER_REGISTERED</x:v>
      </x:c>
      <x:c r="I878" s="6" t="str">
        <x:v>DYNAMIC_RESULT_SECTION_CLIENT</x:v>
      </x:c>
      <x:c r="J878" s="6" t="str">
        <x:v>NOT_EXECUTED_BY_INVENTORY. EXACT_DYNAMIC_FACTORY</x:v>
      </x:c>
    </x:row>
    <x:row r="879" ht="42" customHeight="1">
      <x:c r="A879" s="15" t="str">
        <x:v>API-675</x:v>
      </x:c>
      <x:c r="B879" s="13" t="str">
        <x:v>GET</x:v>
      </x:c>
      <x:c r="C879" s="13" t="str">
        <x:v>/api/v1/qra-foundation/admin/configurations</x:v>
      </x:c>
      <x:c r="D879" s="13" t="str">
        <x:v>ADMIN MODE</x:v>
      </x:c>
      <x:c r="E879" s="13" t="str">
        <x:v>qra_foundation</x:v>
      </x:c>
      <x:c r="F879" s="13" t="str">
        <x:v>configurations</x:v>
      </x:c>
      <x:c r="G879" s="13" t="str">
        <x:v>qra_methodology.admin.configure</x:v>
      </x:c>
      <x:c r="H879" s="13" t="str">
        <x:v>LIVE_ROUTER_REGISTERED</x:v>
      </x:c>
      <x:c r="I879" s="13" t="str">
        <x:v>NO_DIRECT_LITERAL_MATCH_NOT_PROOF_UNUSED</x:v>
      </x:c>
      <x:c r="J879" s="13" t="str">
        <x:v>NOT_EXECUTED_BY_INVENTORY. SOURCE_LITERAL_OR_TRANSITIVE_HELPER_UNION</x:v>
      </x:c>
    </x:row>
    <x:row r="880" ht="42" customHeight="1">
      <x:c r="A880" s="14" t="str">
        <x:v>API-676</x:v>
      </x:c>
      <x:c r="B880" s="6" t="str">
        <x:v>GET</x:v>
      </x:c>
      <x:c r="C880" s="6" t="str">
        <x:v>/api/v1/qra-foundation/admin/configurations/{configuration_id}</x:v>
      </x:c>
      <x:c r="D880" s="6" t="str">
        <x:v>ADMIN MODE</x:v>
      </x:c>
      <x:c r="E880" s="6" t="str">
        <x:v>qra_foundation</x:v>
      </x:c>
      <x:c r="F880" s="6" t="str">
        <x:v>configuration</x:v>
      </x:c>
      <x:c r="G880" s="6" t="str">
        <x:v>qra_methodology.admin.configure</x:v>
      </x:c>
      <x:c r="H880" s="6" t="str">
        <x:v>LIVE_ROUTER_REGISTERED</x:v>
      </x:c>
      <x:c r="I880" s="6" t="str">
        <x:v>NO_DIRECT_LITERAL_MATCH_NOT_PROOF_UNUSED</x:v>
      </x:c>
      <x:c r="J880" s="6" t="str">
        <x:v>NOT_EXECUTED_BY_INVENTORY. SOURCE_LITERAL_OR_TRANSITIVE_HELPER_UNION</x:v>
      </x:c>
    </x:row>
    <x:row r="881" ht="42" customHeight="1">
      <x:c r="A881" s="15" t="str">
        <x:v>API-677</x:v>
      </x:c>
      <x:c r="B881" s="13" t="str">
        <x:v>PUT</x:v>
      </x:c>
      <x:c r="C881" s="13" t="str">
        <x:v>/api/v1/qra-foundation/admin/configurations/{configuration_id}</x:v>
      </x:c>
      <x:c r="D881" s="13" t="str">
        <x:v>ADMIN MODE</x:v>
      </x:c>
      <x:c r="E881" s="13" t="str">
        <x:v>qra_foundation</x:v>
      </x:c>
      <x:c r="F881" s="13" t="str">
        <x:v>update configuration</x:v>
      </x:c>
      <x:c r="G881" s="13" t="str">
        <x:v>qra_methodology.admin.configure</x:v>
      </x:c>
      <x:c r="H881" s="13" t="str">
        <x:v>LIVE_ROUTER_REGISTERED</x:v>
      </x:c>
      <x:c r="I881" s="13" t="str">
        <x:v>NO_DIRECT_LITERAL_MATCH_NOT_PROOF_UNUSED</x:v>
      </x:c>
      <x:c r="J881" s="13" t="str">
        <x:v>NOT_EXECUTED_BY_INVENTORY. SOURCE_LITERAL_OR_TRANSITIVE_HELPER_UNION</x:v>
      </x:c>
    </x:row>
    <x:row r="882" ht="42" customHeight="1">
      <x:c r="A882" s="14" t="str">
        <x:v>API-678</x:v>
      </x:c>
      <x:c r="B882" s="6" t="str">
        <x:v>POST</x:v>
      </x:c>
      <x:c r="C882" s="6" t="str">
        <x:v>/api/v1/qra-foundation/admin/configurations/{configuration_id}/archive</x:v>
      </x:c>
      <x:c r="D882" s="6" t="str">
        <x:v>ADMIN MODE</x:v>
      </x:c>
      <x:c r="E882" s="6" t="str">
        <x:v>qra_foundation</x:v>
      </x:c>
      <x:c r="F882" s="6" t="str">
        <x:v>archive configuration</x:v>
      </x:c>
      <x:c r="G882" s="6" t="str">
        <x:v>qra_methodology.admin.publish</x:v>
      </x:c>
      <x:c r="H882" s="6" t="str">
        <x:v>LIVE_ROUTER_REGISTERED</x:v>
      </x:c>
      <x:c r="I882" s="6" t="str">
        <x:v>NO_DIRECT_LITERAL_MATCH_NOT_PROOF_UNUSED</x:v>
      </x:c>
      <x:c r="J882" s="6" t="str">
        <x:v>NOT_EXECUTED_BY_INVENTORY. SOURCE_LITERAL_OR_TRANSITIVE_HELPER_UNION</x:v>
      </x:c>
    </x:row>
    <x:row r="883" ht="42" customHeight="1">
      <x:c r="A883" s="15" t="str">
        <x:v>API-679</x:v>
      </x:c>
      <x:c r="B883" s="13" t="str">
        <x:v>POST</x:v>
      </x:c>
      <x:c r="C883" s="13" t="str">
        <x:v>/api/v1/qra-foundation/admin/configurations/{configuration_id}/clone</x:v>
      </x:c>
      <x:c r="D883" s="13" t="str">
        <x:v>ADMIN MODE</x:v>
      </x:c>
      <x:c r="E883" s="13" t="str">
        <x:v>qra_foundation</x:v>
      </x:c>
      <x:c r="F883" s="13" t="str">
        <x:v>clone configuration</x:v>
      </x:c>
      <x:c r="G883" s="13" t="str">
        <x:v>qra_methodology.admin.configure</x:v>
      </x:c>
      <x:c r="H883" s="13" t="str">
        <x:v>LIVE_ROUTER_REGISTERED</x:v>
      </x:c>
      <x:c r="I883" s="13" t="str">
        <x:v>NO_DIRECT_LITERAL_MATCH_NOT_PROOF_UNUSED</x:v>
      </x:c>
      <x:c r="J883" s="13" t="str">
        <x:v>NOT_EXECUTED_BY_INVENTORY. SOURCE_LITERAL_OR_TRANSITIVE_HELPER_UNION</x:v>
      </x:c>
    </x:row>
    <x:row r="884" ht="42" customHeight="1">
      <x:c r="A884" s="14" t="str">
        <x:v>API-680</x:v>
      </x:c>
      <x:c r="B884" s="6" t="str">
        <x:v>GET</x:v>
      </x:c>
      <x:c r="C884" s="6" t="str">
        <x:v>/api/v1/qra-foundation/admin/configurations/{configuration_id}/history</x:v>
      </x:c>
      <x:c r="D884" s="6" t="str">
        <x:v>ADMIN MODE</x:v>
      </x:c>
      <x:c r="E884" s="6" t="str">
        <x:v>qra_foundation</x:v>
      </x:c>
      <x:c r="F884" s="6" t="str">
        <x:v>configuration history</x:v>
      </x:c>
      <x:c r="G884" s="6" t="str">
        <x:v>qra_methodology.admin.configure</x:v>
      </x:c>
      <x:c r="H884" s="6" t="str">
        <x:v>LIVE_ROUTER_REGISTERED</x:v>
      </x:c>
      <x:c r="I884" s="6" t="str">
        <x:v>NO_DIRECT_LITERAL_MATCH_NOT_PROOF_UNUSED</x:v>
      </x:c>
      <x:c r="J884" s="6" t="str">
        <x:v>NOT_EXECUTED_BY_INVENTORY. SOURCE_LITERAL_OR_TRANSITIVE_HELPER_UNION</x:v>
      </x:c>
    </x:row>
    <x:row r="885" ht="42" customHeight="1">
      <x:c r="A885" s="15" t="str">
        <x:v>API-681</x:v>
      </x:c>
      <x:c r="B885" s="13" t="str">
        <x:v>POST</x:v>
      </x:c>
      <x:c r="C885" s="13" t="str">
        <x:v>/api/v1/qra-foundation/admin/configurations/{configuration_id}/publish</x:v>
      </x:c>
      <x:c r="D885" s="13" t="str">
        <x:v>ADMIN MODE</x:v>
      </x:c>
      <x:c r="E885" s="13" t="str">
        <x:v>qra_foundation</x:v>
      </x:c>
      <x:c r="F885" s="13" t="str">
        <x:v>publish configuration</x:v>
      </x:c>
      <x:c r="G885" s="13" t="str">
        <x:v>qra_methodology.admin.publish</x:v>
      </x:c>
      <x:c r="H885" s="13" t="str">
        <x:v>LIVE_ROUTER_REGISTERED</x:v>
      </x:c>
      <x:c r="I885" s="13" t="str">
        <x:v>NO_DIRECT_LITERAL_MATCH_NOT_PROOF_UNUSED</x:v>
      </x:c>
      <x:c r="J885" s="13" t="str">
        <x:v>NOT_EXECUTED_BY_INVENTORY. SOURCE_LITERAL_OR_TRANSITIVE_HELPER_UNION</x:v>
      </x:c>
    </x:row>
    <x:row r="886" ht="42" customHeight="1">
      <x:c r="A886" s="14" t="str">
        <x:v>API-682</x:v>
      </x:c>
      <x:c r="B886" s="6" t="str">
        <x:v>POST</x:v>
      </x:c>
      <x:c r="C886" s="6" t="str">
        <x:v>/api/v1/qra-foundation/admin/effective-preview</x:v>
      </x:c>
      <x:c r="D886" s="6" t="str">
        <x:v>ADMIN MODE</x:v>
      </x:c>
      <x:c r="E886" s="6" t="str">
        <x:v>qra_foundation</x:v>
      </x:c>
      <x:c r="F886" s="6" t="str">
        <x:v>config preview</x:v>
      </x:c>
      <x:c r="G886" s="6" t="str">
        <x:v>qra_methodology.admin.configure</x:v>
      </x:c>
      <x:c r="H886" s="6" t="str">
        <x:v>LIVE_ROUTER_REGISTERED</x:v>
      </x:c>
      <x:c r="I886" s="6" t="str">
        <x:v>NO_DIRECT_LITERAL_MATCH_NOT_PROOF_UNUSED</x:v>
      </x:c>
      <x:c r="J886" s="6" t="str">
        <x:v>NOT_EXECUTED_BY_INVENTORY. SOURCE_LITERAL_OR_TRANSITIVE_HELPER_UNION</x:v>
      </x:c>
    </x:row>
    <x:row r="887" ht="42" customHeight="1">
      <x:c r="A887" s="15" t="str">
        <x:v>API-683</x:v>
      </x:c>
      <x:c r="B887" s="13" t="str">
        <x:v>POST</x:v>
      </x:c>
      <x:c r="C887" s="13" t="str">
        <x:v>/api/v1/qra-foundation/admin/preview</x:v>
      </x:c>
      <x:c r="D887" s="13" t="str">
        <x:v>ADMIN MODE</x:v>
      </x:c>
      <x:c r="E887" s="13" t="str">
        <x:v>qra_foundation</x:v>
      </x:c>
      <x:c r="F887" s="13" t="str">
        <x:v>config preview</x:v>
      </x:c>
      <x:c r="G887" s="13" t="str">
        <x:v>qra_methodology.admin.configure</x:v>
      </x:c>
      <x:c r="H887" s="13" t="str">
        <x:v>LIVE_ROUTER_REGISTERED</x:v>
      </x:c>
      <x:c r="I887" s="13" t="str">
        <x:v>NO_DIRECT_LITERAL_MATCH_NOT_PROOF_UNUSED</x:v>
      </x:c>
      <x:c r="J887" s="13" t="str">
        <x:v>NOT_EXECUTED_BY_INVENTORY. SOURCE_LITERAL_OR_TRANSITIVE_HELPER_UNION</x:v>
      </x:c>
    </x:row>
    <x:row r="888" ht="42" customHeight="1">
      <x:c r="A888" s="14" t="str">
        <x:v>API-684</x:v>
      </x:c>
      <x:c r="B888" s="6" t="str">
        <x:v>GET</x:v>
      </x:c>
      <x:c r="C888" s="6" t="str">
        <x:v>/api/v1/qra-foundation/models/{record_id}</x:v>
      </x:c>
      <x:c r="D888" s="6" t="str">
        <x:v>READ-ONLY SHARED CONTEXT</x:v>
      </x:c>
      <x:c r="E888" s="6" t="str">
        <x:v>qra_foundation</x:v>
      </x:c>
      <x:c r="F888" s="6" t="str">
        <x:v>model</x:v>
      </x:c>
      <x:c r="G888" s="6" t="str">
        <x:v>qra_foundation.read</x:v>
      </x:c>
      <x:c r="H888" s="6" t="str">
        <x:v>LIVE_ROUTER_REGISTERED</x:v>
      </x:c>
      <x:c r="I888" s="6" t="str">
        <x:v>NO_DIRECT_LITERAL_MATCH_NOT_PROOF_UNUSED</x:v>
      </x:c>
      <x:c r="J888" s="6" t="str">
        <x:v>NOT_EXECUTED_BY_INVENTORY. SOURCE_LITERAL_OR_TRANSITIVE_HELPER_UNION</x:v>
      </x:c>
    </x:row>
    <x:row r="889" ht="42" customHeight="1">
      <x:c r="A889" s="15" t="str">
        <x:v>API-685</x:v>
      </x:c>
      <x:c r="B889" s="13" t="str">
        <x:v>PUT</x:v>
      </x:c>
      <x:c r="C889" s="13" t="str">
        <x:v>/api/v1/qra-foundation/models/{record_id}</x:v>
      </x:c>
      <x:c r="D889" s="13" t="str">
        <x:v>USER MODE</x:v>
      </x:c>
      <x:c r="E889" s="13" t="str">
        <x:v>qra_foundation</x:v>
      </x:c>
      <x:c r="F889" s="13" t="str">
        <x:v>update model</x:v>
      </x:c>
      <x:c r="G889" s="13" t="str">
        <x:v>qra_model.edit</x:v>
      </x:c>
      <x:c r="H889" s="13" t="str">
        <x:v>LIVE_ROUTER_REGISTERED</x:v>
      </x:c>
      <x:c r="I889" s="13" t="str">
        <x:v>NO_DIRECT_LITERAL_MATCH_NOT_PROOF_UNUSED</x:v>
      </x:c>
      <x:c r="J889" s="13" t="str">
        <x:v>NOT_EXECUTED_BY_INVENTORY. SOURCE_LITERAL_OR_TRANSITIVE_HELPER_UNION</x:v>
      </x:c>
    </x:row>
    <x:row r="890" ht="42" customHeight="1">
      <x:c r="A890" s="14" t="str">
        <x:v>API-686</x:v>
      </x:c>
      <x:c r="B890" s="6" t="str">
        <x:v>GET</x:v>
      </x:c>
      <x:c r="C890" s="6" t="str">
        <x:v>/api/v1/qra-foundation/models/{record_id}/correlations</x:v>
      </x:c>
      <x:c r="D890" s="6" t="str">
        <x:v>READ-ONLY SHARED CONTEXT</x:v>
      </x:c>
      <x:c r="E890" s="6" t="str">
        <x:v>qra_foundation</x:v>
      </x:c>
      <x:c r="F890" s="6" t="str">
        <x:v>model correlations</x:v>
      </x:c>
      <x:c r="G890" s="6" t="str">
        <x:v>qra_foundation.read</x:v>
      </x:c>
      <x:c r="H890" s="6" t="str">
        <x:v>LIVE_ROUTER_REGISTERED</x:v>
      </x:c>
      <x:c r="I890" s="6" t="str">
        <x:v>frontend/src/features/qra-foundation/api.ts</x:v>
      </x:c>
      <x:c r="J890" s="6" t="str">
        <x:v>NOT_EXECUTED_BY_INVENTORY. SOURCE_LITERAL_OR_TRANSITIVE_HELPER_UNION</x:v>
      </x:c>
    </x:row>
    <x:row r="891" ht="42" customHeight="1">
      <x:c r="A891" s="15" t="str">
        <x:v>API-687</x:v>
      </x:c>
      <x:c r="B891" s="13" t="str">
        <x:v>PATCH</x:v>
      </x:c>
      <x:c r="C891" s="13" t="str">
        <x:v>/api/v1/qra-foundation/models/{record_id}/inputs</x:v>
      </x:c>
      <x:c r="D891" s="13" t="str">
        <x:v>USER MODE</x:v>
      </x:c>
      <x:c r="E891" s="13" t="str">
        <x:v>qra_foundation</x:v>
      </x:c>
      <x:c r="F891" s="13" t="str">
        <x:v>patch model inputs</x:v>
      </x:c>
      <x:c r="G891" s="13" t="str">
        <x:v>qra_model.edit</x:v>
      </x:c>
      <x:c r="H891" s="13" t="str">
        <x:v>LIVE_ROUTER_REGISTERED</x:v>
      </x:c>
      <x:c r="I891" s="13" t="str">
        <x:v>frontend/src/features/qra-foundation/api.ts</x:v>
      </x:c>
      <x:c r="J891" s="13" t="str">
        <x:v>NOT_EXECUTED_BY_INVENTORY. SOURCE_LITERAL_OR_TRANSITIVE_HELPER_UNION</x:v>
      </x:c>
    </x:row>
    <x:row r="892" ht="42" customHeight="1">
      <x:c r="A892" s="14" t="str">
        <x:v>API-688</x:v>
      </x:c>
      <x:c r="B892" s="6" t="str">
        <x:v>GET</x:v>
      </x:c>
      <x:c r="C892" s="6" t="str">
        <x:v>/api/v1/qra-foundation/models/{record_id}/items</x:v>
      </x:c>
      <x:c r="D892" s="6" t="str">
        <x:v>READ-ONLY SHARED CONTEXT</x:v>
      </x:c>
      <x:c r="E892" s="6" t="str">
        <x:v>qra_foundation</x:v>
      </x:c>
      <x:c r="F892" s="6" t="str">
        <x:v>model items</x:v>
      </x:c>
      <x:c r="G892" s="6" t="str">
        <x:v>qra_foundation.read</x:v>
      </x:c>
      <x:c r="H892" s="6" t="str">
        <x:v>LIVE_ROUTER_REGISTERED</x:v>
      </x:c>
      <x:c r="I892" s="6" t="str">
        <x:v>NO_DIRECT_LITERAL_MATCH_NOT_PROOF_UNUSED</x:v>
      </x:c>
      <x:c r="J892" s="6" t="str">
        <x:v>NOT_EXECUTED_BY_INVENTORY. SOURCE_LITERAL_OR_TRANSITIVE_HELPER_UNION</x:v>
      </x:c>
    </x:row>
    <x:row r="893" ht="42" customHeight="1">
      <x:c r="A893" s="15" t="str">
        <x:v>API-689</x:v>
      </x:c>
      <x:c r="B893" s="13" t="str">
        <x:v>PATCH</x:v>
      </x:c>
      <x:c r="C893" s="13" t="str">
        <x:v>/api/v1/qra-foundation/models/{record_id}/metadata</x:v>
      </x:c>
      <x:c r="D893" s="13" t="str">
        <x:v>USER MODE</x:v>
      </x:c>
      <x:c r="E893" s="13" t="str">
        <x:v>qra_foundation</x:v>
      </x:c>
      <x:c r="F893" s="13" t="str">
        <x:v>patch model metadata</x:v>
      </x:c>
      <x:c r="G893" s="13" t="str">
        <x:v>qra_model.edit</x:v>
      </x:c>
      <x:c r="H893" s="13" t="str">
        <x:v>LIVE_ROUTER_REGISTERED</x:v>
      </x:c>
      <x:c r="I893" s="13" t="str">
        <x:v>frontend/src/features/qra-foundation/api.ts</x:v>
      </x:c>
      <x:c r="J893" s="13" t="str">
        <x:v>NOT_EXECUTED_BY_INVENTORY. SOURCE_LITERAL_OR_TRANSITIVE_HELPER_UNION</x:v>
      </x:c>
    </x:row>
    <x:row r="894" ht="42" customHeight="1">
      <x:c r="A894" s="14" t="str">
        <x:v>API-690</x:v>
      </x:c>
      <x:c r="B894" s="6" t="str">
        <x:v>POST</x:v>
      </x:c>
      <x:c r="C894" s="6" t="str">
        <x:v>/api/v1/qra-foundation/models/{record_id}/preview</x:v>
      </x:c>
      <x:c r="D894" s="6" t="str">
        <x:v>USER MODE</x:v>
      </x:c>
      <x:c r="E894" s="6" t="str">
        <x:v>qra_foundation</x:v>
      </x:c>
      <x:c r="F894" s="6" t="str">
        <x:v>preview model</x:v>
      </x:c>
      <x:c r="G894" s="6" t="str">
        <x:v>qra_foundation.read</x:v>
      </x:c>
      <x:c r="H894" s="6" t="str">
        <x:v>LIVE_ROUTER_REGISTERED</x:v>
      </x:c>
      <x:c r="I894" s="6" t="str">
        <x:v>NO_DIRECT_LITERAL_MATCH_NOT_PROOF_UNUSED</x:v>
      </x:c>
      <x:c r="J894" s="6" t="str">
        <x:v>NOT_EXECUTED_BY_INVENTORY. SOURCE_LITERAL_OR_TRANSITIVE_HELPER_UNION</x:v>
      </x:c>
    </x:row>
    <x:row r="895" ht="42" customHeight="1">
      <x:c r="A895" s="15" t="str">
        <x:v>API-691</x:v>
      </x:c>
      <x:c r="B895" s="13" t="str">
        <x:v>POST</x:v>
      </x:c>
      <x:c r="C895" s="13" t="str">
        <x:v>/api/v1/qra-foundation/models/{record_id}/refresh-apply</x:v>
      </x:c>
      <x:c r="D895" s="13" t="str">
        <x:v>USER MODE</x:v>
      </x:c>
      <x:c r="E895" s="13" t="str">
        <x:v>qra_foundation</x:v>
      </x:c>
      <x:c r="F895" s="13" t="str">
        <x:v>model refresh apply</x:v>
      </x:c>
      <x:c r="G895" s="13" t="str">
        <x:v>qra_model.create</x:v>
      </x:c>
      <x:c r="H895" s="13" t="str">
        <x:v>LIVE_ROUTER_REGISTERED</x:v>
      </x:c>
      <x:c r="I895" s="13" t="str">
        <x:v>NO_DIRECT_LITERAL_MATCH_NOT_PROOF_UNUSED</x:v>
      </x:c>
      <x:c r="J895" s="13" t="str">
        <x:v>NOT_EXECUTED_BY_INVENTORY. SOURCE_LITERAL_OR_TRANSITIVE_HELPER_UNION</x:v>
      </x:c>
    </x:row>
    <x:row r="896" ht="42" customHeight="1">
      <x:c r="A896" s="14" t="str">
        <x:v>API-692</x:v>
      </x:c>
      <x:c r="B896" s="6" t="str">
        <x:v>GET</x:v>
      </x:c>
      <x:c r="C896" s="6" t="str">
        <x:v>/api/v1/qra-foundation/models/{record_id}/refresh-preview</x:v>
      </x:c>
      <x:c r="D896" s="6" t="str">
        <x:v>READ-ONLY SHARED CONTEXT</x:v>
      </x:c>
      <x:c r="E896" s="6" t="str">
        <x:v>qra_foundation</x:v>
      </x:c>
      <x:c r="F896" s="6" t="str">
        <x:v>model refresh preview</x:v>
      </x:c>
      <x:c r="G896" s="6" t="str">
        <x:v>qra_foundation.read</x:v>
      </x:c>
      <x:c r="H896" s="6" t="str">
        <x:v>LIVE_ROUTER_REGISTERED</x:v>
      </x:c>
      <x:c r="I896" s="6" t="str">
        <x:v>NO_DIRECT_LITERAL_MATCH_NOT_PROOF_UNUSED</x:v>
      </x:c>
      <x:c r="J896" s="6" t="str">
        <x:v>NOT_EXECUTED_BY_INVENTORY. SOURCE_LITERAL_OR_TRANSITIVE_HELPER_UNION</x:v>
      </x:c>
    </x:row>
    <x:row r="897" ht="42" customHeight="1">
      <x:c r="A897" s="15" t="str">
        <x:v>API-693</x:v>
      </x:c>
      <x:c r="B897" s="13" t="str">
        <x:v>POST</x:v>
      </x:c>
      <x:c r="C897" s="13" t="str">
        <x:v>/api/v1/qra-foundation/models/{record_id}/refresh-preview</x:v>
      </x:c>
      <x:c r="D897" s="13" t="str">
        <x:v>USER MODE</x:v>
      </x:c>
      <x:c r="E897" s="13" t="str">
        <x:v>qra_foundation</x:v>
      </x:c>
      <x:c r="F897" s="13" t="str">
        <x:v>model refresh preview</x:v>
      </x:c>
      <x:c r="G897" s="13" t="str">
        <x:v>qra_foundation.read</x:v>
      </x:c>
      <x:c r="H897" s="13" t="str">
        <x:v>LIVE_ROUTER_REGISTERED</x:v>
      </x:c>
      <x:c r="I897" s="13" t="str">
        <x:v>NO_DIRECT_LITERAL_MATCH_NOT_PROOF_UNUSED</x:v>
      </x:c>
      <x:c r="J897" s="13" t="str">
        <x:v>NOT_EXECUTED_BY_INVENTORY. SOURCE_LITERAL_OR_TRANSITIVE_HELPER_UNION</x:v>
      </x:c>
    </x:row>
    <x:row r="898" ht="42" customHeight="1">
      <x:c r="A898" s="14" t="str">
        <x:v>API-694</x:v>
      </x:c>
      <x:c r="B898" s="6" t="str">
        <x:v>GET</x:v>
      </x:c>
      <x:c r="C898" s="6" t="str">
        <x:v>/api/v1/qra-foundation/options</x:v>
      </x:c>
      <x:c r="D898" s="6" t="str">
        <x:v>READ-ONLY SHARED CONTEXT</x:v>
      </x:c>
      <x:c r="E898" s="6" t="str">
        <x:v>qra_foundation</x:v>
      </x:c>
      <x:c r="F898" s="6" t="str">
        <x:v>options</x:v>
      </x:c>
      <x:c r="G898" s="6" t="str">
        <x:v>qra_foundation.read</x:v>
      </x:c>
      <x:c r="H898" s="6" t="str">
        <x:v>LIVE_ROUTER_REGISTERED</x:v>
      </x:c>
      <x:c r="I898" s="6" t="str">
        <x:v>frontend/src/features/qra-foundation/api.ts</x:v>
      </x:c>
      <x:c r="J898" s="6" t="str">
        <x:v>NOT_EXECUTED_BY_INVENTORY. SOURCE_LITERAL_OR_TRANSITIVE_HELPER_UNION</x:v>
      </x:c>
    </x:row>
    <x:row r="899" ht="42" customHeight="1">
      <x:c r="A899" s="15" t="str">
        <x:v>API-695</x:v>
      </x:c>
      <x:c r="B899" s="13" t="str">
        <x:v>GET</x:v>
      </x:c>
      <x:c r="C899" s="13" t="str">
        <x:v>/api/v1/qra-foundation/projects/{project_id}/contexts</x:v>
      </x:c>
      <x:c r="D899" s="13" t="str">
        <x:v>READ-ONLY SHARED CONTEXT</x:v>
      </x:c>
      <x:c r="E899" s="13" t="str">
        <x:v>qra_foundation</x:v>
      </x:c>
      <x:c r="F899" s="13" t="str">
        <x:v>contexts</x:v>
      </x:c>
      <x:c r="G899" s="13" t="str">
        <x:v>qra_foundation.read</x:v>
      </x:c>
      <x:c r="H899" s="13" t="str">
        <x:v>LIVE_ROUTER_REGISTERED</x:v>
      </x:c>
      <x:c r="I899" s="13" t="str">
        <x:v>frontend/src/features/qra-foundation/api.ts</x:v>
      </x:c>
      <x:c r="J899" s="13" t="str">
        <x:v>NOT_EXECUTED_BY_INVENTORY. SOURCE_LITERAL_OR_TRANSITIVE_HELPER_UNION</x:v>
      </x:c>
    </x:row>
    <x:row r="900" ht="42" customHeight="1">
      <x:c r="A900" s="14" t="str">
        <x:v>API-696</x:v>
      </x:c>
      <x:c r="B900" s="6" t="str">
        <x:v>GET</x:v>
      </x:c>
      <x:c r="C900" s="6" t="str">
        <x:v>/api/v1/qra-foundation/projects/{project_id}/current-model</x:v>
      </x:c>
      <x:c r="D900" s="6" t="str">
        <x:v>READ-ONLY SHARED CONTEXT</x:v>
      </x:c>
      <x:c r="E900" s="6" t="str">
        <x:v>qra_foundation</x:v>
      </x:c>
      <x:c r="F900" s="6" t="str">
        <x:v>model readiness</x:v>
      </x:c>
      <x:c r="G900" s="6" t="str">
        <x:v>qra_foundation.read</x:v>
      </x:c>
      <x:c r="H900" s="6" t="str">
        <x:v>LIVE_ROUTER_REGISTERED</x:v>
      </x:c>
      <x:c r="I900" s="6" t="str">
        <x:v>NO_DIRECT_LITERAL_MATCH_NOT_PROOF_UNUSED</x:v>
      </x:c>
      <x:c r="J900" s="6" t="str">
        <x:v>NOT_EXECUTED_BY_INVENTORY. SOURCE_LITERAL_OR_TRANSITIVE_HELPER_UNION</x:v>
      </x:c>
    </x:row>
    <x:row r="901" ht="42" customHeight="1">
      <x:c r="A901" s="15" t="str">
        <x:v>API-697</x:v>
      </x:c>
      <x:c r="B901" s="13" t="str">
        <x:v>GET</x:v>
      </x:c>
      <x:c r="C901" s="13" t="str">
        <x:v>/api/v1/qra-foundation/projects/{project_id}/model-readiness</x:v>
      </x:c>
      <x:c r="D901" s="13" t="str">
        <x:v>READ-ONLY SHARED CONTEXT</x:v>
      </x:c>
      <x:c r="E901" s="13" t="str">
        <x:v>qra_foundation</x:v>
      </x:c>
      <x:c r="F901" s="13" t="str">
        <x:v>model readiness</x:v>
      </x:c>
      <x:c r="G901" s="13" t="str">
        <x:v>qra_foundation.read</x:v>
      </x:c>
      <x:c r="H901" s="13" t="str">
        <x:v>LIVE_ROUTER_REGISTERED</x:v>
      </x:c>
      <x:c r="I901" s="13" t="str">
        <x:v>NO_DIRECT_LITERAL_MATCH_NOT_PROOF_UNUSED</x:v>
      </x:c>
      <x:c r="J901" s="13" t="str">
        <x:v>NOT_EXECUTED_BY_INVENTORY. SOURCE_LITERAL_OR_TRANSITIVE_HELPER_UNION</x:v>
      </x:c>
    </x:row>
    <x:row r="902" ht="42" customHeight="1">
      <x:c r="A902" s="14" t="str">
        <x:v>API-698</x:v>
      </x:c>
      <x:c r="B902" s="6" t="str">
        <x:v>GET</x:v>
      </x:c>
      <x:c r="C902" s="6" t="str">
        <x:v>/api/v1/qra-foundation/projects/{project_id}/models</x:v>
      </x:c>
      <x:c r="D902" s="6" t="str">
        <x:v>READ-ONLY SHARED CONTEXT</x:v>
      </x:c>
      <x:c r="E902" s="6" t="str">
        <x:v>qra_foundation</x:v>
      </x:c>
      <x:c r="F902" s="6" t="str">
        <x:v>models</x:v>
      </x:c>
      <x:c r="G902" s="6" t="str">
        <x:v>qra_foundation.read</x:v>
      </x:c>
      <x:c r="H902" s="6" t="str">
        <x:v>LIVE_ROUTER_REGISTERED</x:v>
      </x:c>
      <x:c r="I902" s="6" t="str">
        <x:v>NO_DIRECT_LITERAL_MATCH_NOT_PROOF_UNUSED</x:v>
      </x:c>
      <x:c r="J902" s="6" t="str">
        <x:v>NOT_EXECUTED_BY_INVENTORY. SOURCE_LITERAL_OR_TRANSITIVE_HELPER_UNION</x:v>
      </x:c>
    </x:row>
    <x:row r="903" ht="42" customHeight="1">
      <x:c r="A903" s="15" t="str">
        <x:v>API-699</x:v>
      </x:c>
      <x:c r="B903" s="13" t="str">
        <x:v>POST</x:v>
      </x:c>
      <x:c r="C903" s="13" t="str">
        <x:v>/api/v1/qra-foundation/projects/{project_id}/models</x:v>
      </x:c>
      <x:c r="D903" s="13" t="str">
        <x:v>USER MODE</x:v>
      </x:c>
      <x:c r="E903" s="13" t="str">
        <x:v>qra_foundation</x:v>
      </x:c>
      <x:c r="F903" s="13" t="str">
        <x:v>create model</x:v>
      </x:c>
      <x:c r="G903" s="13" t="str">
        <x:v>qra_model.create</x:v>
      </x:c>
      <x:c r="H903" s="13" t="str">
        <x:v>LIVE_ROUTER_REGISTERED</x:v>
      </x:c>
      <x:c r="I903" s="13" t="str">
        <x:v>NO_DIRECT_LITERAL_MATCH_NOT_PROOF_UNUSED</x:v>
      </x:c>
      <x:c r="J903" s="13" t="str">
        <x:v>NOT_EXECUTED_BY_INVENTORY. SOURCE_LITERAL_OR_TRANSITIVE_HELPER_UNION</x:v>
      </x:c>
    </x:row>
    <x:row r="904" ht="42" customHeight="1">
      <x:c r="A904" s="14" t="str">
        <x:v>API-700</x:v>
      </x:c>
      <x:c r="B904" s="6" t="str">
        <x:v>GET</x:v>
      </x:c>
      <x:c r="C904" s="6" t="str">
        <x:v>/api/v1/qra-foundation/projects/{project_id}/requirements</x:v>
      </x:c>
      <x:c r="D904" s="6" t="str">
        <x:v>READ-ONLY SHARED CONTEXT</x:v>
      </x:c>
      <x:c r="E904" s="6" t="str">
        <x:v>qra_foundation</x:v>
      </x:c>
      <x:c r="F904" s="6" t="str">
        <x:v>requirements</x:v>
      </x:c>
      <x:c r="G904" s="6" t="str">
        <x:v>qra_foundation.read</x:v>
      </x:c>
      <x:c r="H904" s="6" t="str">
        <x:v>LIVE_ROUTER_REGISTERED</x:v>
      </x:c>
      <x:c r="I904" s="6" t="str">
        <x:v>frontend/src/features/qra-foundation/api.ts</x:v>
      </x:c>
      <x:c r="J904" s="6" t="str">
        <x:v>NOT_EXECUTED_BY_INVENTORY. SOURCE_LITERAL_OR_TRANSITIVE_HELPER_UNION</x:v>
      </x:c>
    </x:row>
    <x:row r="905" ht="42" customHeight="1">
      <x:c r="A905" s="15" t="str">
        <x:v>API-701</x:v>
      </x:c>
      <x:c r="B905" s="13" t="str">
        <x:v>GET</x:v>
      </x:c>
      <x:c r="C905" s="13" t="str">
        <x:v>/api/v1/risk-governance/admin/configurations</x:v>
      </x:c>
      <x:c r="D905" s="13" t="str">
        <x:v>ADMIN MODE</x:v>
      </x:c>
      <x:c r="E905" s="13" t="str">
        <x:v>risk_governance</x:v>
      </x:c>
      <x:c r="F905" s="13" t="str">
        <x:v>configurations</x:v>
      </x:c>
      <x:c r="G905" s="13" t="str">
        <x:v>risk_governance.admin.configure</x:v>
      </x:c>
      <x:c r="H905" s="13" t="str">
        <x:v>LIVE_ROUTER_REGISTERED</x:v>
      </x:c>
      <x:c r="I905" s="13" t="str">
        <x:v>NO_DIRECT_LITERAL_MATCH_NOT_PROOF_UNUSED</x:v>
      </x:c>
      <x:c r="J905" s="13" t="str">
        <x:v>NOT_EXECUTED_BY_INVENTORY. SOURCE_LITERAL_OR_TRANSITIVE_HELPER_UNION</x:v>
      </x:c>
    </x:row>
    <x:row r="906" ht="42" customHeight="1">
      <x:c r="A906" s="14" t="str">
        <x:v>API-702</x:v>
      </x:c>
      <x:c r="B906" s="6" t="str">
        <x:v>GET</x:v>
      </x:c>
      <x:c r="C906" s="6" t="str">
        <x:v>/api/v1/risk-governance/admin/configurations/{configuration_id}</x:v>
      </x:c>
      <x:c r="D906" s="6" t="str">
        <x:v>ADMIN MODE</x:v>
      </x:c>
      <x:c r="E906" s="6" t="str">
        <x:v>risk_governance</x:v>
      </x:c>
      <x:c r="F906" s="6" t="str">
        <x:v>configuration</x:v>
      </x:c>
      <x:c r="G906" s="6" t="str">
        <x:v>risk_governance.admin.configure</x:v>
      </x:c>
      <x:c r="H906" s="6" t="str">
        <x:v>LIVE_ROUTER_REGISTERED</x:v>
      </x:c>
      <x:c r="I906" s="6" t="str">
        <x:v>NO_DIRECT_LITERAL_MATCH_NOT_PROOF_UNUSED</x:v>
      </x:c>
      <x:c r="J906" s="6" t="str">
        <x:v>NOT_EXECUTED_BY_INVENTORY. SOURCE_LITERAL_OR_TRANSITIVE_HELPER_UNION</x:v>
      </x:c>
    </x:row>
    <x:row r="907" ht="42" customHeight="1">
      <x:c r="A907" s="15" t="str">
        <x:v>API-703</x:v>
      </x:c>
      <x:c r="B907" s="13" t="str">
        <x:v>PUT</x:v>
      </x:c>
      <x:c r="C907" s="13" t="str">
        <x:v>/api/v1/risk-governance/admin/configurations/{configuration_id}</x:v>
      </x:c>
      <x:c r="D907" s="13" t="str">
        <x:v>ADMIN MODE</x:v>
      </x:c>
      <x:c r="E907" s="13" t="str">
        <x:v>risk_governance</x:v>
      </x:c>
      <x:c r="F907" s="13" t="str">
        <x:v>update configuration</x:v>
      </x:c>
      <x:c r="G907" s="13" t="str">
        <x:v>risk_governance.admin.configure</x:v>
      </x:c>
      <x:c r="H907" s="13" t="str">
        <x:v>LIVE_ROUTER_REGISTERED</x:v>
      </x:c>
      <x:c r="I907" s="13" t="str">
        <x:v>NO_DIRECT_LITERAL_MATCH_NOT_PROOF_UNUSED</x:v>
      </x:c>
      <x:c r="J907" s="13" t="str">
        <x:v>NOT_EXECUTED_BY_INVENTORY. SOURCE_LITERAL_OR_TRANSITIVE_HELPER_UNION</x:v>
      </x:c>
    </x:row>
    <x:row r="908" ht="42" customHeight="1">
      <x:c r="A908" s="14" t="str">
        <x:v>API-704</x:v>
      </x:c>
      <x:c r="B908" s="6" t="str">
        <x:v>POST</x:v>
      </x:c>
      <x:c r="C908" s="6" t="str">
        <x:v>/api/v1/risk-governance/admin/configurations/{configuration_id}/archive</x:v>
      </x:c>
      <x:c r="D908" s="6" t="str">
        <x:v>ADMIN MODE</x:v>
      </x:c>
      <x:c r="E908" s="6" t="str">
        <x:v>risk_governance</x:v>
      </x:c>
      <x:c r="F908" s="6" t="str">
        <x:v>archive configuration</x:v>
      </x:c>
      <x:c r="G908" s="6" t="str">
        <x:v>risk_governance.admin.publish</x:v>
      </x:c>
      <x:c r="H908" s="6" t="str">
        <x:v>LIVE_ROUTER_REGISTERED</x:v>
      </x:c>
      <x:c r="I908" s="6" t="str">
        <x:v>NO_DIRECT_LITERAL_MATCH_NOT_PROOF_UNUSED</x:v>
      </x:c>
      <x:c r="J908" s="6" t="str">
        <x:v>NOT_EXECUTED_BY_INVENTORY. SOURCE_LITERAL_OR_TRANSITIVE_HELPER_UNION</x:v>
      </x:c>
    </x:row>
    <x:row r="909" ht="42" customHeight="1">
      <x:c r="A909" s="15" t="str">
        <x:v>API-705</x:v>
      </x:c>
      <x:c r="B909" s="13" t="str">
        <x:v>POST</x:v>
      </x:c>
      <x:c r="C909" s="13" t="str">
        <x:v>/api/v1/risk-governance/admin/configurations/{configuration_id}/clone</x:v>
      </x:c>
      <x:c r="D909" s="13" t="str">
        <x:v>ADMIN MODE</x:v>
      </x:c>
      <x:c r="E909" s="13" t="str">
        <x:v>risk_governance</x:v>
      </x:c>
      <x:c r="F909" s="13" t="str">
        <x:v>clone configuration</x:v>
      </x:c>
      <x:c r="G909" s="13" t="str">
        <x:v>risk_governance.admin.configure</x:v>
      </x:c>
      <x:c r="H909" s="13" t="str">
        <x:v>LIVE_ROUTER_REGISTERED</x:v>
      </x:c>
      <x:c r="I909" s="13" t="str">
        <x:v>NO_DIRECT_LITERAL_MATCH_NOT_PROOF_UNUSED</x:v>
      </x:c>
      <x:c r="J909" s="13" t="str">
        <x:v>NOT_EXECUTED_BY_INVENTORY. SOURCE_LITERAL_OR_TRANSITIVE_HELPER_UNION</x:v>
      </x:c>
    </x:row>
    <x:row r="910" ht="42" customHeight="1">
      <x:c r="A910" s="14" t="str">
        <x:v>API-706</x:v>
      </x:c>
      <x:c r="B910" s="6" t="str">
        <x:v>POST</x:v>
      </x:c>
      <x:c r="C910" s="6" t="str">
        <x:v>/api/v1/risk-governance/admin/configurations/{configuration_id}/publish</x:v>
      </x:c>
      <x:c r="D910" s="6" t="str">
        <x:v>ADMIN MODE</x:v>
      </x:c>
      <x:c r="E910" s="6" t="str">
        <x:v>risk_governance</x:v>
      </x:c>
      <x:c r="F910" s="6" t="str">
        <x:v>publish configuration</x:v>
      </x:c>
      <x:c r="G910" s="6" t="str">
        <x:v>risk_governance.admin.publish</x:v>
      </x:c>
      <x:c r="H910" s="6" t="str">
        <x:v>LIVE_ROUTER_REGISTERED</x:v>
      </x:c>
      <x:c r="I910" s="6" t="str">
        <x:v>NO_DIRECT_LITERAL_MATCH_NOT_PROOF_UNUSED</x:v>
      </x:c>
      <x:c r="J910" s="6" t="str">
        <x:v>NOT_EXECUTED_BY_INVENTORY. SOURCE_LITERAL_OR_TRANSITIVE_HELPER_UNION</x:v>
      </x:c>
    </x:row>
    <x:row r="911" ht="42" customHeight="1">
      <x:c r="A911" s="15" t="str">
        <x:v>API-707</x:v>
      </x:c>
      <x:c r="B911" s="13" t="str">
        <x:v>GET</x:v>
      </x:c>
      <x:c r="C911" s="13" t="str">
        <x:v>/api/v1/risk-governance/admin/effective-preview</x:v>
      </x:c>
      <x:c r="D911" s="13" t="str">
        <x:v>ADMIN MODE</x:v>
      </x:c>
      <x:c r="E911" s="13" t="str">
        <x:v>risk_governance</x:v>
      </x:c>
      <x:c r="F911" s="13" t="str">
        <x:v>effective preview</x:v>
      </x:c>
      <x:c r="G911" s="13" t="str">
        <x:v>risk_governance.admin.configure</x:v>
      </x:c>
      <x:c r="H911" s="13" t="str">
        <x:v>LIVE_ROUTER_REGISTERED</x:v>
      </x:c>
      <x:c r="I911" s="13" t="str">
        <x:v>NO_DIRECT_LITERAL_MATCH_NOT_PROOF_UNUSED</x:v>
      </x:c>
      <x:c r="J911" s="13" t="str">
        <x:v>NOT_EXECUTED_BY_INVENTORY. SOURCE_LITERAL_OR_TRANSITIVE_HELPER_UNION</x:v>
      </x:c>
    </x:row>
    <x:row r="912" ht="42" customHeight="1">
      <x:c r="A912" s="14" t="str">
        <x:v>API-708</x:v>
      </x:c>
      <x:c r="B912" s="6" t="str">
        <x:v>GET</x:v>
      </x:c>
      <x:c r="C912" s="6" t="str">
        <x:v>/api/v1/risk-governance/admin/history</x:v>
      </x:c>
      <x:c r="D912" s="6" t="str">
        <x:v>ADMIN MODE</x:v>
      </x:c>
      <x:c r="E912" s="6" t="str">
        <x:v>risk_governance</x:v>
      </x:c>
      <x:c r="F912" s="6" t="str">
        <x:v>configurations</x:v>
      </x:c>
      <x:c r="G912" s="6" t="str">
        <x:v>risk_governance.admin.configure</x:v>
      </x:c>
      <x:c r="H912" s="6" t="str">
        <x:v>LIVE_ROUTER_REGISTERED</x:v>
      </x:c>
      <x:c r="I912" s="6" t="str">
        <x:v>NO_DIRECT_LITERAL_MATCH_NOT_PROOF_UNUSED</x:v>
      </x:c>
      <x:c r="J912" s="6" t="str">
        <x:v>NOT_EXECUTED_BY_INVENTORY. SOURCE_LITERAL_OR_TRANSITIVE_HELPER_UNION</x:v>
      </x:c>
    </x:row>
    <x:row r="913" ht="42" customHeight="1">
      <x:c r="A913" s="15" t="str">
        <x:v>API-709</x:v>
      </x:c>
      <x:c r="B913" s="13" t="str">
        <x:v>POST</x:v>
      </x:c>
      <x:c r="C913" s="13" t="str">
        <x:v>/api/v1/risk-governance/admin/preview</x:v>
      </x:c>
      <x:c r="D913" s="13" t="str">
        <x:v>ADMIN MODE</x:v>
      </x:c>
      <x:c r="E913" s="13" t="str">
        <x:v>risk_governance</x:v>
      </x:c>
      <x:c r="F913" s="13" t="str">
        <x:v>preview</x:v>
      </x:c>
      <x:c r="G913" s="13" t="str">
        <x:v>risk_governance.admin.configure</x:v>
      </x:c>
      <x:c r="H913" s="13" t="str">
        <x:v>LIVE_ROUTER_REGISTERED</x:v>
      </x:c>
      <x:c r="I913" s="13" t="str">
        <x:v>NO_DIRECT_LITERAL_MATCH_NOT_PROOF_UNUSED</x:v>
      </x:c>
      <x:c r="J913" s="13" t="str">
        <x:v>NOT_EXECUTED_BY_INVENTORY. SOURCE_LITERAL_OR_TRANSITIVE_HELPER_UNION</x:v>
      </x:c>
    </x:row>
    <x:row r="914" ht="42" customHeight="1">
      <x:c r="A914" s="14" t="str">
        <x:v>API-710</x:v>
      </x:c>
      <x:c r="B914" s="6" t="str">
        <x:v>GET</x:v>
      </x:c>
      <x:c r="C914" s="6" t="str">
        <x:v>/api/v1/risk-governance/effective</x:v>
      </x:c>
      <x:c r="D914" s="6" t="str">
        <x:v>READ-ONLY SHARED CONTEXT</x:v>
      </x:c>
      <x:c r="E914" s="6" t="str">
        <x:v>risk_governance</x:v>
      </x:c>
      <x:c r="F914" s="6" t="str">
        <x:v>effective</x:v>
      </x:c>
      <x:c r="G914" s="6" t="str">
        <x:v>risk_governance.read</x:v>
      </x:c>
      <x:c r="H914" s="6" t="str">
        <x:v>LIVE_ROUTER_REGISTERED</x:v>
      </x:c>
      <x:c r="I914" s="6" t="str">
        <x:v>frontend/src/features/risk-governance/policyApi.ts</x:v>
      </x:c>
      <x:c r="J914" s="6" t="str">
        <x:v>NOT_EXECUTED_BY_INVENTORY. SOURCE_LITERAL_OR_TRANSITIVE_HELPER_UNION</x:v>
      </x:c>
    </x:row>
    <x:row r="915" ht="42" customHeight="1">
      <x:c r="A915" s="15" t="str">
        <x:v>API-711</x:v>
      </x:c>
      <x:c r="B915" s="13" t="str">
        <x:v>GET</x:v>
      </x:c>
      <x:c r="C915" s="13" t="str">
        <x:v>/api/v1/risk-governance/operators</x:v>
      </x:c>
      <x:c r="D915" s="13" t="str">
        <x:v>READ-ONLY SHARED CONTEXT</x:v>
      </x:c>
      <x:c r="E915" s="13" t="str">
        <x:v>risk_governance</x:v>
      </x:c>
      <x:c r="F915" s="13" t="str">
        <x:v>operators</x:v>
      </x:c>
      <x:c r="G915" s="13" t="str">
        <x:v>risk_governance.read</x:v>
      </x:c>
      <x:c r="H915" s="13" t="str">
        <x:v>LIVE_ROUTER_REGISTERED</x:v>
      </x:c>
      <x:c r="I915" s="13" t="str">
        <x:v>NO_DIRECT_LITERAL_MATCH_NOT_PROOF_UNUSED</x:v>
      </x:c>
      <x:c r="J915" s="13" t="str">
        <x:v>NOT_EXECUTED_BY_INVENTORY. SOURCE_LITERAL_OR_TRANSITIVE_HELPER_UNION</x:v>
      </x:c>
    </x:row>
    <x:row r="916" ht="42" customHeight="1">
      <x:c r="A916" s="14" t="str">
        <x:v>API-712</x:v>
      </x:c>
      <x:c r="B916" s="6" t="str">
        <x:v>POST</x:v>
      </x:c>
      <x:c r="C916" s="6" t="str">
        <x:v>/api/v1/risk-governance/threshold-evaluation</x:v>
      </x:c>
      <x:c r="D916" s="6" t="str">
        <x:v>USER MODE</x:v>
      </x:c>
      <x:c r="E916" s="6" t="str">
        <x:v>risk_governance</x:v>
      </x:c>
      <x:c r="F916" s="6" t="str">
        <x:v>evaluate threshold</x:v>
      </x:c>
      <x:c r="G916" s="6" t="str">
        <x:v>risk_governance.read</x:v>
      </x:c>
      <x:c r="H916" s="6" t="str">
        <x:v>LIVE_ROUTER_REGISTERED</x:v>
      </x:c>
      <x:c r="I916" s="6" t="str">
        <x:v>NO_DIRECT_LITERAL_MATCH_NOT_PROOF_UNUSED</x:v>
      </x:c>
      <x:c r="J916" s="6" t="str">
        <x:v>NOT_EXECUTED_BY_INVENTORY. SOURCE_LITERAL_OR_TRANSITIVE_HELPER_UNION</x:v>
      </x:c>
    </x:row>
    <x:row r="917" ht="42" customHeight="1">
      <x:c r="A917" s="15" t="str">
        <x:v>API-713</x:v>
      </x:c>
      <x:c r="B917" s="13" t="str">
        <x:v>GET</x:v>
      </x:c>
      <x:c r="C917" s="13" t="str">
        <x:v>/api/v1/portfolios/{portfolio_id}/investment-gate-risk-evidence</x:v>
      </x:c>
      <x:c r="D917" s="13" t="str">
        <x:v>READ-ONLY SHARED CONTEXT</x:v>
      </x:c>
      <x:c r="E917" s="13" t="str">
        <x:v>risk_readiness</x:v>
      </x:c>
      <x:c r="F917" s="13" t="str">
        <x:v>investment gate evidence</x:v>
      </x:c>
      <x:c r="G917" s="13" t="str">
        <x:v>investment_gate_risk_evidence.read</x:v>
      </x:c>
      <x:c r="H917" s="13" t="str">
        <x:v>LIVE_ROUTER_REGISTERED</x:v>
      </x:c>
      <x:c r="I917" s="13" t="str">
        <x:v>frontend/src/features/risk-readiness/api.ts</x:v>
      </x:c>
      <x:c r="J917" s="13" t="str">
        <x:v>NOT_EXECUTED_BY_INVENTORY. SOURCE_LITERAL_OR_TRANSITIVE_HELPER_UNION</x:v>
      </x:c>
    </x:row>
    <x:row r="918" ht="42" customHeight="1">
      <x:c r="A918" s="14" t="str">
        <x:v>API-714</x:v>
      </x:c>
      <x:c r="B918" s="6" t="str">
        <x:v>GET</x:v>
      </x:c>
      <x:c r="C918" s="6" t="str">
        <x:v>/api/v1/portfolios/{portfolio_id}/projects-risk-readiness</x:v>
      </x:c>
      <x:c r="D918" s="6" t="str">
        <x:v>READ-ONLY SHARED CONTEXT</x:v>
      </x:c>
      <x:c r="E918" s="6" t="str">
        <x:v>risk_readiness</x:v>
      </x:c>
      <x:c r="F918" s="6" t="str">
        <x:v>portfolio projects</x:v>
      </x:c>
      <x:c r="G918" s="6" t="str">
        <x:v>risk_readiness.read</x:v>
      </x:c>
      <x:c r="H918" s="6" t="str">
        <x:v>LIVE_ROUTER_REGISTERED</x:v>
      </x:c>
      <x:c r="I918" s="6" t="str">
        <x:v>NO_DIRECT_LITERAL_MATCH_NOT_PROOF_UNUSED</x:v>
      </x:c>
      <x:c r="J918" s="6" t="str">
        <x:v>NOT_EXECUTED_BY_INVENTORY. SOURCE_LITERAL_OR_TRANSITIVE_HELPER_UNION</x:v>
      </x:c>
    </x:row>
    <x:row r="919" ht="42" customHeight="1">
      <x:c r="A919" s="15" t="str">
        <x:v>API-715</x:v>
      </x:c>
      <x:c r="B919" s="13" t="str">
        <x:v>GET</x:v>
      </x:c>
      <x:c r="C919" s="13" t="str">
        <x:v>/api/v1/portfolios/{portfolio_id}/risk-readiness</x:v>
      </x:c>
      <x:c r="D919" s="13" t="str">
        <x:v>READ-ONLY SHARED CONTEXT</x:v>
      </x:c>
      <x:c r="E919" s="13" t="str">
        <x:v>risk_readiness</x:v>
      </x:c>
      <x:c r="F919" s="13" t="str">
        <x:v>portfolio readiness</x:v>
      </x:c>
      <x:c r="G919" s="13" t="str">
        <x:v>risk_readiness.read</x:v>
      </x:c>
      <x:c r="H919" s="13" t="str">
        <x:v>LIVE_ROUTER_REGISTERED</x:v>
      </x:c>
      <x:c r="I919" s="13" t="str">
        <x:v>frontend/src/features/risk-readiness/api.ts</x:v>
      </x:c>
      <x:c r="J919" s="13" t="str">
        <x:v>NOT_EXECUTED_BY_INVENTORY. SOURCE_LITERAL_OR_TRANSITIVE_HELPER_UNION</x:v>
      </x:c>
    </x:row>
    <x:row r="920" ht="42" customHeight="1">
      <x:c r="A920" s="14" t="str">
        <x:v>API-716</x:v>
      </x:c>
      <x:c r="B920" s="6" t="str">
        <x:v>GET</x:v>
      </x:c>
      <x:c r="C920" s="6" t="str">
        <x:v>/api/v1/projects/{project_id}/risk-readiness</x:v>
      </x:c>
      <x:c r="D920" s="6" t="str">
        <x:v>READ-ONLY SHARED CONTEXT</x:v>
      </x:c>
      <x:c r="E920" s="6" t="str">
        <x:v>risk_readiness</x:v>
      </x:c>
      <x:c r="F920" s="6" t="str">
        <x:v>project readiness</x:v>
      </x:c>
      <x:c r="G920" s="6" t="str">
        <x:v>risk_readiness.read</x:v>
      </x:c>
      <x:c r="H920" s="6" t="str">
        <x:v>LIVE_ROUTER_REGISTERED</x:v>
      </x:c>
      <x:c r="I920" s="6" t="str">
        <x:v>frontend/src/features/risk-readiness/api.ts</x:v>
      </x:c>
      <x:c r="J920" s="6" t="str">
        <x:v>NOT_EXECUTED_BY_INVENTORY. SOURCE_LITERAL_OR_TRANSITIVE_HELPER_UNION</x:v>
      </x:c>
    </x:row>
    <x:row r="921" ht="42" customHeight="1">
      <x:c r="A921" s="15" t="str">
        <x:v>API-717</x:v>
      </x:c>
      <x:c r="B921" s="13" t="str">
        <x:v>GET</x:v>
      </x:c>
      <x:c r="C921" s="13" t="str">
        <x:v>/api/v1/projects/{project_id}/risk-readiness-assessments</x:v>
      </x:c>
      <x:c r="D921" s="13" t="str">
        <x:v>READ-ONLY SHARED CONTEXT</x:v>
      </x:c>
      <x:c r="E921" s="13" t="str">
        <x:v>risk_readiness</x:v>
      </x:c>
      <x:c r="F921" s="13" t="str">
        <x:v>assessments</x:v>
      </x:c>
      <x:c r="G921" s="13" t="str">
        <x:v>risk_readiness.read</x:v>
      </x:c>
      <x:c r="H921" s="13" t="str">
        <x:v>LIVE_ROUTER_REGISTERED</x:v>
      </x:c>
      <x:c r="I921" s="13" t="str">
        <x:v>frontend/src/features/risk-readiness/api.ts</x:v>
      </x:c>
      <x:c r="J921" s="13" t="str">
        <x:v>NOT_EXECUTED_BY_INVENTORY. SOURCE_LITERAL_OR_TRANSITIVE_HELPER_UNION</x:v>
      </x:c>
    </x:row>
    <x:row r="922" ht="42" customHeight="1">
      <x:c r="A922" s="14" t="str">
        <x:v>API-718</x:v>
      </x:c>
      <x:c r="B922" s="6" t="str">
        <x:v>POST</x:v>
      </x:c>
      <x:c r="C922" s="6" t="str">
        <x:v>/api/v1/projects/{project_id}/risk-readiness-assessments</x:v>
      </x:c>
      <x:c r="D922" s="6" t="str">
        <x:v>USER MODE</x:v>
      </x:c>
      <x:c r="E922" s="6" t="str">
        <x:v>risk_readiness</x:v>
      </x:c>
      <x:c r="F922" s="6" t="str">
        <x:v>create assessment</x:v>
      </x:c>
      <x:c r="G922" s="6" t="str">
        <x:v>risk_readiness_assessment.create</x:v>
      </x:c>
      <x:c r="H922" s="6" t="str">
        <x:v>LIVE_ROUTER_REGISTERED</x:v>
      </x:c>
      <x:c r="I922" s="6" t="str">
        <x:v>frontend/src/features/risk-readiness/api.ts</x:v>
      </x:c>
      <x:c r="J922" s="6" t="str">
        <x:v>NOT_EXECUTED_BY_INVENTORY. SOURCE_LITERAL_OR_TRANSITIVE_HELPER_UNION</x:v>
      </x:c>
    </x:row>
    <x:row r="923" ht="42" customHeight="1">
      <x:c r="A923" s="15" t="str">
        <x:v>API-719</x:v>
      </x:c>
      <x:c r="B923" s="13" t="str">
        <x:v>POST</x:v>
      </x:c>
      <x:c r="C923" s="13" t="str">
        <x:v>/api/v1/projects/{project_id}/risk-readiness/refresh</x:v>
      </x:c>
      <x:c r="D923" s="13" t="str">
        <x:v>USER MODE</x:v>
      </x:c>
      <x:c r="E923" s="13" t="str">
        <x:v>risk_readiness</x:v>
      </x:c>
      <x:c r="F923" s="13" t="str">
        <x:v>refresh apply</x:v>
      </x:c>
      <x:c r="G923" s="13" t="str">
        <x:v>risk_readiness.refresh</x:v>
      </x:c>
      <x:c r="H923" s="13" t="str">
        <x:v>LIVE_ROUTER_REGISTERED</x:v>
      </x:c>
      <x:c r="I923" s="13" t="str">
        <x:v>NO_DIRECT_LITERAL_MATCH_NOT_PROOF_UNUSED</x:v>
      </x:c>
      <x:c r="J923" s="13" t="str">
        <x:v>NOT_EXECUTED_BY_INVENTORY. SOURCE_LITERAL_OR_TRANSITIVE_HELPER_UNION</x:v>
      </x:c>
    </x:row>
    <x:row r="924" ht="42" customHeight="1">
      <x:c r="A924" s="14" t="str">
        <x:v>API-720</x:v>
      </x:c>
      <x:c r="B924" s="6" t="str">
        <x:v>GET</x:v>
      </x:c>
      <x:c r="C924" s="6" t="str">
        <x:v>/api/v1/projects/{project_id}/risk-readiness/refresh-preview</x:v>
      </x:c>
      <x:c r="D924" s="6" t="str">
        <x:v>READ-ONLY SHARED CONTEXT</x:v>
      </x:c>
      <x:c r="E924" s="6" t="str">
        <x:v>risk_readiness</x:v>
      </x:c>
      <x:c r="F924" s="6" t="str">
        <x:v>refresh preview</x:v>
      </x:c>
      <x:c r="G924" s="6" t="str">
        <x:v>risk_readiness.refresh</x:v>
      </x:c>
      <x:c r="H924" s="6" t="str">
        <x:v>LIVE_ROUTER_REGISTERED</x:v>
      </x:c>
      <x:c r="I924" s="6" t="str">
        <x:v>frontend/src/features/risk-readiness/api.ts</x:v>
      </x:c>
      <x:c r="J924" s="6" t="str">
        <x:v>NOT_EXECUTED_BY_INVENTORY. SOURCE_LITERAL_OR_TRANSITIVE_HELPER_UNION</x:v>
      </x:c>
    </x:row>
    <x:row r="925" ht="42" customHeight="1">
      <x:c r="A925" s="15" t="str">
        <x:v>API-721</x:v>
      </x:c>
      <x:c r="B925" s="13" t="str">
        <x:v>GET</x:v>
      </x:c>
      <x:c r="C925" s="13" t="str">
        <x:v>/api/v1/projects/{project_id}/risks</x:v>
      </x:c>
      <x:c r="D925" s="13" t="str">
        <x:v>READ-ONLY SHARED CONTEXT</x:v>
      </x:c>
      <x:c r="E925" s="13" t="str">
        <x:v>risk_readiness</x:v>
      </x:c>
      <x:c r="F925" s="13" t="str">
        <x:v>risks</x:v>
      </x:c>
      <x:c r="G925" s="13" t="str">
        <x:v>project_risk.read</x:v>
      </x:c>
      <x:c r="H925" s="13" t="str">
        <x:v>LIVE_ROUTER_REGISTERED</x:v>
      </x:c>
      <x:c r="I925" s="13" t="str">
        <x:v>frontend/src/features/risk-readiness/api.ts</x:v>
      </x:c>
      <x:c r="J925" s="13" t="str">
        <x:v>NOT_EXECUTED_BY_INVENTORY. SOURCE_LITERAL_OR_TRANSITIVE_HELPER_UNION</x:v>
      </x:c>
    </x:row>
    <x:row r="926" ht="42" customHeight="1">
      <x:c r="A926" s="14" t="str">
        <x:v>API-722</x:v>
      </x:c>
      <x:c r="B926" s="6" t="str">
        <x:v>POST</x:v>
      </x:c>
      <x:c r="C926" s="6" t="str">
        <x:v>/api/v1/projects/{project_id}/risks</x:v>
      </x:c>
      <x:c r="D926" s="6" t="str">
        <x:v>USER MODE</x:v>
      </x:c>
      <x:c r="E926" s="6" t="str">
        <x:v>risk_readiness</x:v>
      </x:c>
      <x:c r="F926" s="6" t="str">
        <x:v>create risk</x:v>
      </x:c>
      <x:c r="G926" s="6" t="str">
        <x:v>project_risk.create</x:v>
      </x:c>
      <x:c r="H926" s="6" t="str">
        <x:v>LIVE_ROUTER_REGISTERED</x:v>
      </x:c>
      <x:c r="I926" s="6" t="str">
        <x:v>frontend/src/features/risk-readiness/api.ts</x:v>
      </x:c>
      <x:c r="J926" s="6" t="str">
        <x:v>NOT_EXECUTED_BY_INVENTORY. SOURCE_LITERAL_OR_TRANSITIVE_HELPER_UNION</x:v>
      </x:c>
    </x:row>
    <x:row r="927" ht="42" customHeight="1">
      <x:c r="A927" s="15" t="str">
        <x:v>API-723</x:v>
      </x:c>
      <x:c r="B927" s="13" t="str">
        <x:v>GET</x:v>
      </x:c>
      <x:c r="C927" s="13" t="str">
        <x:v>/api/v1/risk-readiness-assessments/{assessment_id}</x:v>
      </x:c>
      <x:c r="D927" s="13" t="str">
        <x:v>READ-ONLY SHARED CONTEXT</x:v>
      </x:c>
      <x:c r="E927" s="13" t="str">
        <x:v>risk_readiness</x:v>
      </x:c>
      <x:c r="F927" s="13" t="str">
        <x:v>assessment</x:v>
      </x:c>
      <x:c r="G927" s="13" t="str">
        <x:v>risk_readiness.read</x:v>
      </x:c>
      <x:c r="H927" s="13" t="str">
        <x:v>LIVE_ROUTER_REGISTERED</x:v>
      </x:c>
      <x:c r="I927" s="13" t="str">
        <x:v>NO_DIRECT_LITERAL_MATCH_NOT_PROOF_UNUSED</x:v>
      </x:c>
      <x:c r="J927" s="13" t="str">
        <x:v>NOT_EXECUTED_BY_INVENTORY. SOURCE_LITERAL_OR_TRANSITIVE_HELPER_UNION</x:v>
      </x:c>
    </x:row>
    <x:row r="928" ht="42" customHeight="1">
      <x:c r="A928" s="14" t="str">
        <x:v>API-724</x:v>
      </x:c>
      <x:c r="B928" s="6" t="str">
        <x:v>PUT</x:v>
      </x:c>
      <x:c r="C928" s="6" t="str">
        <x:v>/api/v1/risk-readiness-assessments/{assessment_id}</x:v>
      </x:c>
      <x:c r="D928" s="6" t="str">
        <x:v>USER MODE</x:v>
      </x:c>
      <x:c r="E928" s="6" t="str">
        <x:v>risk_readiness</x:v>
      </x:c>
      <x:c r="F928" s="6" t="str">
        <x:v>update assessment</x:v>
      </x:c>
      <x:c r="G928" s="6" t="str">
        <x:v>risk_readiness_assessment.edit</x:v>
      </x:c>
      <x:c r="H928" s="6" t="str">
        <x:v>LIVE_ROUTER_REGISTERED</x:v>
      </x:c>
      <x:c r="I928" s="6" t="str">
        <x:v>NO_DIRECT_LITERAL_MATCH_NOT_PROOF_UNUSED</x:v>
      </x:c>
      <x:c r="J928" s="6" t="str">
        <x:v>NOT_EXECUTED_BY_INVENTORY. SOURCE_LITERAL_OR_TRANSITIVE_HELPER_UNION</x:v>
      </x:c>
    </x:row>
    <x:row r="929" ht="42" customHeight="1">
      <x:c r="A929" s="15" t="str">
        <x:v>API-725</x:v>
      </x:c>
      <x:c r="B929" s="13" t="str">
        <x:v>POST</x:v>
      </x:c>
      <x:c r="C929" s="13" t="str">
        <x:v>/api/v1/risk-readiness-assessments/{assessment_id}/complete</x:v>
      </x:c>
      <x:c r="D929" s="13" t="str">
        <x:v>USER MODE</x:v>
      </x:c>
      <x:c r="E929" s="13" t="str">
        <x:v>risk_readiness</x:v>
      </x:c>
      <x:c r="F929" s="13" t="str">
        <x:v>complete assessment</x:v>
      </x:c>
      <x:c r="G929" s="13" t="str">
        <x:v>risk_readiness_assessment.complete</x:v>
      </x:c>
      <x:c r="H929" s="13" t="str">
        <x:v>LIVE_ROUTER_REGISTERED</x:v>
      </x:c>
      <x:c r="I929" s="13" t="str">
        <x:v>frontend/src/features/risk-readiness/api.ts</x:v>
      </x:c>
      <x:c r="J929" s="13" t="str">
        <x:v>NOT_EXECUTED_BY_INVENTORY. SOURCE_LITERAL_OR_TRANSITIVE_HELPER_UNION</x:v>
      </x:c>
    </x:row>
    <x:row r="930" ht="42" customHeight="1">
      <x:c r="A930" s="14" t="str">
        <x:v>API-726</x:v>
      </x:c>
      <x:c r="B930" s="6" t="str">
        <x:v>POST</x:v>
      </x:c>
      <x:c r="C930" s="6" t="str">
        <x:v>/api/v1/risk-readiness-assessments/{assessment_id}/reassess</x:v>
      </x:c>
      <x:c r="D930" s="6" t="str">
        <x:v>USER MODE</x:v>
      </x:c>
      <x:c r="E930" s="6" t="str">
        <x:v>risk_readiness</x:v>
      </x:c>
      <x:c r="F930" s="6" t="str">
        <x:v>reassess</x:v>
      </x:c>
      <x:c r="G930" s="6" t="str">
        <x:v>risk_readiness_assessment.reassess</x:v>
      </x:c>
      <x:c r="H930" s="6" t="str">
        <x:v>LIVE_ROUTER_REGISTERED</x:v>
      </x:c>
      <x:c r="I930" s="6" t="str">
        <x:v>NO_DIRECT_LITERAL_MATCH_NOT_PROOF_UNUSED</x:v>
      </x:c>
      <x:c r="J930" s="6" t="str">
        <x:v>NOT_EXECUTED_BY_INVENTORY. SOURCE_LITERAL_OR_TRANSITIVE_HELPER_UNION</x:v>
      </x:c>
    </x:row>
    <x:row r="931" ht="42" customHeight="1">
      <x:c r="A931" s="15" t="str">
        <x:v>API-727</x:v>
      </x:c>
      <x:c r="B931" s="13" t="str">
        <x:v>GET</x:v>
      </x:c>
      <x:c r="C931" s="13" t="str">
        <x:v>/api/v1/risk-readiness/admin/configurations</x:v>
      </x:c>
      <x:c r="D931" s="13" t="str">
        <x:v>ADMIN MODE</x:v>
      </x:c>
      <x:c r="E931" s="13" t="str">
        <x:v>risk_readiness</x:v>
      </x:c>
      <x:c r="F931" s="13" t="str">
        <x:v>configurations</x:v>
      </x:c>
      <x:c r="G931" s="13" t="str">
        <x:v>risk_readiness.admin.configure</x:v>
      </x:c>
      <x:c r="H931" s="13" t="str">
        <x:v>LIVE_ROUTER_REGISTERED</x:v>
      </x:c>
      <x:c r="I931" s="13" t="str">
        <x:v>frontend/src/features/risk-readiness/api.ts</x:v>
      </x:c>
      <x:c r="J931" s="13" t="str">
        <x:v>NOT_EXECUTED_BY_INVENTORY. SOURCE_LITERAL_OR_TRANSITIVE_HELPER_UNION</x:v>
      </x:c>
    </x:row>
    <x:row r="932" ht="42" customHeight="1">
      <x:c r="A932" s="14" t="str">
        <x:v>API-728</x:v>
      </x:c>
      <x:c r="B932" s="6" t="str">
        <x:v>POST</x:v>
      </x:c>
      <x:c r="C932" s="6" t="str">
        <x:v>/api/v1/risk-readiness/admin/configurations/preview</x:v>
      </x:c>
      <x:c r="D932" s="6" t="str">
        <x:v>ADMIN MODE</x:v>
      </x:c>
      <x:c r="E932" s="6" t="str">
        <x:v>risk_readiness</x:v>
      </x:c>
      <x:c r="F932" s="6" t="str">
        <x:v>preview configuration</x:v>
      </x:c>
      <x:c r="G932" s="6" t="str">
        <x:v>risk_readiness.admin.configure</x:v>
      </x:c>
      <x:c r="H932" s="6" t="str">
        <x:v>LIVE_ROUTER_REGISTERED</x:v>
      </x:c>
      <x:c r="I932" s="6" t="str">
        <x:v>frontend/src/features/risk-readiness/api.ts</x:v>
      </x:c>
      <x:c r="J932" s="6" t="str">
        <x:v>NOT_EXECUTED_BY_INVENTORY. SOURCE_LITERAL_OR_TRANSITIVE_HELPER_UNION</x:v>
      </x:c>
    </x:row>
    <x:row r="933" ht="42" customHeight="1">
      <x:c r="A933" s="15" t="str">
        <x:v>API-729</x:v>
      </x:c>
      <x:c r="B933" s="13" t="str">
        <x:v>PUT</x:v>
      </x:c>
      <x:c r="C933" s="13" t="str">
        <x:v>/api/v1/risk-readiness/admin/configurations/{configuration_id}</x:v>
      </x:c>
      <x:c r="D933" s="13" t="str">
        <x:v>ADMIN MODE</x:v>
      </x:c>
      <x:c r="E933" s="13" t="str">
        <x:v>risk_readiness</x:v>
      </x:c>
      <x:c r="F933" s="13" t="str">
        <x:v>update configuration</x:v>
      </x:c>
      <x:c r="G933" s="13" t="str">
        <x:v>risk_readiness.admin.configure</x:v>
      </x:c>
      <x:c r="H933" s="13" t="str">
        <x:v>LIVE_ROUTER_REGISTERED</x:v>
      </x:c>
      <x:c r="I933" s="13" t="str">
        <x:v>frontend/src/features/risk-readiness/api.ts</x:v>
      </x:c>
      <x:c r="J933" s="13" t="str">
        <x:v>NOT_EXECUTED_BY_INVENTORY. SOURCE_LITERAL_OR_TRANSITIVE_HELPER_UNION</x:v>
      </x:c>
    </x:row>
    <x:row r="934" ht="42" customHeight="1">
      <x:c r="A934" s="14" t="str">
        <x:v>API-730</x:v>
      </x:c>
      <x:c r="B934" s="6" t="str">
        <x:v>POST</x:v>
      </x:c>
      <x:c r="C934" s="6" t="str">
        <x:v>/api/v1/risk-readiness/admin/configurations/{configuration_id}/clone</x:v>
      </x:c>
      <x:c r="D934" s="6" t="str">
        <x:v>ADMIN MODE</x:v>
      </x:c>
      <x:c r="E934" s="6" t="str">
        <x:v>risk_readiness</x:v>
      </x:c>
      <x:c r="F934" s="6" t="str">
        <x:v>clone configuration</x:v>
      </x:c>
      <x:c r="G934" s="6" t="str">
        <x:v>risk_readiness.admin.configure</x:v>
      </x:c>
      <x:c r="H934" s="6" t="str">
        <x:v>LIVE_ROUTER_REGISTERED</x:v>
      </x:c>
      <x:c r="I934" s="6" t="str">
        <x:v>frontend/src/features/risk-readiness/api.ts</x:v>
      </x:c>
      <x:c r="J934" s="6" t="str">
        <x:v>NOT_EXECUTED_BY_INVENTORY. SOURCE_LITERAL_OR_TRANSITIVE_HELPER_UNION</x:v>
      </x:c>
    </x:row>
    <x:row r="935" ht="42" customHeight="1">
      <x:c r="A935" s="15" t="str">
        <x:v>API-731</x:v>
      </x:c>
      <x:c r="B935" s="13" t="str">
        <x:v>POST</x:v>
      </x:c>
      <x:c r="C935" s="13" t="str">
        <x:v>/api/v1/risk-readiness/admin/configurations/{configuration_id}/publish</x:v>
      </x:c>
      <x:c r="D935" s="13" t="str">
        <x:v>ADMIN MODE</x:v>
      </x:c>
      <x:c r="E935" s="13" t="str">
        <x:v>risk_readiness</x:v>
      </x:c>
      <x:c r="F935" s="13" t="str">
        <x:v>publish configuration</x:v>
      </x:c>
      <x:c r="G935" s="13" t="str">
        <x:v>risk_readiness.admin.publish</x:v>
      </x:c>
      <x:c r="H935" s="13" t="str">
        <x:v>LIVE_ROUTER_REGISTERED</x:v>
      </x:c>
      <x:c r="I935" s="13" t="str">
        <x:v>frontend/src/features/risk-readiness/api.ts</x:v>
      </x:c>
      <x:c r="J935" s="13" t="str">
        <x:v>NOT_EXECUTED_BY_INVENTORY. SOURCE_LITERAL_OR_TRANSITIVE_HELPER_UNION</x:v>
      </x:c>
    </x:row>
    <x:row r="936" ht="42" customHeight="1">
      <x:c r="A936" s="14" t="str">
        <x:v>API-732</x:v>
      </x:c>
      <x:c r="B936" s="6" t="str">
        <x:v>GET</x:v>
      </x:c>
      <x:c r="C936" s="6" t="str">
        <x:v>/api/v1/risk-readiness/overview</x:v>
      </x:c>
      <x:c r="D936" s="6" t="str">
        <x:v>READ-ONLY SHARED CONTEXT</x:v>
      </x:c>
      <x:c r="E936" s="6" t="str">
        <x:v>risk_readiness</x:v>
      </x:c>
      <x:c r="F936" s="6" t="str">
        <x:v>overview</x:v>
      </x:c>
      <x:c r="G936" s="6" t="str">
        <x:v>risk_readiness.read</x:v>
      </x:c>
      <x:c r="H936" s="6" t="str">
        <x:v>LIVE_ROUTER_REGISTERED</x:v>
      </x:c>
      <x:c r="I936" s="6" t="str">
        <x:v>frontend/src/features/risk-readiness/api.ts</x:v>
      </x:c>
      <x:c r="J936" s="6" t="str">
        <x:v>NOT_EXECUTED_BY_INVENTORY. SOURCE_LITERAL_OR_TRANSITIVE_HELPER_UNION</x:v>
      </x:c>
    </x:row>
    <x:row r="937" ht="42" customHeight="1">
      <x:c r="A937" s="15" t="str">
        <x:v>API-733</x:v>
      </x:c>
      <x:c r="B937" s="13" t="str">
        <x:v>GET</x:v>
      </x:c>
      <x:c r="C937" s="13" t="str">
        <x:v>/api/v1/risks/{risk_id}</x:v>
      </x:c>
      <x:c r="D937" s="13" t="str">
        <x:v>READ-ONLY SHARED CONTEXT</x:v>
      </x:c>
      <x:c r="E937" s="13" t="str">
        <x:v>risk_readiness</x:v>
      </x:c>
      <x:c r="F937" s="13" t="str">
        <x:v>risk</x:v>
      </x:c>
      <x:c r="G937" s="13" t="str">
        <x:v>project_risk.read</x:v>
      </x:c>
      <x:c r="H937" s="13" t="str">
        <x:v>LIVE_ROUTER_REGISTERED</x:v>
      </x:c>
      <x:c r="I937" s="13" t="str">
        <x:v>frontend/src/features/risk-readiness/api.ts</x:v>
      </x:c>
      <x:c r="J937" s="13" t="str">
        <x:v>NOT_EXECUTED_BY_INVENTORY. SOURCE_LITERAL_OR_TRANSITIVE_HELPER_UNION</x:v>
      </x:c>
    </x:row>
    <x:row r="938" ht="42" customHeight="1">
      <x:c r="A938" s="14" t="str">
        <x:v>API-734</x:v>
      </x:c>
      <x:c r="B938" s="6" t="str">
        <x:v>PUT</x:v>
      </x:c>
      <x:c r="C938" s="6" t="str">
        <x:v>/api/v1/risks/{risk_id}</x:v>
      </x:c>
      <x:c r="D938" s="6" t="str">
        <x:v>USER MODE</x:v>
      </x:c>
      <x:c r="E938" s="6" t="str">
        <x:v>risk_readiness</x:v>
      </x:c>
      <x:c r="F938" s="6" t="str">
        <x:v>update risk</x:v>
      </x:c>
      <x:c r="G938" s="6" t="str">
        <x:v>project_risk.edit</x:v>
      </x:c>
      <x:c r="H938" s="6" t="str">
        <x:v>LIVE_ROUTER_REGISTERED</x:v>
      </x:c>
      <x:c r="I938" s="6" t="str">
        <x:v>frontend/src/features/risk-readiness/api.ts</x:v>
      </x:c>
      <x:c r="J938" s="6" t="str">
        <x:v>NOT_EXECUTED_BY_INVENTORY. SOURCE_LITERAL_OR_TRANSITIVE_HELPER_UNION</x:v>
      </x:c>
    </x:row>
    <x:row r="939" ht="42" customHeight="1">
      <x:c r="A939" s="15" t="str">
        <x:v>API-735</x:v>
      </x:c>
      <x:c r="B939" s="13" t="str">
        <x:v>POST</x:v>
      </x:c>
      <x:c r="C939" s="13" t="str">
        <x:v>/api/v1/risks/{risk_id}/accept-residual</x:v>
      </x:c>
      <x:c r="D939" s="13" t="str">
        <x:v>USER MODE</x:v>
      </x:c>
      <x:c r="E939" s="13" t="str">
        <x:v>risk_readiness</x:v>
      </x:c>
      <x:c r="F939" s="13" t="str">
        <x:v>accept residual</x:v>
      </x:c>
      <x:c r="G939" s="13" t="str">
        <x:v>project_risk.accept</x:v>
      </x:c>
      <x:c r="H939" s="13" t="str">
        <x:v>LIVE_ROUTER_REGISTERED</x:v>
      </x:c>
      <x:c r="I939" s="13" t="str">
        <x:v>frontend/src/features/risk-readiness/api.ts</x:v>
      </x:c>
      <x:c r="J939" s="13" t="str">
        <x:v>NOT_EXECUTED_BY_INVENTORY. SOURCE_LITERAL_OR_TRANSITIVE_HELPER_UNION</x:v>
      </x:c>
    </x:row>
    <x:row r="940" ht="42" customHeight="1">
      <x:c r="A940" s="14" t="str">
        <x:v>API-736</x:v>
      </x:c>
      <x:c r="B940" s="6" t="str">
        <x:v>POST</x:v>
      </x:c>
      <x:c r="C940" s="6" t="str">
        <x:v>/api/v1/risks/{risk_id}/status</x:v>
      </x:c>
      <x:c r="D940" s="6" t="str">
        <x:v>USER MODE</x:v>
      </x:c>
      <x:c r="E940" s="6" t="str">
        <x:v>risk_readiness</x:v>
      </x:c>
      <x:c r="F940" s="6" t="str">
        <x:v>change risk status</x:v>
      </x:c>
      <x:c r="G940" s="6" t="str">
        <x:v>project_risk.manage_status</x:v>
      </x:c>
      <x:c r="H940" s="6" t="str">
        <x:v>LIVE_ROUTER_REGISTERED</x:v>
      </x:c>
      <x:c r="I940" s="6" t="str">
        <x:v>frontend/src/features/risk-readiness/api.ts</x:v>
      </x:c>
      <x:c r="J940" s="6" t="str">
        <x:v>NOT_EXECUTED_BY_INVENTORY. SOURCE_LITERAL_OR_TRANSITIVE_HELPER_UNION</x:v>
      </x:c>
    </x:row>
    <x:row r="941" ht="42" customHeight="1">
      <x:c r="A941" s="15" t="str">
        <x:v>API-737</x:v>
      </x:c>
      <x:c r="B941" s="13" t="str">
        <x:v>GET</x:v>
      </x:c>
      <x:c r="C941" s="13" t="str">
        <x:v>/api/v1/projects/{project_id}/benefits-readiness-evidence</x:v>
      </x:c>
      <x:c r="D941" s="13" t="str">
        <x:v>READ-ONLY SHARED CONTEXT</x:v>
      </x:c>
      <x:c r="E941" s="13" t="str">
        <x:v>strategic_benefits</x:v>
      </x:c>
      <x:c r="F941" s="13" t="str">
        <x:v>project benefits evidence</x:v>
      </x:c>
      <x:c r="G941" s="13" t="str">
        <x:v>benefits_plan.read</x:v>
      </x:c>
      <x:c r="H941" s="13" t="str">
        <x:v>LIVE_ROUTER_REGISTERED</x:v>
      </x:c>
      <x:c r="I941" s="13" t="str">
        <x:v>frontend/src/features/strategic-benefits/api.ts</x:v>
      </x:c>
      <x:c r="J941" s="13" t="str">
        <x:v>NOT_EXECUTED_BY_INVENTORY. SOURCE_LITERAL_OR_TRANSITIVE_HELPER_UNION</x:v>
      </x:c>
    </x:row>
    <x:row r="942" ht="42" customHeight="1">
      <x:c r="A942" s="14" t="str">
        <x:v>API-738</x:v>
      </x:c>
      <x:c r="B942" s="6" t="str">
        <x:v>GET</x:v>
      </x:c>
      <x:c r="C942" s="6" t="str">
        <x:v>/api/v1/projects/{project_id}/strategic-benefits-plan</x:v>
      </x:c>
      <x:c r="D942" s="6" t="str">
        <x:v>READ-ONLY SHARED CONTEXT</x:v>
      </x:c>
      <x:c r="E942" s="6" t="str">
        <x:v>strategic_benefits</x:v>
      </x:c>
      <x:c r="F942" s="6" t="str">
        <x:v>project plan</x:v>
      </x:c>
      <x:c r="G942" s="6" t="str">
        <x:v>benefits_plan.read</x:v>
      </x:c>
      <x:c r="H942" s="6" t="str">
        <x:v>LIVE_ROUTER_REGISTERED</x:v>
      </x:c>
      <x:c r="I942" s="6" t="str">
        <x:v>frontend/src/features/strategic-benefits/api.ts</x:v>
      </x:c>
      <x:c r="J942" s="6" t="str">
        <x:v>NOT_EXECUTED_BY_INVENTORY. SOURCE_LITERAL_OR_TRANSITIVE_HELPER_UNION</x:v>
      </x:c>
    </x:row>
    <x:row r="943" ht="42" customHeight="1">
      <x:c r="A943" s="15" t="str">
        <x:v>API-739</x:v>
      </x:c>
      <x:c r="B943" s="13" t="str">
        <x:v>GET</x:v>
      </x:c>
      <x:c r="C943" s="13" t="str">
        <x:v>/api/v1/strategic-benefits-plans</x:v>
      </x:c>
      <x:c r="D943" s="13" t="str">
        <x:v>READ-ONLY SHARED CONTEXT</x:v>
      </x:c>
      <x:c r="E943" s="13" t="str">
        <x:v>strategic_benefits</x:v>
      </x:c>
      <x:c r="F943" s="13" t="str">
        <x:v>list plans</x:v>
      </x:c>
      <x:c r="G943" s="13" t="str">
        <x:v>benefits_plan.read</x:v>
      </x:c>
      <x:c r="H943" s="13" t="str">
        <x:v>LIVE_ROUTER_REGISTERED</x:v>
      </x:c>
      <x:c r="I943" s="13" t="str">
        <x:v>frontend/src/features/strategic-benefits/api.ts</x:v>
      </x:c>
      <x:c r="J943" s="13" t="str">
        <x:v>NOT_EXECUTED_BY_INVENTORY. SOURCE_LITERAL_OR_TRANSITIVE_HELPER_UNION</x:v>
      </x:c>
    </x:row>
    <x:row r="944" ht="42" customHeight="1">
      <x:c r="A944" s="14" t="str">
        <x:v>API-740</x:v>
      </x:c>
      <x:c r="B944" s="6" t="str">
        <x:v>POST</x:v>
      </x:c>
      <x:c r="C944" s="6" t="str">
        <x:v>/api/v1/strategic-benefits-plans</x:v>
      </x:c>
      <x:c r="D944" s="6" t="str">
        <x:v>USER MODE</x:v>
      </x:c>
      <x:c r="E944" s="6" t="str">
        <x:v>strategic_benefits</x:v>
      </x:c>
      <x:c r="F944" s="6" t="str">
        <x:v>create plan</x:v>
      </x:c>
      <x:c r="G944" s="6" t="str">
        <x:v>benefits_plan.create</x:v>
      </x:c>
      <x:c r="H944" s="6" t="str">
        <x:v>LIVE_ROUTER_REGISTERED</x:v>
      </x:c>
      <x:c r="I944" s="6" t="str">
        <x:v>frontend/src/features/strategic-benefits/api.ts</x:v>
      </x:c>
      <x:c r="J944" s="6" t="str">
        <x:v>NOT_EXECUTED_BY_INVENTORY. SOURCE_LITERAL_OR_TRANSITIVE_HELPER_UNION</x:v>
      </x:c>
    </x:row>
    <x:row r="945" ht="42" customHeight="1">
      <x:c r="A945" s="15" t="str">
        <x:v>API-741</x:v>
      </x:c>
      <x:c r="B945" s="13" t="str">
        <x:v>GET</x:v>
      </x:c>
      <x:c r="C945" s="13" t="str">
        <x:v>/api/v1/strategic-benefits-plans/admin/configurations</x:v>
      </x:c>
      <x:c r="D945" s="13" t="str">
        <x:v>ADMIN MODE</x:v>
      </x:c>
      <x:c r="E945" s="13" t="str">
        <x:v>strategic_benefits</x:v>
      </x:c>
      <x:c r="F945" s="13" t="str">
        <x:v>configurations</x:v>
      </x:c>
      <x:c r="G945" s="13" t="str">
        <x:v>benefits_plan.admin.configure</x:v>
      </x:c>
      <x:c r="H945" s="13" t="str">
        <x:v>LIVE_ROUTER_REGISTERED</x:v>
      </x:c>
      <x:c r="I945" s="13" t="str">
        <x:v>frontend/src/features/strategic-benefits/api.ts</x:v>
      </x:c>
      <x:c r="J945" s="13" t="str">
        <x:v>NOT_EXECUTED_BY_INVENTORY. SOURCE_LITERAL_OR_TRANSITIVE_HELPER_UNION</x:v>
      </x:c>
    </x:row>
    <x:row r="946" ht="42" customHeight="1">
      <x:c r="A946" s="14" t="str">
        <x:v>API-742</x:v>
      </x:c>
      <x:c r="B946" s="6" t="str">
        <x:v>POST</x:v>
      </x:c>
      <x:c r="C946" s="6" t="str">
        <x:v>/api/v1/strategic-benefits-plans/admin/configurations/effective-preview</x:v>
      </x:c>
      <x:c r="D946" s="6" t="str">
        <x:v>ADMIN MODE</x:v>
      </x:c>
      <x:c r="E946" s="6" t="str">
        <x:v>strategic_benefits</x:v>
      </x:c>
      <x:c r="F946" s="6" t="str">
        <x:v>configuration preview</x:v>
      </x:c>
      <x:c r="G946" s="6" t="str">
        <x:v>benefits_plan.admin.configure</x:v>
      </x:c>
      <x:c r="H946" s="6" t="str">
        <x:v>LIVE_ROUTER_REGISTERED</x:v>
      </x:c>
      <x:c r="I946" s="6" t="str">
        <x:v>frontend/src/features/strategic-benefits/api.ts</x:v>
      </x:c>
      <x:c r="J946" s="6" t="str">
        <x:v>NOT_EXECUTED_BY_INVENTORY. SOURCE_LITERAL_OR_TRANSITIVE_HELPER_UNION</x:v>
      </x:c>
    </x:row>
    <x:row r="947" ht="42" customHeight="1">
      <x:c r="A947" s="15" t="str">
        <x:v>API-743</x:v>
      </x:c>
      <x:c r="B947" s="13" t="str">
        <x:v>PUT</x:v>
      </x:c>
      <x:c r="C947" s="13" t="str">
        <x:v>/api/v1/strategic-benefits-plans/admin/configurations/{configuration_id}</x:v>
      </x:c>
      <x:c r="D947" s="13" t="str">
        <x:v>ADMIN MODE</x:v>
      </x:c>
      <x:c r="E947" s="13" t="str">
        <x:v>strategic_benefits</x:v>
      </x:c>
      <x:c r="F947" s="13" t="str">
        <x:v>update configuration</x:v>
      </x:c>
      <x:c r="G947" s="13" t="str">
        <x:v>benefits_plan.admin.configure</x:v>
      </x:c>
      <x:c r="H947" s="13" t="str">
        <x:v>LIVE_ROUTER_REGISTERED</x:v>
      </x:c>
      <x:c r="I947" s="13" t="str">
        <x:v>frontend/src/features/strategic-benefits/api.ts</x:v>
      </x:c>
      <x:c r="J947" s="13" t="str">
        <x:v>NOT_EXECUTED_BY_INVENTORY. SOURCE_LITERAL_OR_TRANSITIVE_HELPER_UNION</x:v>
      </x:c>
    </x:row>
    <x:row r="948" ht="42" customHeight="1">
      <x:c r="A948" s="14" t="str">
        <x:v>API-744</x:v>
      </x:c>
      <x:c r="B948" s="6" t="str">
        <x:v>POST</x:v>
      </x:c>
      <x:c r="C948" s="6" t="str">
        <x:v>/api/v1/strategic-benefits-plans/admin/configurations/{configuration_id}/archive</x:v>
      </x:c>
      <x:c r="D948" s="6" t="str">
        <x:v>ADMIN MODE</x:v>
      </x:c>
      <x:c r="E948" s="6" t="str">
        <x:v>strategic_benefits</x:v>
      </x:c>
      <x:c r="F948" s="6" t="str">
        <x:v>archive configuration</x:v>
      </x:c>
      <x:c r="G948" s="6" t="str">
        <x:v>benefits_plan.admin.publish</x:v>
      </x:c>
      <x:c r="H948" s="6" t="str">
        <x:v>LIVE_ROUTER_REGISTERED</x:v>
      </x:c>
      <x:c r="I948" s="6" t="str">
        <x:v>frontend/src/features/strategic-benefits/api.ts</x:v>
      </x:c>
      <x:c r="J948" s="6" t="str">
        <x:v>NOT_EXECUTED_BY_INVENTORY. SOURCE_LITERAL_OR_TRANSITIVE_HELPER_UNION</x:v>
      </x:c>
    </x:row>
    <x:row r="949" ht="42" customHeight="1">
      <x:c r="A949" s="15" t="str">
        <x:v>API-745</x:v>
      </x:c>
      <x:c r="B949" s="13" t="str">
        <x:v>POST</x:v>
      </x:c>
      <x:c r="C949" s="13" t="str">
        <x:v>/api/v1/strategic-benefits-plans/admin/configurations/{configuration_id}/clone</x:v>
      </x:c>
      <x:c r="D949" s="13" t="str">
        <x:v>ADMIN MODE</x:v>
      </x:c>
      <x:c r="E949" s="13" t="str">
        <x:v>strategic_benefits</x:v>
      </x:c>
      <x:c r="F949" s="13" t="str">
        <x:v>clone configuration</x:v>
      </x:c>
      <x:c r="G949" s="13" t="str">
        <x:v>benefits_plan.admin.configure</x:v>
      </x:c>
      <x:c r="H949" s="13" t="str">
        <x:v>LIVE_ROUTER_REGISTERED</x:v>
      </x:c>
      <x:c r="I949" s="13" t="str">
        <x:v>frontend/src/features/strategic-benefits/api.ts</x:v>
      </x:c>
      <x:c r="J949" s="13" t="str">
        <x:v>NOT_EXECUTED_BY_INVENTORY. SOURCE_LITERAL_OR_TRANSITIVE_HELPER_UNION</x:v>
      </x:c>
    </x:row>
    <x:row r="950" ht="42" customHeight="1">
      <x:c r="A950" s="14" t="str">
        <x:v>API-746</x:v>
      </x:c>
      <x:c r="B950" s="6" t="str">
        <x:v>POST</x:v>
      </x:c>
      <x:c r="C950" s="6" t="str">
        <x:v>/api/v1/strategic-benefits-plans/admin/configurations/{configuration_id}/publish</x:v>
      </x:c>
      <x:c r="D950" s="6" t="str">
        <x:v>ADMIN MODE</x:v>
      </x:c>
      <x:c r="E950" s="6" t="str">
        <x:v>strategic_benefits</x:v>
      </x:c>
      <x:c r="F950" s="6" t="str">
        <x:v>publish configuration</x:v>
      </x:c>
      <x:c r="G950" s="6" t="str">
        <x:v>benefits_plan.admin.publish</x:v>
      </x:c>
      <x:c r="H950" s="6" t="str">
        <x:v>LIVE_ROUTER_REGISTERED</x:v>
      </x:c>
      <x:c r="I950" s="6" t="str">
        <x:v>frontend/src/features/strategic-benefits/api.ts</x:v>
      </x:c>
      <x:c r="J950" s="6" t="str">
        <x:v>NOT_EXECUTED_BY_INVENTORY. SOURCE_LITERAL_OR_TRANSITIVE_HELPER_UNION</x:v>
      </x:c>
    </x:row>
    <x:row r="951" ht="42" customHeight="1">
      <x:c r="A951" s="15" t="str">
        <x:v>API-747</x:v>
      </x:c>
      <x:c r="B951" s="13" t="str">
        <x:v>GET</x:v>
      </x:c>
      <x:c r="C951" s="13" t="str">
        <x:v>/api/v1/strategic-benefits-plans/options</x:v>
      </x:c>
      <x:c r="D951" s="13" t="str">
        <x:v>READ-ONLY SHARED CONTEXT</x:v>
      </x:c>
      <x:c r="E951" s="13" t="str">
        <x:v>strategic_benefits</x:v>
      </x:c>
      <x:c r="F951" s="13" t="str">
        <x:v>options</x:v>
      </x:c>
      <x:c r="G951" s="13" t="str">
        <x:v>benefits_plan.read</x:v>
      </x:c>
      <x:c r="H951" s="13" t="str">
        <x:v>LIVE_ROUTER_REGISTERED</x:v>
      </x:c>
      <x:c r="I951" s="13" t="str">
        <x:v>NO_DIRECT_LITERAL_MATCH_NOT_PROOF_UNUSED</x:v>
      </x:c>
      <x:c r="J951" s="13" t="str">
        <x:v>NOT_EXECUTED_BY_INVENTORY. SOURCE_LITERAL_OR_TRANSITIVE_HELPER_UNION</x:v>
      </x:c>
    </x:row>
    <x:row r="952" ht="42" customHeight="1">
      <x:c r="A952" s="14" t="str">
        <x:v>API-748</x:v>
      </x:c>
      <x:c r="B952" s="6" t="str">
        <x:v>GET</x:v>
      </x:c>
      <x:c r="C952" s="6" t="str">
        <x:v>/api/v1/strategic-benefits-plans/{plan_id}</x:v>
      </x:c>
      <x:c r="D952" s="6" t="str">
        <x:v>READ-ONLY SHARED CONTEXT</x:v>
      </x:c>
      <x:c r="E952" s="6" t="str">
        <x:v>strategic_benefits</x:v>
      </x:c>
      <x:c r="F952" s="6" t="str">
        <x:v>get plan</x:v>
      </x:c>
      <x:c r="G952" s="6" t="str">
        <x:v>benefits_plan.read</x:v>
      </x:c>
      <x:c r="H952" s="6" t="str">
        <x:v>LIVE_ROUTER_REGISTERED</x:v>
      </x:c>
      <x:c r="I952" s="6" t="str">
        <x:v>frontend/src/features/strategic-benefits/api.ts</x:v>
      </x:c>
      <x:c r="J952" s="6" t="str">
        <x:v>NOT_EXECUTED_BY_INVENTORY. SOURCE_LITERAL_OR_TRANSITIVE_HELPER_UNION</x:v>
      </x:c>
    </x:row>
    <x:row r="953" ht="42" customHeight="1">
      <x:c r="A953" s="15" t="str">
        <x:v>API-749</x:v>
      </x:c>
      <x:c r="B953" s="13" t="str">
        <x:v>GET</x:v>
      </x:c>
      <x:c r="C953" s="13" t="str">
        <x:v>/api/v1/strategic-benefits-plans/{plan_id}/history</x:v>
      </x:c>
      <x:c r="D953" s="13" t="str">
        <x:v>READ-ONLY SHARED CONTEXT</x:v>
      </x:c>
      <x:c r="E953" s="13" t="str">
        <x:v>strategic_benefits</x:v>
      </x:c>
      <x:c r="F953" s="13" t="str">
        <x:v>history</x:v>
      </x:c>
      <x:c r="G953" s="13" t="str">
        <x:v>benefits_plan.read</x:v>
      </x:c>
      <x:c r="H953" s="13" t="str">
        <x:v>LIVE_ROUTER_REGISTERED</x:v>
      </x:c>
      <x:c r="I953" s="13" t="str">
        <x:v>frontend/src/features/strategic-benefits/api.ts</x:v>
      </x:c>
      <x:c r="J953" s="13" t="str">
        <x:v>NOT_EXECUTED_BY_INVENTORY. SOURCE_LITERAL_OR_TRANSITIVE_HELPER_UNION</x:v>
      </x:c>
    </x:row>
    <x:row r="954" ht="42" customHeight="1">
      <x:c r="A954" s="14" t="str">
        <x:v>API-750</x:v>
      </x:c>
      <x:c r="B954" s="6" t="str">
        <x:v>POST</x:v>
      </x:c>
      <x:c r="C954" s="6" t="str">
        <x:v>/api/v1/strategic-benefits-plans/{plan_id}/new-revision</x:v>
      </x:c>
      <x:c r="D954" s="6" t="str">
        <x:v>USER MODE</x:v>
      </x:c>
      <x:c r="E954" s="6" t="str">
        <x:v>strategic_benefits</x:v>
      </x:c>
      <x:c r="F954" s="6" t="str">
        <x:v>new revision</x:v>
      </x:c>
      <x:c r="G954" s="6" t="str">
        <x:v>benefits_plan.create_revision</x:v>
      </x:c>
      <x:c r="H954" s="6" t="str">
        <x:v>LIVE_ROUTER_REGISTERED</x:v>
      </x:c>
      <x:c r="I954" s="6" t="str">
        <x:v>frontend/src/features/strategic-benefits/api.ts</x:v>
      </x:c>
      <x:c r="J954" s="6" t="str">
        <x:v>NOT_EXECUTED_BY_INVENTORY. SOURCE_LITERAL_OR_TRANSITIVE_HELPER_UNION</x:v>
      </x:c>
    </x:row>
    <x:row r="955" ht="42" customHeight="1">
      <x:c r="A955" s="15" t="str">
        <x:v>API-751</x:v>
      </x:c>
      <x:c r="B955" s="13" t="str">
        <x:v>GET</x:v>
      </x:c>
      <x:c r="C955" s="13" t="str">
        <x:v>/api/v1/strategic-benefits-plans/{plan_id}/readiness</x:v>
      </x:c>
      <x:c r="D955" s="13" t="str">
        <x:v>READ-ONLY SHARED CONTEXT</x:v>
      </x:c>
      <x:c r="E955" s="13" t="str">
        <x:v>strategic_benefits</x:v>
      </x:c>
      <x:c r="F955" s="13" t="str">
        <x:v>readiness</x:v>
      </x:c>
      <x:c r="G955" s="13" t="str">
        <x:v>benefits_plan.read</x:v>
      </x:c>
      <x:c r="H955" s="13" t="str">
        <x:v>LIVE_ROUTER_REGISTERED</x:v>
      </x:c>
      <x:c r="I955" s="13" t="str">
        <x:v>frontend/src/features/strategic-benefits/api.ts</x:v>
      </x:c>
      <x:c r="J955" s="13" t="str">
        <x:v>NOT_EXECUTED_BY_INVENTORY. SOURCE_LITERAL_OR_TRANSITIVE_HELPER_UNION</x:v>
      </x:c>
    </x:row>
    <x:row r="956" ht="42" customHeight="1">
      <x:c r="A956" s="14" t="str">
        <x:v>API-752</x:v>
      </x:c>
      <x:c r="B956" s="6" t="str">
        <x:v>POST</x:v>
      </x:c>
      <x:c r="C956" s="6" t="str">
        <x:v>/api/v1/strategic-benefits-plans/{plan_id}/refresh-apply</x:v>
      </x:c>
      <x:c r="D956" s="6" t="str">
        <x:v>USER MODE</x:v>
      </x:c>
      <x:c r="E956" s="6" t="str">
        <x:v>strategic_benefits</x:v>
      </x:c>
      <x:c r="F956" s="6" t="str">
        <x:v>refresh apply</x:v>
      </x:c>
      <x:c r="G956" s="6" t="str">
        <x:v>benefits_plan.refresh</x:v>
      </x:c>
      <x:c r="H956" s="6" t="str">
        <x:v>LIVE_ROUTER_REGISTERED</x:v>
      </x:c>
      <x:c r="I956" s="6" t="str">
        <x:v>frontend/src/features/strategic-benefits/api.ts</x:v>
      </x:c>
      <x:c r="J956" s="6" t="str">
        <x:v>NOT_EXECUTED_BY_INVENTORY. SOURCE_LITERAL_OR_TRANSITIVE_HELPER_UNION</x:v>
      </x:c>
    </x:row>
    <x:row r="957" ht="42" customHeight="1">
      <x:c r="A957" s="15" t="str">
        <x:v>API-753</x:v>
      </x:c>
      <x:c r="B957" s="13" t="str">
        <x:v>POST</x:v>
      </x:c>
      <x:c r="C957" s="13" t="str">
        <x:v>/api/v1/strategic-benefits-plans/{plan_id}/refresh-preview</x:v>
      </x:c>
      <x:c r="D957" s="13" t="str">
        <x:v>USER MODE</x:v>
      </x:c>
      <x:c r="E957" s="13" t="str">
        <x:v>strategic_benefits</x:v>
      </x:c>
      <x:c r="F957" s="13" t="str">
        <x:v>refresh preview</x:v>
      </x:c>
      <x:c r="G957" s="13" t="str">
        <x:v>benefits_plan.refresh</x:v>
      </x:c>
      <x:c r="H957" s="13" t="str">
        <x:v>LIVE_ROUTER_REGISTERED</x:v>
      </x:c>
      <x:c r="I957" s="13" t="str">
        <x:v>frontend/src/features/strategic-benefits/api.ts</x:v>
      </x:c>
      <x:c r="J957" s="13" t="str">
        <x:v>NOT_EXECUTED_BY_INVENTORY. SOURCE_LITERAL_OR_TRANSITIVE_HELPER_UNION</x:v>
      </x:c>
    </x:row>
    <x:row r="958" ht="42" customHeight="1">
      <x:c r="A958" s="14" t="str">
        <x:v>API-754</x:v>
      </x:c>
      <x:c r="B958" s="6" t="str">
        <x:v>GET</x:v>
      </x:c>
      <x:c r="C958" s="6" t="str">
        <x:v>/api/v1/strategic-benefits-plans/{plan_id}/traceability</x:v>
      </x:c>
      <x:c r="D958" s="6" t="str">
        <x:v>READ-ONLY SHARED CONTEXT</x:v>
      </x:c>
      <x:c r="E958" s="6" t="str">
        <x:v>strategic_benefits</x:v>
      </x:c>
      <x:c r="F958" s="6" t="str">
        <x:v>traceability</x:v>
      </x:c>
      <x:c r="G958" s="6" t="str">
        <x:v>benefits_plan.read</x:v>
      </x:c>
      <x:c r="H958" s="6" t="str">
        <x:v>LIVE_ROUTER_REGISTERED</x:v>
      </x:c>
      <x:c r="I958" s="6" t="str">
        <x:v>frontend/src/features/strategic-benefits/api.ts</x:v>
      </x:c>
      <x:c r="J958" s="6" t="str">
        <x:v>NOT_EXECUTED_BY_INVENTORY. SOURCE_LITERAL_OR_TRANSITIVE_HELPER_UNION</x:v>
      </x:c>
    </x:row>
    <x:row r="959" ht="42" customHeight="1">
      <x:c r="A959" s="15" t="str">
        <x:v>API-755</x:v>
      </x:c>
      <x:c r="B959" s="13" t="str">
        <x:v>PUT</x:v>
      </x:c>
      <x:c r="C959" s="13" t="str">
        <x:v>/api/v1/strategic-benefits-plans/{plan_id}/versions/{version_id}</x:v>
      </x:c>
      <x:c r="D959" s="13" t="str">
        <x:v>USER MODE</x:v>
      </x:c>
      <x:c r="E959" s="13" t="str">
        <x:v>strategic_benefits</x:v>
      </x:c>
      <x:c r="F959" s="13" t="str">
        <x:v>update version</x:v>
      </x:c>
      <x:c r="G959" s="13" t="str">
        <x:v>benefits_plan.edit</x:v>
      </x:c>
      <x:c r="H959" s="13" t="str">
        <x:v>LIVE_ROUTER_REGISTERED</x:v>
      </x:c>
      <x:c r="I959" s="13" t="str">
        <x:v>frontend/src/features/strategic-benefits/api.ts</x:v>
      </x:c>
      <x:c r="J959" s="13" t="str">
        <x:v>NOT_EXECUTED_BY_INVENTORY. SOURCE_LITERAL_OR_TRANSITIVE_HELPER_UNION</x:v>
      </x:c>
    </x:row>
    <x:row r="960" ht="42" customHeight="1">
      <x:c r="A960" s="14" t="str">
        <x:v>API-756</x:v>
      </x:c>
      <x:c r="B960" s="6" t="str">
        <x:v>POST</x:v>
      </x:c>
      <x:c r="C960" s="6" t="str">
        <x:v>/api/v1/strategic-benefits-plans/{plan_id}/versions/{version_id}/benefits</x:v>
      </x:c>
      <x:c r="D960" s="6" t="str">
        <x:v>USER MODE</x:v>
      </x:c>
      <x:c r="E960" s="6" t="str">
        <x:v>strategic_benefits</x:v>
      </x:c>
      <x:c r="F960" s="6" t="str">
        <x:v>add benefit</x:v>
      </x:c>
      <x:c r="G960" s="6" t="str">
        <x:v>benefits_plan.edit</x:v>
      </x:c>
      <x:c r="H960" s="6" t="str">
        <x:v>LIVE_ROUTER_REGISTERED</x:v>
      </x:c>
      <x:c r="I960" s="6" t="str">
        <x:v>frontend/src/features/strategic-benefits/api.ts</x:v>
      </x:c>
      <x:c r="J960" s="6" t="str">
        <x:v>NOT_EXECUTED_BY_INVENTORY. SOURCE_LITERAL_OR_TRANSITIVE_HELPER_UNION</x:v>
      </x:c>
    </x:row>
    <x:row r="961" ht="42" customHeight="1">
      <x:c r="A961" s="15" t="str">
        <x:v>API-757</x:v>
      </x:c>
      <x:c r="B961" s="13" t="str">
        <x:v>PUT</x:v>
      </x:c>
      <x:c r="C961" s="13" t="str">
        <x:v>/api/v1/strategic-benefits-plans/{plan_id}/versions/{version_id}/benefits/{benefit_id}</x:v>
      </x:c>
      <x:c r="D961" s="13" t="str">
        <x:v>USER MODE</x:v>
      </x:c>
      <x:c r="E961" s="13" t="str">
        <x:v>strategic_benefits</x:v>
      </x:c>
      <x:c r="F961" s="13" t="str">
        <x:v>update benefit</x:v>
      </x:c>
      <x:c r="G961" s="13" t="str">
        <x:v>benefits_plan.edit</x:v>
      </x:c>
      <x:c r="H961" s="13" t="str">
        <x:v>LIVE_ROUTER_REGISTERED</x:v>
      </x:c>
      <x:c r="I961" s="13" t="str">
        <x:v>frontend/src/features/strategic-benefits/api.ts</x:v>
      </x:c>
      <x:c r="J961" s="13" t="str">
        <x:v>NOT_EXECUTED_BY_INVENTORY. SOURCE_LITERAL_OR_TRANSITIVE_HELPER_UNION</x:v>
      </x:c>
    </x:row>
    <x:row r="962" ht="42" customHeight="1">
      <x:c r="A962" s="14" t="str">
        <x:v>API-758</x:v>
      </x:c>
      <x:c r="B962" s="6" t="str">
        <x:v>POST</x:v>
      </x:c>
      <x:c r="C962" s="6" t="str">
        <x:v>/api/v1/strategic-benefits-plans/{plan_id}/versions/{version_id}/benefits/{benefit_id}/measures</x:v>
      </x:c>
      <x:c r="D962" s="6" t="str">
        <x:v>USER MODE</x:v>
      </x:c>
      <x:c r="E962" s="6" t="str">
        <x:v>strategic_benefits</x:v>
      </x:c>
      <x:c r="F962" s="6" t="str">
        <x:v>add measure</x:v>
      </x:c>
      <x:c r="G962" s="6" t="str">
        <x:v>benefits_plan.edit</x:v>
      </x:c>
      <x:c r="H962" s="6" t="str">
        <x:v>LIVE_ROUTER_REGISTERED</x:v>
      </x:c>
      <x:c r="I962" s="6" t="str">
        <x:v>frontend/src/features/strategic-benefits/api.ts</x:v>
      </x:c>
      <x:c r="J962" s="6" t="str">
        <x:v>NOT_EXECUTED_BY_INVENTORY. SOURCE_LITERAL_OR_TRANSITIVE_HELPER_UNION</x:v>
      </x:c>
    </x:row>
    <x:row r="963" ht="42" customHeight="1">
      <x:c r="A963" s="15" t="str">
        <x:v>API-759</x:v>
      </x:c>
      <x:c r="B963" s="13" t="str">
        <x:v>PUT</x:v>
      </x:c>
      <x:c r="C963" s="13" t="str">
        <x:v>/api/v1/strategic-benefits-plans/{plan_id}/versions/{version_id}/benefits/{benefit_id}/measures/{measure_id}</x:v>
      </x:c>
      <x:c r="D963" s="13" t="str">
        <x:v>USER MODE</x:v>
      </x:c>
      <x:c r="E963" s="13" t="str">
        <x:v>strategic_benefits</x:v>
      </x:c>
      <x:c r="F963" s="13" t="str">
        <x:v>update measure</x:v>
      </x:c>
      <x:c r="G963" s="13" t="str">
        <x:v>benefits_plan.edit</x:v>
      </x:c>
      <x:c r="H963" s="13" t="str">
        <x:v>LIVE_ROUTER_REGISTERED</x:v>
      </x:c>
      <x:c r="I963" s="13" t="str">
        <x:v>frontend/src/features/strategic-benefits/api.ts</x:v>
      </x:c>
      <x:c r="J963" s="13" t="str">
        <x:v>NOT_EXECUTED_BY_INVENTORY. SOURCE_LITERAL_OR_TRANSITIVE_HELPER_UNION</x:v>
      </x:c>
    </x:row>
    <x:row r="964" ht="42" customHeight="1">
      <x:c r="A964" s="14" t="str">
        <x:v>API-760</x:v>
      </x:c>
      <x:c r="B964" s="6" t="str">
        <x:v>POST</x:v>
      </x:c>
      <x:c r="C964" s="6" t="str">
        <x:v>/api/v1/strategic-benefits-plans/{plan_id}/versions/{version_id}/return</x:v>
      </x:c>
      <x:c r="D964" s="6" t="str">
        <x:v>USER MODE</x:v>
      </x:c>
      <x:c r="E964" s="6" t="str">
        <x:v>strategic_benefits</x:v>
      </x:c>
      <x:c r="F964" s="6" t="str">
        <x:v>return version</x:v>
      </x:c>
      <x:c r="G964" s="6" t="str">
        <x:v>benefits_plan.review</x:v>
      </x:c>
      <x:c r="H964" s="6" t="str">
        <x:v>LIVE_ROUTER_REGISTERED</x:v>
      </x:c>
      <x:c r="I964" s="6" t="str">
        <x:v>NO_DIRECT_LITERAL_MATCH_NOT_PROOF_UNUSED</x:v>
      </x:c>
      <x:c r="J964" s="6" t="str">
        <x:v>NOT_EXECUTED_BY_INVENTORY. SOURCE_LITERAL_OR_TRANSITIVE_HELPER_UNION</x:v>
      </x:c>
    </x:row>
    <x:row r="965" ht="42" customHeight="1">
      <x:c r="A965" s="15" t="str">
        <x:v>API-761</x:v>
      </x:c>
      <x:c r="B965" s="13" t="str">
        <x:v>POST</x:v>
      </x:c>
      <x:c r="C965" s="13" t="str">
        <x:v>/api/v1/strategic-benefits-plans/{plan_id}/versions/{version_id}/void</x:v>
      </x:c>
      <x:c r="D965" s="13" t="str">
        <x:v>USER MODE</x:v>
      </x:c>
      <x:c r="E965" s="13" t="str">
        <x:v>strategic_benefits</x:v>
      </x:c>
      <x:c r="F965" s="13" t="str">
        <x:v>void version</x:v>
      </x:c>
      <x:c r="G965" s="13" t="str">
        <x:v>benefits_plan.edit</x:v>
      </x:c>
      <x:c r="H965" s="13" t="str">
        <x:v>LIVE_ROUTER_REGISTERED</x:v>
      </x:c>
      <x:c r="I965" s="13" t="str">
        <x:v>NO_DIRECT_LITERAL_MATCH_NOT_PROOF_UNUSED</x:v>
      </x:c>
      <x:c r="J965" s="13" t="str">
        <x:v>NOT_EXECUTED_BY_INVENTORY. SOURCE_LITERAL_OR_TRANSITIVE_HELPER_UNION</x:v>
      </x:c>
    </x:row>
    <x:row r="966" ht="42" customHeight="1">
      <x:c r="A966" s="14" t="str">
        <x:v>API-762</x:v>
      </x:c>
      <x:c r="B966" s="6" t="str">
        <x:v>GET</x:v>
      </x:c>
      <x:c r="C966" s="6" t="str">
        <x:v>/api/v1/ideas/{idea_id}/strategic-gate-decisions</x:v>
      </x:c>
      <x:c r="D966" s="6" t="str">
        <x:v>READ-ONLY SHARED CONTEXT</x:v>
      </x:c>
      <x:c r="E966" s="6" t="str">
        <x:v>strategic_gate</x:v>
      </x:c>
      <x:c r="F966" s="6" t="str">
        <x:v>idea decisions</x:v>
      </x:c>
      <x:c r="G966" s="6" t="str">
        <x:v>strategic_gate.read</x:v>
      </x:c>
      <x:c r="H966" s="6" t="str">
        <x:v>LIVE_ROUTER_REGISTERED</x:v>
      </x:c>
      <x:c r="I966" s="6" t="str">
        <x:v>frontend/src/features/strategic-gate/api.ts</x:v>
      </x:c>
      <x:c r="J966" s="6" t="str">
        <x:v>NOT_EXECUTED_BY_INVENTORY. SOURCE_LITERAL_OR_TRANSITIVE_HELPER_UNION</x:v>
      </x:c>
    </x:row>
    <x:row r="967" ht="42" customHeight="1">
      <x:c r="A967" s="15" t="str">
        <x:v>API-763</x:v>
      </x:c>
      <x:c r="B967" s="13" t="str">
        <x:v>GET</x:v>
      </x:c>
      <x:c r="C967" s="13" t="str">
        <x:v>/api/v1/project-proposals/{proposal_id}/strategic-gate-decisions</x:v>
      </x:c>
      <x:c r="D967" s="13" t="str">
        <x:v>READ-ONLY SHARED CONTEXT</x:v>
      </x:c>
      <x:c r="E967" s="13" t="str">
        <x:v>strategic_gate</x:v>
      </x:c>
      <x:c r="F967" s="13" t="str">
        <x:v>proposal decisions</x:v>
      </x:c>
      <x:c r="G967" s="13" t="str">
        <x:v>strategic_gate.read</x:v>
      </x:c>
      <x:c r="H967" s="13" t="str">
        <x:v>LIVE_ROUTER_REGISTERED</x:v>
      </x:c>
      <x:c r="I967" s="13" t="str">
        <x:v>frontend/src/features/strategic-gate/api.ts</x:v>
      </x:c>
      <x:c r="J967" s="13" t="str">
        <x:v>NOT_EXECUTED_BY_INVENTORY. SOURCE_LITERAL_OR_TRANSITIVE_HELPER_UNION</x:v>
      </x:c>
    </x:row>
    <x:row r="968" ht="42" customHeight="1">
      <x:c r="A968" s="14" t="str">
        <x:v>API-764</x:v>
      </x:c>
      <x:c r="B968" s="6" t="str">
        <x:v>POST</x:v>
      </x:c>
      <x:c r="C968" s="6" t="str">
        <x:v>/api/v1/project-proposals/{proposal_id}/strategic-gate-decisions/preview</x:v>
      </x:c>
      <x:c r="D968" s="6" t="str">
        <x:v>USER MODE</x:v>
      </x:c>
      <x:c r="E968" s="6" t="str">
        <x:v>strategic_gate</x:v>
      </x:c>
      <x:c r="F968" s="6" t="str">
        <x:v>proposal decision preview</x:v>
      </x:c>
      <x:c r="G968" s="6" t="str">
        <x:v>strategic_gate.create</x:v>
      </x:c>
      <x:c r="H968" s="6" t="str">
        <x:v>LIVE_ROUTER_REGISTERED</x:v>
      </x:c>
      <x:c r="I968" s="6" t="str">
        <x:v>frontend/src/features/strategic-gate/api.ts</x:v>
      </x:c>
      <x:c r="J968" s="6" t="str">
        <x:v>NOT_EXECUTED_BY_INVENTORY. SOURCE_LITERAL_OR_TRANSITIVE_HELPER_UNION</x:v>
      </x:c>
    </x:row>
    <x:row r="969" ht="42" customHeight="1">
      <x:c r="A969" s="15" t="str">
        <x:v>API-765</x:v>
      </x:c>
      <x:c r="B969" s="13" t="str">
        <x:v>GET</x:v>
      </x:c>
      <x:c r="C969" s="13" t="str">
        <x:v>/api/v1/strategic-gate-decisions</x:v>
      </x:c>
      <x:c r="D969" s="13" t="str">
        <x:v>READ-ONLY SHARED CONTEXT</x:v>
      </x:c>
      <x:c r="E969" s="13" t="str">
        <x:v>strategic_gate</x:v>
      </x:c>
      <x:c r="F969" s="13" t="str">
        <x:v>list decisions</x:v>
      </x:c>
      <x:c r="G969" s="13" t="str">
        <x:v>strategic_gate.read</x:v>
      </x:c>
      <x:c r="H969" s="13" t="str">
        <x:v>LIVE_ROUTER_REGISTERED</x:v>
      </x:c>
      <x:c r="I969" s="13" t="str">
        <x:v>frontend/src/features/strategic-gate/api.ts</x:v>
      </x:c>
      <x:c r="J969" s="13" t="str">
        <x:v>NOT_EXECUTED_BY_INVENTORY. SOURCE_LITERAL_OR_TRANSITIVE_HELPER_UNION</x:v>
      </x:c>
    </x:row>
    <x:row r="970" ht="42" customHeight="1">
      <x:c r="A970" s="14" t="str">
        <x:v>API-766</x:v>
      </x:c>
      <x:c r="B970" s="6" t="str">
        <x:v>POST</x:v>
      </x:c>
      <x:c r="C970" s="6" t="str">
        <x:v>/api/v1/strategic-gate-decisions</x:v>
      </x:c>
      <x:c r="D970" s="6" t="str">
        <x:v>USER MODE</x:v>
      </x:c>
      <x:c r="E970" s="6" t="str">
        <x:v>strategic_gate</x:v>
      </x:c>
      <x:c r="F970" s="6" t="str">
        <x:v>create</x:v>
      </x:c>
      <x:c r="G970" s="6" t="str">
        <x:v>strategic_gate.create</x:v>
      </x:c>
      <x:c r="H970" s="6" t="str">
        <x:v>LIVE_ROUTER_REGISTERED</x:v>
      </x:c>
      <x:c r="I970" s="6" t="str">
        <x:v>frontend/src/features/strategic-gate/api.ts</x:v>
      </x:c>
      <x:c r="J970" s="6" t="str">
        <x:v>NOT_EXECUTED_BY_INVENTORY. SOURCE_LITERAL_OR_TRANSITIVE_HELPER_UNION</x:v>
      </x:c>
    </x:row>
    <x:row r="971" ht="42" customHeight="1">
      <x:c r="A971" s="15" t="str">
        <x:v>API-767</x:v>
      </x:c>
      <x:c r="B971" s="13" t="str">
        <x:v>POST</x:v>
      </x:c>
      <x:c r="C971" s="13" t="str">
        <x:v>/api/v1/strategic-gate-decisions/admin/configuration/preview</x:v>
      </x:c>
      <x:c r="D971" s="13" t="str">
        <x:v>ADMIN MODE</x:v>
      </x:c>
      <x:c r="E971" s="13" t="str">
        <x:v>strategic_gate</x:v>
      </x:c>
      <x:c r="F971" s="13" t="str">
        <x:v>configuration preview</x:v>
      </x:c>
      <x:c r="G971" s="13" t="str">
        <x:v>strategic_gate.admin.configure</x:v>
      </x:c>
      <x:c r="H971" s="13" t="str">
        <x:v>LIVE_ROUTER_REGISTERED</x:v>
      </x:c>
      <x:c r="I971" s="13" t="str">
        <x:v>frontend/src/features/strategic-gate/api.ts</x:v>
      </x:c>
      <x:c r="J971" s="13" t="str">
        <x:v>NOT_EXECUTED_BY_INVENTORY. SOURCE_LITERAL_OR_TRANSITIVE_HELPER_UNION</x:v>
      </x:c>
    </x:row>
    <x:row r="972" ht="42" customHeight="1">
      <x:c r="A972" s="14" t="str">
        <x:v>API-768</x:v>
      </x:c>
      <x:c r="B972" s="6" t="str">
        <x:v>GET</x:v>
      </x:c>
      <x:c r="C972" s="6" t="str">
        <x:v>/api/v1/strategic-gate-decisions/admin/configurations/list</x:v>
      </x:c>
      <x:c r="D972" s="6" t="str">
        <x:v>ADMIN MODE</x:v>
      </x:c>
      <x:c r="E972" s="6" t="str">
        <x:v>strategic_gate</x:v>
      </x:c>
      <x:c r="F972" s="6" t="str">
        <x:v>admin configurations</x:v>
      </x:c>
      <x:c r="G972" s="6" t="str">
        <x:v>strategic_gate.admin.configure</x:v>
      </x:c>
      <x:c r="H972" s="6" t="str">
        <x:v>LIVE_ROUTER_REGISTERED</x:v>
      </x:c>
      <x:c r="I972" s="6" t="str">
        <x:v>frontend/src/features/strategic-gate/api.ts</x:v>
      </x:c>
      <x:c r="J972" s="6" t="str">
        <x:v>NOT_EXECUTED_BY_INVENTORY. SOURCE_LITERAL_OR_TRANSITIVE_HELPER_UNION</x:v>
      </x:c>
    </x:row>
    <x:row r="973" ht="42" customHeight="1">
      <x:c r="A973" s="15" t="str">
        <x:v>API-769</x:v>
      </x:c>
      <x:c r="B973" s="13" t="str">
        <x:v>PUT</x:v>
      </x:c>
      <x:c r="C973" s="13" t="str">
        <x:v>/api/v1/strategic-gate-decisions/admin/configurations/{configuration_id}</x:v>
      </x:c>
      <x:c r="D973" s="13" t="str">
        <x:v>ADMIN MODE</x:v>
      </x:c>
      <x:c r="E973" s="13" t="str">
        <x:v>strategic_gate</x:v>
      </x:c>
      <x:c r="F973" s="13" t="str">
        <x:v>update configuration</x:v>
      </x:c>
      <x:c r="G973" s="13" t="str">
        <x:v>strategic_gate.admin.configure</x:v>
      </x:c>
      <x:c r="H973" s="13" t="str">
        <x:v>LIVE_ROUTER_REGISTERED</x:v>
      </x:c>
      <x:c r="I973" s="13" t="str">
        <x:v>frontend/src/features/strategic-gate/api.ts</x:v>
      </x:c>
      <x:c r="J973" s="13" t="str">
        <x:v>NOT_EXECUTED_BY_INVENTORY. SOURCE_LITERAL_OR_TRANSITIVE_HELPER_UNION</x:v>
      </x:c>
    </x:row>
    <x:row r="974" ht="42" customHeight="1">
      <x:c r="A974" s="14" t="str">
        <x:v>API-770</x:v>
      </x:c>
      <x:c r="B974" s="6" t="str">
        <x:v>POST</x:v>
      </x:c>
      <x:c r="C974" s="6" t="str">
        <x:v>/api/v1/strategic-gate-decisions/admin/configurations/{configuration_id}/clone</x:v>
      </x:c>
      <x:c r="D974" s="6" t="str">
        <x:v>ADMIN MODE</x:v>
      </x:c>
      <x:c r="E974" s="6" t="str">
        <x:v>strategic_gate</x:v>
      </x:c>
      <x:c r="F974" s="6" t="str">
        <x:v>clone configuration</x:v>
      </x:c>
      <x:c r="G974" s="6" t="str">
        <x:v>strategic_gate.admin.configure</x:v>
      </x:c>
      <x:c r="H974" s="6" t="str">
        <x:v>LIVE_ROUTER_REGISTERED</x:v>
      </x:c>
      <x:c r="I974" s="6" t="str">
        <x:v>frontend/src/features/strategic-gate/api.ts</x:v>
      </x:c>
      <x:c r="J974" s="6" t="str">
        <x:v>NOT_EXECUTED_BY_INVENTORY. SOURCE_LITERAL_OR_TRANSITIVE_HELPER_UNION</x:v>
      </x:c>
    </x:row>
    <x:row r="975" ht="42" customHeight="1">
      <x:c r="A975" s="15" t="str">
        <x:v>API-771</x:v>
      </x:c>
      <x:c r="B975" s="13" t="str">
        <x:v>POST</x:v>
      </x:c>
      <x:c r="C975" s="13" t="str">
        <x:v>/api/v1/strategic-gate-decisions/admin/configurations/{configuration_id}/publish</x:v>
      </x:c>
      <x:c r="D975" s="13" t="str">
        <x:v>ADMIN MODE</x:v>
      </x:c>
      <x:c r="E975" s="13" t="str">
        <x:v>strategic_gate</x:v>
      </x:c>
      <x:c r="F975" s="13" t="str">
        <x:v>publish configuration</x:v>
      </x:c>
      <x:c r="G975" s="13" t="str">
        <x:v>strategic_gate.admin.publish</x:v>
      </x:c>
      <x:c r="H975" s="13" t="str">
        <x:v>LIVE_ROUTER_REGISTERED</x:v>
      </x:c>
      <x:c r="I975" s="13" t="str">
        <x:v>frontend/src/features/strategic-gate/api.ts</x:v>
      </x:c>
      <x:c r="J975" s="13" t="str">
        <x:v>NOT_EXECUTED_BY_INVENTORY. SOURCE_LITERAL_OR_TRANSITIVE_HELPER_UNION</x:v>
      </x:c>
    </x:row>
    <x:row r="976" ht="42" customHeight="1">
      <x:c r="A976" s="14" t="str">
        <x:v>API-772</x:v>
      </x:c>
      <x:c r="B976" s="6" t="str">
        <x:v>GET</x:v>
      </x:c>
      <x:c r="C976" s="6" t="str">
        <x:v>/api/v1/strategic-gate-decisions/options</x:v>
      </x:c>
      <x:c r="D976" s="6" t="str">
        <x:v>READ-ONLY SHARED CONTEXT</x:v>
      </x:c>
      <x:c r="E976" s="6" t="str">
        <x:v>strategic_gate</x:v>
      </x:c>
      <x:c r="F976" s="6" t="str">
        <x:v>options</x:v>
      </x:c>
      <x:c r="G976" s="6" t="str">
        <x:v>strategic_gate.read</x:v>
      </x:c>
      <x:c r="H976" s="6" t="str">
        <x:v>LIVE_ROUTER_REGISTERED</x:v>
      </x:c>
      <x:c r="I976" s="6" t="str">
        <x:v>frontend/src/features/strategic-gate/api.ts</x:v>
      </x:c>
      <x:c r="J976" s="6" t="str">
        <x:v>NOT_EXECUTED_BY_INVENTORY. SOURCE_LITERAL_OR_TRANSITIVE_HELPER_UNION</x:v>
      </x:c>
    </x:row>
    <x:row r="977" ht="42" customHeight="1">
      <x:c r="A977" s="15" t="str">
        <x:v>API-773</x:v>
      </x:c>
      <x:c r="B977" s="13" t="str">
        <x:v>POST</x:v>
      </x:c>
      <x:c r="C977" s="13" t="str">
        <x:v>/api/v1/strategic-gate-decisions/preview</x:v>
      </x:c>
      <x:c r="D977" s="13" t="str">
        <x:v>USER MODE</x:v>
      </x:c>
      <x:c r="E977" s="13" t="str">
        <x:v>strategic_gate</x:v>
      </x:c>
      <x:c r="F977" s="13" t="str">
        <x:v>preview</x:v>
      </x:c>
      <x:c r="G977" s="13" t="str">
        <x:v>strategic_gate.create</x:v>
      </x:c>
      <x:c r="H977" s="13" t="str">
        <x:v>LIVE_ROUTER_REGISTERED</x:v>
      </x:c>
      <x:c r="I977" s="13" t="str">
        <x:v>frontend/src/features/strategic-gate/api.ts</x:v>
      </x:c>
      <x:c r="J977" s="13" t="str">
        <x:v>NOT_EXECUTED_BY_INVENTORY. SOURCE_LITERAL_OR_TRANSITIVE_HELPER_UNION</x:v>
      </x:c>
    </x:row>
    <x:row r="978" ht="42" customHeight="1">
      <x:c r="A978" s="14" t="str">
        <x:v>API-774</x:v>
      </x:c>
      <x:c r="B978" s="6" t="str">
        <x:v>GET</x:v>
      </x:c>
      <x:c r="C978" s="6" t="str">
        <x:v>/api/v1/strategic-gate-decisions/{decision_id}</x:v>
      </x:c>
      <x:c r="D978" s="6" t="str">
        <x:v>READ-ONLY SHARED CONTEXT</x:v>
      </x:c>
      <x:c r="E978" s="6" t="str">
        <x:v>strategic_gate</x:v>
      </x:c>
      <x:c r="F978" s="6" t="str">
        <x:v>get decision</x:v>
      </x:c>
      <x:c r="G978" s="6" t="str">
        <x:v>strategic_gate.read</x:v>
      </x:c>
      <x:c r="H978" s="6" t="str">
        <x:v>LIVE_ROUTER_REGISTERED</x:v>
      </x:c>
      <x:c r="I978" s="6" t="str">
        <x:v>frontend/src/features/strategic-gate/api.ts</x:v>
      </x:c>
      <x:c r="J978" s="6" t="str">
        <x:v>NOT_EXECUTED_BY_INVENTORY. SOURCE_LITERAL_OR_TRANSITIVE_HELPER_UNION</x:v>
      </x:c>
    </x:row>
    <x:row r="979" ht="42" customHeight="1">
      <x:c r="A979" s="15" t="str">
        <x:v>API-775</x:v>
      </x:c>
      <x:c r="B979" s="13" t="str">
        <x:v>PUT</x:v>
      </x:c>
      <x:c r="C979" s="13" t="str">
        <x:v>/api/v1/strategic-gate-decisions/{decision_id}</x:v>
      </x:c>
      <x:c r="D979" s="13" t="str">
        <x:v>USER MODE</x:v>
      </x:c>
      <x:c r="E979" s="13" t="str">
        <x:v>strategic_gate</x:v>
      </x:c>
      <x:c r="F979" s="13" t="str">
        <x:v>update decision</x:v>
      </x:c>
      <x:c r="G979" s="13" t="str">
        <x:v>strategic_gate.edit</x:v>
      </x:c>
      <x:c r="H979" s="13" t="str">
        <x:v>LIVE_ROUTER_REGISTERED</x:v>
      </x:c>
      <x:c r="I979" s="13" t="str">
        <x:v>frontend/src/features/strategic-gate/api.ts</x:v>
      </x:c>
      <x:c r="J979" s="13" t="str">
        <x:v>NOT_EXECUTED_BY_INVENTORY. SOURCE_LITERAL_OR_TRANSITIVE_HELPER_UNION</x:v>
      </x:c>
    </x:row>
    <x:row r="980" ht="42" customHeight="1">
      <x:c r="A980" s="14" t="str">
        <x:v>API-776</x:v>
      </x:c>
      <x:c r="B980" s="6" t="str">
        <x:v>POST</x:v>
      </x:c>
      <x:c r="C980" s="6" t="str">
        <x:v>/api/v1/strategic-gate-decisions/{decision_id}/decide</x:v>
      </x:c>
      <x:c r="D980" s="6" t="str">
        <x:v>USER MODE</x:v>
      </x:c>
      <x:c r="E980" s="6" t="str">
        <x:v>strategic_gate</x:v>
      </x:c>
      <x:c r="F980" s="6" t="str">
        <x:v>decide</x:v>
      </x:c>
      <x:c r="G980" s="6" t="str">
        <x:v>strategic_gate.decide</x:v>
      </x:c>
      <x:c r="H980" s="6" t="str">
        <x:v>LIVE_ROUTER_REGISTERED</x:v>
      </x:c>
      <x:c r="I980" s="6" t="str">
        <x:v>frontend/src/features/strategic-gate/api.ts</x:v>
      </x:c>
      <x:c r="J980" s="6" t="str">
        <x:v>NOT_EXECUTED_BY_INVENTORY. SOURCE_LITERAL_OR_TRANSITIVE_HELPER_UNION</x:v>
      </x:c>
    </x:row>
    <x:row r="981" ht="42" customHeight="1">
      <x:c r="A981" s="15" t="str">
        <x:v>API-777</x:v>
      </x:c>
      <x:c r="B981" s="13" t="str">
        <x:v>GET</x:v>
      </x:c>
      <x:c r="C981" s="13" t="str">
        <x:v>/api/v1/strategic-gate-decisions/{decision_id}/history</x:v>
      </x:c>
      <x:c r="D981" s="13" t="str">
        <x:v>READ-ONLY SHARED CONTEXT</x:v>
      </x:c>
      <x:c r="E981" s="13" t="str">
        <x:v>strategic_gate</x:v>
      </x:c>
      <x:c r="F981" s="13" t="str">
        <x:v>history</x:v>
      </x:c>
      <x:c r="G981" s="13" t="str">
        <x:v>strategic_gate.read</x:v>
      </x:c>
      <x:c r="H981" s="13" t="str">
        <x:v>LIVE_ROUTER_REGISTERED</x:v>
      </x:c>
      <x:c r="I981" s="13" t="str">
        <x:v>frontend/src/features/strategic-gate/api.ts</x:v>
      </x:c>
      <x:c r="J981" s="13" t="str">
        <x:v>NOT_EXECUTED_BY_INVENTORY. SOURCE_LITERAL_OR_TRANSITIVE_HELPER_UNION</x:v>
      </x:c>
    </x:row>
    <x:row r="982" ht="42" customHeight="1">
      <x:c r="A982" s="14" t="str">
        <x:v>API-778</x:v>
      </x:c>
      <x:c r="B982" s="6" t="str">
        <x:v>GET</x:v>
      </x:c>
      <x:c r="C982" s="6" t="str">
        <x:v>/api/v1/strategic-gate-decisions/{decision_id}/portfolio-intake-readiness</x:v>
      </x:c>
      <x:c r="D982" s="6" t="str">
        <x:v>READ-ONLY SHARED CONTEXT</x:v>
      </x:c>
      <x:c r="E982" s="6" t="str">
        <x:v>strategic_gate</x:v>
      </x:c>
      <x:c r="F982" s="6" t="str">
        <x:v>portfolio intake readiness</x:v>
      </x:c>
      <x:c r="G982" s="6" t="str">
        <x:v>strategic_gate.read</x:v>
      </x:c>
      <x:c r="H982" s="6" t="str">
        <x:v>LIVE_ROUTER_REGISTERED</x:v>
      </x:c>
      <x:c r="I982" s="6" t="str">
        <x:v>frontend/src/features/strategic-gate/api.ts</x:v>
      </x:c>
      <x:c r="J982" s="6" t="str">
        <x:v>NOT_EXECUTED_BY_INVENTORY. SOURCE_LITERAL_OR_TRANSITIVE_HELPER_UNION</x:v>
      </x:c>
    </x:row>
    <x:row r="983" ht="42" customHeight="1">
      <x:c r="A983" s="15" t="str">
        <x:v>API-779</x:v>
      </x:c>
      <x:c r="B983" s="13" t="str">
        <x:v>POST</x:v>
      </x:c>
      <x:c r="C983" s="13" t="str">
        <x:v>/api/v1/strategic-gate-decisions/{decision_id}/return-to-preparer</x:v>
      </x:c>
      <x:c r="D983" s="13" t="str">
        <x:v>USER MODE</x:v>
      </x:c>
      <x:c r="E983" s="13" t="str">
        <x:v>strategic_gate</x:v>
      </x:c>
      <x:c r="F983" s="13" t="str">
        <x:v>return to preparer</x:v>
      </x:c>
      <x:c r="G983" s="13" t="str">
        <x:v>strategic_gate.review</x:v>
      </x:c>
      <x:c r="H983" s="13" t="str">
        <x:v>LIVE_ROUTER_REGISTERED</x:v>
      </x:c>
      <x:c r="I983" s="13" t="str">
        <x:v>NO_DIRECT_LITERAL_MATCH_NOT_PROOF_UNUSED</x:v>
      </x:c>
      <x:c r="J983" s="13" t="str">
        <x:v>NOT_EXECUTED_BY_INVENTORY. SOURCE_LITERAL_OR_TRANSITIVE_HELPER_UNION</x:v>
      </x:c>
    </x:row>
    <x:row r="984" ht="42" customHeight="1">
      <x:c r="A984" s="14" t="str">
        <x:v>API-780</x:v>
      </x:c>
      <x:c r="B984" s="6" t="str">
        <x:v>GET</x:v>
      </x:c>
      <x:c r="C984" s="6" t="str">
        <x:v>/api/v1/workspaces</x:v>
      </x:c>
      <x:c r="D984" s="6" t="str">
        <x:v>READ-ONLY SHARED CONTEXT</x:v>
      </x:c>
      <x:c r="E984" s="6" t="str">
        <x:v>workspace_context</x:v>
      </x:c>
      <x:c r="F984" s="6" t="str">
        <x:v>my workspaces</x:v>
      </x:c>
      <x:c r="G984" s="6" t="str">
        <x:v>workspace.home.read</x:v>
      </x:c>
      <x:c r="H984" s="6" t="str">
        <x:v>LIVE_ROUTER_REGISTERED</x:v>
      </x:c>
      <x:c r="I984" s="6" t="str">
        <x:v>frontend/src/features/workspace-context/api.ts</x:v>
      </x:c>
      <x:c r="J984" s="6" t="str">
        <x:v>NOT_EXECUTED_BY_INVENTORY. SOURCE_LITERAL_OR_TRANSITIVE_HELPER_UNION</x:v>
      </x:c>
    </x:row>
    <x:row r="985" ht="42" customHeight="1">
      <x:c r="A985" s="15" t="str">
        <x:v>API-781</x:v>
      </x:c>
      <x:c r="B985" s="13" t="str">
        <x:v>GET</x:v>
      </x:c>
      <x:c r="C985" s="13" t="str">
        <x:v>/api/v1/workspaces/recent</x:v>
      </x:c>
      <x:c r="D985" s="13" t="str">
        <x:v>READ-ONLY SHARED CONTEXT</x:v>
      </x:c>
      <x:c r="E985" s="13" t="str">
        <x:v>workspace_context</x:v>
      </x:c>
      <x:c r="F985" s="13" t="str">
        <x:v>recent workspaces</x:v>
      </x:c>
      <x:c r="G985" s="13" t="str">
        <x:v>workspace.recent.read</x:v>
      </x:c>
      <x:c r="H985" s="13" t="str">
        <x:v>LIVE_ROUTER_REGISTERED</x:v>
      </x:c>
      <x:c r="I985" s="13" t="str">
        <x:v>frontend/src/features/workspace-context/api.ts</x:v>
      </x:c>
      <x:c r="J985" s="13" t="str">
        <x:v>NOT_EXECUTED_BY_INVENTORY. SOURCE_LITERAL_OR_TRANSITIVE_HELPER_UNION</x:v>
      </x:c>
    </x:row>
    <x:row r="986" ht="42" customHeight="1">
      <x:c r="A986" s="14" t="str">
        <x:v>API-782</x:v>
      </x:c>
      <x:c r="B986" s="6" t="str">
        <x:v>GET</x:v>
      </x:c>
      <x:c r="C986" s="6" t="str">
        <x:v>/api/v1/workspaces/{workspace_id}/context</x:v>
      </x:c>
      <x:c r="D986" s="6" t="str">
        <x:v>READ-ONLY SHARED CONTEXT</x:v>
      </x:c>
      <x:c r="E986" s="6" t="str">
        <x:v>workspace_context</x:v>
      </x:c>
      <x:c r="F986" s="6" t="str">
        <x:v>workspace context</x:v>
      </x:c>
      <x:c r="G986" s="6" t="str">
        <x:v>workspace.open</x:v>
      </x:c>
      <x:c r="H986" s="6" t="str">
        <x:v>LIVE_ROUTER_REGISTERED</x:v>
      </x:c>
      <x:c r="I986" s="6" t="str">
        <x:v>frontend/src/features/workspace-context/api.ts</x:v>
      </x:c>
      <x:c r="J986" s="6" t="str">
        <x:v>NOT_EXECUTED_BY_INVENTORY. SOURCE_LITERAL_OR_TRANSITIVE_HELPER_UNION</x:v>
      </x:c>
    </x:row>
    <x:row r="987" ht="42" customHeight="1">
      <x:c r="A987" s="15" t="str">
        <x:v>API-783</x:v>
      </x:c>
      <x:c r="B987" s="13" t="str">
        <x:v>GET</x:v>
      </x:c>
      <x:c r="C987" s="13" t="str">
        <x:v>/api/v1/workspaces/{workspace_id}/home</x:v>
      </x:c>
      <x:c r="D987" s="13" t="str">
        <x:v>READ-ONLY SHARED CONTEXT</x:v>
      </x:c>
      <x:c r="E987" s="13" t="str">
        <x:v>workspace_context</x:v>
      </x:c>
      <x:c r="F987" s="13" t="str">
        <x:v>workspace home</x:v>
      </x:c>
      <x:c r="G987" s="13" t="str">
        <x:v>workspace.home.read</x:v>
      </x:c>
      <x:c r="H987" s="13" t="str">
        <x:v>LIVE_ROUTER_REGISTERED</x:v>
      </x:c>
      <x:c r="I987" s="13" t="str">
        <x:v>frontend/src/features/workspace-context/api.ts</x:v>
      </x:c>
      <x:c r="J987" s="13" t="str">
        <x:v>NOT_EXECUTED_BY_INVENTORY. SOURCE_LITERAL_OR_TRANSITIVE_HELPER_UNION</x:v>
      </x:c>
    </x:row>
    <x:row r="988" ht="42" customHeight="1">
      <x:c r="A988" s="14" t="str">
        <x:v>API-784</x:v>
      </x:c>
      <x:c r="B988" s="6" t="str">
        <x:v>PUT</x:v>
      </x:c>
      <x:c r="C988" s="6" t="str">
        <x:v>/api/v1/workspaces/{workspace_id}/last-route</x:v>
      </x:c>
      <x:c r="D988" s="6" t="str">
        <x:v>USER MODE</x:v>
      </x:c>
      <x:c r="E988" s="6" t="str">
        <x:v>workspace_context</x:v>
      </x:c>
      <x:c r="F988" s="6" t="str">
        <x:v>update last route</x:v>
      </x:c>
      <x:c r="G988" s="6" t="str">
        <x:v>workspace.recent.write</x:v>
      </x:c>
      <x:c r="H988" s="6" t="str">
        <x:v>LIVE_ROUTER_REGISTERED</x:v>
      </x:c>
      <x:c r="I988" s="6" t="str">
        <x:v>frontend/src/features/workspace-context/api.ts</x:v>
      </x:c>
      <x:c r="J988" s="6" t="str">
        <x:v>NOT_EXECUTED_BY_INVENTORY. SOURCE_LITERAL_OR_TRANSITIVE_HELPER_UNION</x:v>
      </x:c>
    </x:row>
    <x:row r="989" ht="42" customHeight="1">
      <x:c r="A989" s="15" t="str">
        <x:v>API-785</x:v>
      </x:c>
      <x:c r="B989" s="13" t="str">
        <x:v>GET</x:v>
      </x:c>
      <x:c r="C989" s="13" t="str">
        <x:v>/api/v1/workspaces/{workspace_id}/modules/{module_code}</x:v>
      </x:c>
      <x:c r="D989" s="13" t="str">
        <x:v>READ-ONLY SHARED CONTEXT</x:v>
      </x:c>
      <x:c r="E989" s="13" t="str">
        <x:v>workspace_context</x:v>
      </x:c>
      <x:c r="F989" s="13" t="str">
        <x:v>workspace module access</x:v>
      </x:c>
      <x:c r="G989" s="13" t="str">
        <x:v>workspace.navigator.read</x:v>
      </x:c>
      <x:c r="H989" s="13" t="str">
        <x:v>LIVE_ROUTER_REGISTERED</x:v>
      </x:c>
      <x:c r="I989" s="13" t="str">
        <x:v>NO_DIRECT_LITERAL_MATCH_NOT_PROOF_UNUSED</x:v>
      </x:c>
      <x:c r="J989" s="13" t="str">
        <x:v>NOT_EXECUTED_BY_INVENTORY. SOURCE_LITERAL_OR_TRANSITIVE_HELPER_UNION</x:v>
      </x:c>
    </x:row>
    <x:row r="990" ht="42" customHeight="1">
      <x:c r="A990" s="14" t="str">
        <x:v>API-786</x:v>
      </x:c>
      <x:c r="B990" s="6" t="str">
        <x:v>GET</x:v>
      </x:c>
      <x:c r="C990" s="6" t="str">
        <x:v>/api/v1/workspaces/{workspace_id}/navigator</x:v>
      </x:c>
      <x:c r="D990" s="6" t="str">
        <x:v>READ-ONLY SHARED CONTEXT</x:v>
      </x:c>
      <x:c r="E990" s="6" t="str">
        <x:v>workspace_context</x:v>
      </x:c>
      <x:c r="F990" s="6" t="str">
        <x:v>workspace navigator</x:v>
      </x:c>
      <x:c r="G990" s="6" t="str">
        <x:v>workspace.navigator.read</x:v>
      </x:c>
      <x:c r="H990" s="6" t="str">
        <x:v>LIVE_ROUTER_REGISTERED</x:v>
      </x:c>
      <x:c r="I990" s="6" t="str">
        <x:v>NO_DIRECT_LITERAL_MATCH_NOT_PROOF_UNUSED</x:v>
      </x:c>
      <x:c r="J990" s="6" t="str">
        <x:v>NOT_EXECUTED_BY_INVENTORY. SOURCE_LITERAL_OR_TRANSITIVE_HELPER_UNION</x:v>
      </x:c>
    </x:row>
    <x:row r="991" ht="42" customHeight="1">
      <x:c r="A991" s="15" t="str">
        <x:v>API-787</x:v>
      </x:c>
      <x:c r="B991" s="13" t="str">
        <x:v>POST</x:v>
      </x:c>
      <x:c r="C991" s="13" t="str">
        <x:v>/api/v1/workspaces/{workspace_id}/open</x:v>
      </x:c>
      <x:c r="D991" s="13" t="str">
        <x:v>USER MODE</x:v>
      </x:c>
      <x:c r="E991" s="13" t="str">
        <x:v>workspace_context</x:v>
      </x:c>
      <x:c r="F991" s="13" t="str">
        <x:v>open workspace</x:v>
      </x:c>
      <x:c r="G991" s="13" t="str">
        <x:v>workspace.open</x:v>
      </x:c>
      <x:c r="H991" s="13" t="str">
        <x:v>LIVE_ROUTER_REGISTERED</x:v>
      </x:c>
      <x:c r="I991" s="13" t="str">
        <x:v>frontend/src/features/workspace-context/api.ts</x:v>
      </x:c>
      <x:c r="J991" s="13" t="str">
        <x:v>NOT_EXECUTED_BY_INVENTORY. SOURCE_LITERAL_OR_TRANSITIVE_HELPER_UNION</x:v>
      </x:c>
    </x:row>
  </x:sheetData>
  <x:pageMargins left="0.7" right="0.7" top="0.75" bottom="0.75" header="0.3" footer="0.3"/>
  <x:tableParts count="1">
    <x:tablePart xmlns:r="http://schemas.openxmlformats.org/officeDocument/2006/relationships" r:id="Ra1800ba6b2fa4f80"/>
  </x:tableParts>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2" hidden="0" customWidth="1"/>
    <x:col min="2" max="2" width="12" hidden="0" customWidth="1"/>
    <x:col min="3" max="3" width="9" hidden="0" customWidth="1"/>
    <x:col min="4" max="4" width="9" hidden="0" customWidth="1"/>
    <x:col min="5" max="5" width="62" hidden="0" customWidth="1"/>
    <x:col min="6" max="6" width="68" hidden="0" customWidth="1"/>
    <x:col min="7" max="7" width="70" hidden="0" customWidth="1"/>
    <x:col min="8" max="8" width="31" hidden="0" customWidth="1"/>
    <x:col min="9" max="9" width="12" hidden="0" customWidth="1"/>
    <x:col min="10" max="10" width="44" hidden="0" customWidth="1"/>
    <x:col min="11" max="11" width="12" hidden="0" customWidth="1"/>
    <x:col min="12" max="12" width="58" hidden="0" customWidth="1"/>
  </x:cols>
  <x:sheetData>
    <x:row r="2" ht="26" customHeight="1">
      <x:c r="A2" s="1" t="str">
        <x:v>Navegación canónica y contexto Workspace</x:v>
      </x:c>
    </x:row>
    <x:row r="3">
      <x:c r="A3" s="2"/>
      <x:c r="B3" s="2"/>
      <x:c r="C3" s="2"/>
      <x:c r="D3" s="2"/>
      <x:c r="E3" s="2"/>
      <x:c r="F3" s="2"/>
      <x:c r="G3" s="2"/>
      <x:c r="H3" s="2"/>
      <x:c r="I3" s="2"/>
      <x:c r="J3" s="2"/>
      <x:c r="K3" s="2"/>
      <x:c r="L3" s="2"/>
    </x:row>
    <x:row r="4">
      <x:c r="A4" s="3" t="str">
        <x:v>Corte 14 octubre 2026</x:v>
      </x:c>
      <x:c r="B4" s="3"/>
      <x:c r="C4" s="3"/>
      <x:c r="D4" s="3" t="str">
        <x:v>Fuente del registro</x:v>
      </x:c>
      <x:c r="E4" s="3" t="str">
        <x:v>Blueprint canónico inspeccionado. Alias de landing no demuestra pantalla duplicada.</x:v>
      </x:c>
      <x:c r="F4" s="3"/>
      <x:c r="G4" s="3"/>
      <x:c r="H4" s="3"/>
      <x:c r="I4" s="3"/>
      <x:c r="J4" s="3"/>
      <x:c r="K4" s="3"/>
      <x:c r="L4" s="3"/>
    </x:row>
    <x:row r="5">
      <x:c r="A5" s="3" t="str">
        <x:v>Registros</x:v>
      </x:c>
      <x:c r="B5" s="3" t="n">
        <x:f>COUNTA(A8:A204)</x:f>
        <x:v>197</x:v>
      </x:c>
      <x:c r="C5" s="3"/>
      <x:c r="D5" s="3"/>
      <x:c r="E5" s="3"/>
      <x:c r="F5" s="3"/>
      <x:c r="G5" s="3"/>
      <x:c r="H5" s="3"/>
      <x:c r="I5" s="3"/>
      <x:c r="J5" s="3"/>
      <x:c r="K5" s="3"/>
      <x:c r="L5" s="3"/>
    </x:row>
    <x:row r="7" ht="34" customHeight="1">
      <x:c r="A7" s="10" t="str">
        <x:v>ID</x:v>
      </x:c>
      <x:c r="B7" s="11" t="str">
        <x:v>Modo</x:v>
      </x:c>
      <x:c r="C7" s="11" t="str">
        <x:v>Fase</x:v>
      </x:c>
      <x:c r="D7" s="11" t="str">
        <x:v>Orden</x:v>
      </x:c>
      <x:c r="E7" s="11" t="str">
        <x:v>Ruta</x:v>
      </x:c>
      <x:c r="F7" s="11" t="str">
        <x:v>Breadcrumb</x:v>
      </x:c>
      <x:c r="G7" s="11" t="str">
        <x:v>Componente</x:v>
      </x:c>
      <x:c r="H7" s="11" t="str">
        <x:v>Clasificación</x:v>
      </x:c>
      <x:c r="I7" s="11" t="str">
        <x:v>Uso</x:v>
      </x:c>
      <x:c r="J7" s="11" t="str">
        <x:v>Duplicidad</x:v>
      </x:c>
      <x:c r="K7" s="11" t="str">
        <x:v>Retiro</x:v>
      </x:c>
      <x:c r="L7" s="12" t="str">
        <x:v>Dependencias</x:v>
      </x:c>
    </x:row>
    <x:row r="8" ht="42" customHeight="1">
      <x:c r="A8" s="14" t="str">
        <x:v>NAV-1</x:v>
      </x:c>
      <x:c r="B8" s="6" t="str">
        <x:v>ADMIN</x:v>
      </x:c>
      <x:c r="C8" s="6" t="n">
        <x:v>0</x:v>
      </x:c>
      <x:c r="D8" s="6" t="n">
        <x:v>1</x:v>
      </x:c>
      <x:c r="E8" s="6" t="str">
        <x:v>/app/admin/strategy/enterprise-strategy-overview</x:v>
      </x:c>
      <x:c r="F8" s="6" t="str">
        <x:v>Enterprise Strategy Manager &gt; Enterprise Foundation &gt; Foundation Configuration / Preview</x:v>
      </x:c>
      <x:c r="G8" s="6" t="str">
        <x:v>frontend/src/features/enterprise-strategy/EnterpriseStrategyLanding.tsx</x:v>
      </x:c>
      <x:c r="H8" s="6" t="str">
        <x:v>READ_ONLY_SHARED</x:v>
      </x:c>
      <x:c r="I8" s="19" t="b">
        <x:v>1</x:v>
      </x:c>
      <x:c r="J8" s="6" t="str">
        <x:v>ANCESTOR_LANDING_ALIAS_SAME_ROUTE</x:v>
      </x:c>
      <x:c r="K8" s="19" t="b">
        <x:v>0</x:v>
      </x:c>
      <x:c r="L8" s="6" t="str"/>
    </x:row>
    <x:row r="9" ht="42" customHeight="1">
      <x:c r="A9" s="15" t="str">
        <x:v>NAV-2</x:v>
      </x:c>
      <x:c r="B9" s="13" t="str">
        <x:v>ADMIN</x:v>
      </x:c>
      <x:c r="C9" s="13" t="n">
        <x:v>0</x:v>
      </x:c>
      <x:c r="D9" s="13" t="n">
        <x:v>2</x:v>
      </x:c>
      <x:c r="E9" s="13" t="str">
        <x:v>/app/admin/strategy/enterprise-structure-configuration</x:v>
      </x:c>
      <x:c r="F9" s="13" t="str">
        <x:v>Enterprise Strategy Manager &gt; Enterprise Foundation &gt; Enterprise Structure &amp; Workspace Manager</x:v>
      </x:c>
      <x:c r="G9" s="13" t="str">
        <x:v>frontend/src/features/enterprise-structure/pages/AdminEnterpriseStructurePage.tsx</x:v>
      </x:c>
      <x:c r="H9" s="13" t="str">
        <x:v>ADMIN_CONFIGURATION</x:v>
      </x:c>
      <x:c r="I9" s="20" t="b">
        <x:v>1</x:v>
      </x:c>
      <x:c r="J9" s="13" t="str">
        <x:v>NONE</x:v>
      </x:c>
      <x:c r="K9" s="20" t="b">
        <x:v>0</x:v>
      </x:c>
      <x:c r="L9" s="13" t="str"/>
    </x:row>
    <x:row r="10" ht="42" customHeight="1">
      <x:c r="A10" s="14" t="str">
        <x:v>NAV-3</x:v>
      </x:c>
      <x:c r="B10" s="6" t="str">
        <x:v>ADMIN</x:v>
      </x:c>
      <x:c r="C10" s="6" t="n">
        <x:v>0</x:v>
      </x:c>
      <x:c r="D10" s="6" t="n">
        <x:v>3</x:v>
      </x:c>
      <x:c r="E10" s="6" t="str">
        <x:v>/app/admin/strategy/workspace-types</x:v>
      </x:c>
      <x:c r="F10" s="6" t="str">
        <x:v>Enterprise Strategy Manager &gt; Enterprise Foundation &gt; Workspace Types</x:v>
      </x:c>
      <x:c r="G10" s="6" t="str">
        <x:v>frontend/src/components/AdminConfigurationView.tsx</x:v>
      </x:c>
      <x:c r="H10" s="6" t="str">
        <x:v>ADMIN_CONFIGURATION</x:v>
      </x:c>
      <x:c r="I10" s="19" t="b">
        <x:v>1</x:v>
      </x:c>
      <x:c r="J10" s="6" t="str">
        <x:v>NONE</x:v>
      </x:c>
      <x:c r="K10" s="19" t="b">
        <x:v>0</x:v>
      </x:c>
      <x:c r="L10" s="6" t="str"/>
    </x:row>
    <x:row r="11" ht="42" customHeight="1">
      <x:c r="A11" s="15" t="str">
        <x:v>NAV-4</x:v>
      </x:c>
      <x:c r="B11" s="13" t="str">
        <x:v>ADMIN</x:v>
      </x:c>
      <x:c r="C11" s="13" t="n">
        <x:v>0</x:v>
      </x:c>
      <x:c r="D11" s="13" t="n">
        <x:v>4</x:v>
      </x:c>
      <x:c r="E11" s="13" t="str">
        <x:v>/app/admin/strategy/enterprise-workspace-structure</x:v>
      </x:c>
      <x:c r="F11" s="13" t="str">
        <x:v>Enterprise Strategy Manager &gt; Enterprise Foundation &gt; Composition Rules</x:v>
      </x:c>
      <x:c r="G11" s="13" t="str">
        <x:v>frontend/src/features/enterprise-structure/pages/AdminEnterpriseStructurePage.tsx</x:v>
      </x:c>
      <x:c r="H11" s="13" t="str">
        <x:v>ADMIN_CONFIGURATION</x:v>
      </x:c>
      <x:c r="I11" s="20" t="b">
        <x:v>1</x:v>
      </x:c>
      <x:c r="J11" s="13" t="str">
        <x:v>NONE</x:v>
      </x:c>
      <x:c r="K11" s="20" t="b">
        <x:v>0</x:v>
      </x:c>
      <x:c r="L11" s="13" t="str"/>
    </x:row>
    <x:row r="12" ht="42" customHeight="1">
      <x:c r="A12" s="14" t="str">
        <x:v>NAV-5</x:v>
      </x:c>
      <x:c r="B12" s="6" t="str">
        <x:v>ADMIN</x:v>
      </x:c>
      <x:c r="C12" s="6" t="n">
        <x:v>0</x:v>
      </x:c>
      <x:c r="D12" s="6" t="n">
        <x:v>5</x:v>
      </x:c>
      <x:c r="E12" s="6" t="str">
        <x:v>/app/admin/strategy/foundation-strategic-objectives</x:v>
      </x:c>
      <x:c r="F12" s="6" t="str">
        <x:v>Enterprise Strategy Manager &gt; Enterprise Foundation &gt; Strategic Objectives</x:v>
      </x:c>
      <x:c r="G12" s="6" t="str">
        <x:v>frontend/src/features/enterprise-structure/pages/AdminEnterpriseStructurePage.tsx</x:v>
      </x:c>
      <x:c r="H12" s="6" t="str">
        <x:v>ADMIN_CONFIGURATION</x:v>
      </x:c>
      <x:c r="I12" s="19" t="b">
        <x:v>1</x:v>
      </x:c>
      <x:c r="J12" s="6" t="str">
        <x:v>NONE</x:v>
      </x:c>
      <x:c r="K12" s="19" t="b">
        <x:v>0</x:v>
      </x:c>
      <x:c r="L12" s="6" t="str"/>
    </x:row>
    <x:row r="13" ht="42" customHeight="1">
      <x:c r="A13" s="15" t="str">
        <x:v>NAV-6</x:v>
      </x:c>
      <x:c r="B13" s="13" t="str">
        <x:v>ADMIN</x:v>
      </x:c>
      <x:c r="C13" s="13" t="n">
        <x:v>0</x:v>
      </x:c>
      <x:c r="D13" s="13" t="n">
        <x:v>6</x:v>
      </x:c>
      <x:c r="E13" s="13" t="str">
        <x:v>/app/admin/strategy/workspace-defaults</x:v>
      </x:c>
      <x:c r="F13" s="13" t="str">
        <x:v>Enterprise Strategy Manager &gt; Enterprise Foundation &gt; Workspace Defaults &amp; Inheritance</x:v>
      </x:c>
      <x:c r="G13" s="13" t="str">
        <x:v>frontend/src/components/AdminConfigurationView.tsx</x:v>
      </x:c>
      <x:c r="H13" s="13" t="str">
        <x:v>ADMIN_CONFIGURATION</x:v>
      </x:c>
      <x:c r="I13" s="20" t="b">
        <x:v>1</x:v>
      </x:c>
      <x:c r="J13" s="13" t="str">
        <x:v>NONE</x:v>
      </x:c>
      <x:c r="K13" s="20" t="b">
        <x:v>0</x:v>
      </x:c>
      <x:c r="L13" s="13" t="str"/>
    </x:row>
    <x:row r="14" ht="42" customHeight="1">
      <x:c r="A14" s="14" t="str">
        <x:v>NAV-7</x:v>
      </x:c>
      <x:c r="B14" s="6" t="str">
        <x:v>ADMIN</x:v>
      </x:c>
      <x:c r="C14" s="6" t="n">
        <x:v>0</x:v>
      </x:c>
      <x:c r="D14" s="6" t="n">
        <x:v>7</x:v>
      </x:c>
      <x:c r="E14" s="6" t="str">
        <x:v>/app/admin/strategy/module-catalog-activation</x:v>
      </x:c>
      <x:c r="F14" s="6" t="str">
        <x:v>Enterprise Strategy Manager &gt; Enterprise Foundation &gt; Module Catalog &amp; Activation</x:v>
      </x:c>
      <x:c r="G14" s="6" t="str">
        <x:v>frontend/src/components/AdminConfigurationView.tsx</x:v>
      </x:c>
      <x:c r="H14" s="6" t="str">
        <x:v>ADMIN_CONFIGURATION</x:v>
      </x:c>
      <x:c r="I14" s="19" t="b">
        <x:v>1</x:v>
      </x:c>
      <x:c r="J14" s="6" t="str">
        <x:v>NONE</x:v>
      </x:c>
      <x:c r="K14" s="19" t="b">
        <x:v>0</x:v>
      </x:c>
      <x:c r="L14" s="6" t="str"/>
    </x:row>
    <x:row r="15" ht="42" customHeight="1">
      <x:c r="A15" s="15" t="str">
        <x:v>NAV-8</x:v>
      </x:c>
      <x:c r="B15" s="13" t="str">
        <x:v>ADMIN</x:v>
      </x:c>
      <x:c r="C15" s="13" t="n">
        <x:v>0</x:v>
      </x:c>
      <x:c r="D15" s="13" t="n">
        <x:v>8</x:v>
      </x:c>
      <x:c r="E15" s="13" t="str">
        <x:v>/app/admin/strategy/workspace-navigation-profiles</x:v>
      </x:c>
      <x:c r="F15" s="13" t="str">
        <x:v>Enterprise Strategy Manager &gt; Enterprise Foundation &gt; Workspace Navigation Profiles</x:v>
      </x:c>
      <x:c r="G15" s="13" t="str">
        <x:v>frontend/src/components/AdminConfigurationView.tsx</x:v>
      </x:c>
      <x:c r="H15" s="13" t="str">
        <x:v>ADMIN_CONFIGURATION</x:v>
      </x:c>
      <x:c r="I15" s="20" t="b">
        <x:v>1</x:v>
      </x:c>
      <x:c r="J15" s="13" t="str">
        <x:v>NONE</x:v>
      </x:c>
      <x:c r="K15" s="20" t="b">
        <x:v>0</x:v>
      </x:c>
      <x:c r="L15" s="13" t="str"/>
    </x:row>
    <x:row r="16" ht="42" customHeight="1">
      <x:c r="A16" s="14" t="str">
        <x:v>NAV-9</x:v>
      </x:c>
      <x:c r="B16" s="6" t="str">
        <x:v>ADMIN</x:v>
      </x:c>
      <x:c r="C16" s="6" t="n">
        <x:v>0</x:v>
      </x:c>
      <x:c r="D16" s="6" t="n">
        <x:v>9</x:v>
      </x:c>
      <x:c r="E16" s="6" t="str">
        <x:v>/app/admin/strategy/risk-governance-configuration</x:v>
      </x:c>
      <x:c r="F16" s="6" t="str">
        <x:v>Enterprise Strategy Manager &gt; Enterprise Foundation &gt; Risk Governance</x:v>
      </x:c>
      <x:c r="G16" s="6" t="str">
        <x:v>frontend/src/features/risk-governance/RiskGovernanceAdminView.tsx</x:v>
      </x:c>
      <x:c r="H16" s="6" t="str">
        <x:v>ADMIN_CONFIGURATION</x:v>
      </x:c>
      <x:c r="I16" s="19" t="b">
        <x:v>1</x:v>
      </x:c>
      <x:c r="J16" s="6" t="str">
        <x:v>NONE</x:v>
      </x:c>
      <x:c r="K16" s="19" t="b">
        <x:v>0</x:v>
      </x:c>
      <x:c r="L16" s="6" t="str"/>
    </x:row>
    <x:row r="17" ht="53" customHeight="1">
      <x:c r="A17" s="15" t="str">
        <x:v>NAV-10</x:v>
      </x:c>
      <x:c r="B17" s="13" t="str">
        <x:v>ADMIN</x:v>
      </x:c>
      <x:c r="C17" s="13" t="n">
        <x:v>1</x:v>
      </x:c>
      <x:c r="D17" s="13" t="n">
        <x:v>1</x:v>
      </x:c>
      <x:c r="E17" s="13" t="str">
        <x:v>/app/admin/strategy/capital-planning-configuration</x:v>
      </x:c>
      <x:c r="F17" s="13" t="str">
        <x:v>Enterprise Strategy Manager &gt; Strategic Capital Planning &amp; Demand Configuration &gt; Strategic Capital Planning &amp; Demand Configuration</x:v>
      </x:c>
      <x:c r="G17" s="13" t="str">
        <x:v>frontend/src/features/capital-planning/CapitalPlanningAdminView.tsx</x:v>
      </x:c>
      <x:c r="H17" s="13" t="str">
        <x:v>ADMIN_CONFIGURATION</x:v>
      </x:c>
      <x:c r="I17" s="20" t="b">
        <x:v>1</x:v>
      </x:c>
      <x:c r="J17" s="13" t="str">
        <x:v>ANCESTOR_LANDING_ALIAS_SAME_ROUTE</x:v>
      </x:c>
      <x:c r="K17" s="20" t="b">
        <x:v>0</x:v>
      </x:c>
      <x:c r="L17" s="13" t="str"/>
    </x:row>
    <x:row r="18" ht="42" customHeight="1">
      <x:c r="A18" s="14" t="str">
        <x:v>NAV-11</x:v>
      </x:c>
      <x:c r="B18" s="6" t="str">
        <x:v>ADMIN</x:v>
      </x:c>
      <x:c r="C18" s="6" t="n">
        <x:v>1</x:v>
      </x:c>
      <x:c r="D18" s="6" t="n">
        <x:v>2</x:v>
      </x:c>
      <x:c r="E18" s="6" t="str">
        <x:v>/app/admin/strategy/strategic-capital-bucket-configuration</x:v>
      </x:c>
      <x:c r="F18" s="6" t="str">
        <x:v>Enterprise Strategy Manager &gt; Strategic Capital Planning &amp; Demand Configuration &gt; Strategic Capital Buckets</x:v>
      </x:c>
      <x:c r="G18" s="6" t="str">
        <x:v>frontend/src/features/capital-planning/CapitalPlanningAdminView.tsx</x:v>
      </x:c>
      <x:c r="H18" s="6" t="str">
        <x:v>ADMIN_CONFIGURATION</x:v>
      </x:c>
      <x:c r="I18" s="19" t="b">
        <x:v>1</x:v>
      </x:c>
      <x:c r="J18" s="6" t="str">
        <x:v>NONE</x:v>
      </x:c>
      <x:c r="K18" s="19" t="b">
        <x:v>0</x:v>
      </x:c>
      <x:c r="L18" s="6" t="str"/>
    </x:row>
    <x:row r="19" ht="42" customHeight="1">
      <x:c r="A19" s="15" t="str">
        <x:v>NAV-12</x:v>
      </x:c>
      <x:c r="B19" s="13" t="str">
        <x:v>ADMIN</x:v>
      </x:c>
      <x:c r="C19" s="13" t="n">
        <x:v>2</x:v>
      </x:c>
      <x:c r="D19" s="13" t="n">
        <x:v>1</x:v>
      </x:c>
      <x:c r="E19" s="13" t="str">
        <x:v>/app/admin/strategy/idea-demand-configuration</x:v>
      </x:c>
      <x:c r="F19" s="13" t="str">
        <x:v>Enterprise Strategy Manager &gt; Investment Origination &amp; Shaping Configuration &gt; Idea &amp; Demand Configuration</x:v>
      </x:c>
      <x:c r="G19" s="13" t="str">
        <x:v>frontend/src/features/idea-demand/IdeaDemandAdminView.tsx</x:v>
      </x:c>
      <x:c r="H19" s="13" t="str">
        <x:v>ADMIN_CONFIGURATION</x:v>
      </x:c>
      <x:c r="I19" s="20" t="b">
        <x:v>1</x:v>
      </x:c>
      <x:c r="J19" s="13" t="str">
        <x:v>ANCESTOR_LANDING_ALIAS_SAME_ROUTE</x:v>
      </x:c>
      <x:c r="K19" s="20" t="b">
        <x:v>0</x:v>
      </x:c>
      <x:c r="L19" s="13" t="str"/>
    </x:row>
    <x:row r="20" ht="42" customHeight="1">
      <x:c r="A20" s="14" t="str">
        <x:v>NAV-13</x:v>
      </x:c>
      <x:c r="B20" s="6" t="str">
        <x:v>ADMIN</x:v>
      </x:c>
      <x:c r="C20" s="6" t="n">
        <x:v>2</x:v>
      </x:c>
      <x:c r="D20" s="6" t="n">
        <x:v>2</x:v>
      </x:c>
      <x:c r="E20" s="6" t="str">
        <x:v>/app/admin/strategy/business-analysis-configuration</x:v>
      </x:c>
      <x:c r="F20" s="6" t="str">
        <x:v>Enterprise Strategy Manager &gt; Investment Origination &amp; Shaping Configuration &gt; Business Analysis Configuration</x:v>
      </x:c>
      <x:c r="G20" s="6" t="str">
        <x:v>frontend/src/features/business-analysis/BusinessAnalysisAdminView.tsx</x:v>
      </x:c>
      <x:c r="H20" s="6" t="str">
        <x:v>ADMIN_CONFIGURATION</x:v>
      </x:c>
      <x:c r="I20" s="19" t="b">
        <x:v>1</x:v>
      </x:c>
      <x:c r="J20" s="6" t="str">
        <x:v>NONE</x:v>
      </x:c>
      <x:c r="K20" s="19" t="b">
        <x:v>0</x:v>
      </x:c>
      <x:c r="L20" s="6" t="str"/>
    </x:row>
    <x:row r="21" ht="42" customHeight="1">
      <x:c r="A21" s="15" t="str">
        <x:v>NAV-14</x:v>
      </x:c>
      <x:c r="B21" s="13" t="str">
        <x:v>ADMIN</x:v>
      </x:c>
      <x:c r="C21" s="13" t="n">
        <x:v>2</x:v>
      </x:c>
      <x:c r="D21" s="13" t="n">
        <x:v>3</x:v>
      </x:c>
      <x:c r="E21" s="13" t="str">
        <x:v>/app/admin/strategy/project-proposal-configuration</x:v>
      </x:c>
      <x:c r="F21" s="13" t="str">
        <x:v>Enterprise Strategy Manager &gt; Investment Origination &amp; Shaping Configuration &gt; Project Proposal Configuration</x:v>
      </x:c>
      <x:c r="G21" s="13" t="str">
        <x:v>frontend/src/features/project-proposal/ProjectProposalAdminView.tsx</x:v>
      </x:c>
      <x:c r="H21" s="13" t="str">
        <x:v>ADMIN_CONFIGURATION</x:v>
      </x:c>
      <x:c r="I21" s="20" t="b">
        <x:v>1</x:v>
      </x:c>
      <x:c r="J21" s="13" t="str">
        <x:v>NONE</x:v>
      </x:c>
      <x:c r="K21" s="20" t="b">
        <x:v>0</x:v>
      </x:c>
      <x:c r="L21" s="13" t="str"/>
    </x:row>
    <x:row r="22" ht="42" customHeight="1">
      <x:c r="A22" s="14" t="str">
        <x:v>NAV-15</x:v>
      </x:c>
      <x:c r="B22" s="6" t="str">
        <x:v>ADMIN</x:v>
      </x:c>
      <x:c r="C22" s="6" t="n">
        <x:v>3</x:v>
      </x:c>
      <x:c r="D22" s="6" t="n">
        <x:v>1</x:v>
      </x:c>
      <x:c r="E22" s="6" t="str">
        <x:v>/app/admin/strategy/strategic-gate-configuration</x:v>
      </x:c>
      <x:c r="F22" s="6" t="str">
        <x:v>Enterprise Strategy Manager &gt; Strategic Gate Decision Configuration &gt; Strategic Gate Decision Configuration</x:v>
      </x:c>
      <x:c r="G22" s="6" t="str">
        <x:v>frontend/src/features/strategic-gate/StrategicGateAdminView.tsx</x:v>
      </x:c>
      <x:c r="H22" s="6" t="str">
        <x:v>ADMIN_CONFIGURATION</x:v>
      </x:c>
      <x:c r="I22" s="19" t="b">
        <x:v>1</x:v>
      </x:c>
      <x:c r="J22" s="6" t="str">
        <x:v>ANCESTOR_LANDING_ALIAS_SAME_ROUTE</x:v>
      </x:c>
      <x:c r="K22" s="19" t="b">
        <x:v>0</x:v>
      </x:c>
      <x:c r="L22" s="6" t="str"/>
    </x:row>
    <x:row r="23" ht="42" customHeight="1">
      <x:c r="A23" s="15" t="str">
        <x:v>NAV-16</x:v>
      </x:c>
      <x:c r="B23" s="13" t="str">
        <x:v>ADMIN</x:v>
      </x:c>
      <x:c r="C23" s="13" t="n">
        <x:v>4</x:v>
      </x:c>
      <x:c r="D23" s="13" t="n">
        <x:v>1</x:v>
      </x:c>
      <x:c r="E23" s="13" t="str">
        <x:v>/app/admin/strategy/portfolio-planning-configuration</x:v>
      </x:c>
      <x:c r="F23" s="13" t="str">
        <x:v>Enterprise Strategy Manager &gt; Portfolio Planning &amp; Review Configuration &gt; Portfolio Intake</x:v>
      </x:c>
      <x:c r="G23" s="13" t="str">
        <x:v>frontend/src/features/portfolio-planning/PortfolioPlanningAdminView.tsx</x:v>
      </x:c>
      <x:c r="H23" s="13" t="str">
        <x:v>ADMIN_CONFIGURATION</x:v>
      </x:c>
      <x:c r="I23" s="20" t="b">
        <x:v>1</x:v>
      </x:c>
      <x:c r="J23" s="13" t="str">
        <x:v>ANCESTOR_LANDING_ALIAS_SAME_ROUTE</x:v>
      </x:c>
      <x:c r="K23" s="20" t="b">
        <x:v>0</x:v>
      </x:c>
      <x:c r="L23" s="13" t="str"/>
    </x:row>
    <x:row r="24" ht="42" customHeight="1">
      <x:c r="A24" s="14" t="str">
        <x:v>NAV-17</x:v>
      </x:c>
      <x:c r="B24" s="6" t="str">
        <x:v>ADMIN</x:v>
      </x:c>
      <x:c r="C24" s="6" t="n">
        <x:v>4</x:v>
      </x:c>
      <x:c r="D24" s="6" t="n">
        <x:v>2</x:v>
      </x:c>
      <x:c r="E24" s="6" t="str">
        <x:v>/app/admin/strategy/portfolio-evaluation-configuration</x:v>
      </x:c>
      <x:c r="F24" s="6" t="str">
        <x:v>Enterprise Strategy Manager &gt; Portfolio Planning &amp; Review Configuration &gt; Evaluation &amp; Prioritization</x:v>
      </x:c>
      <x:c r="G24" s="6" t="str">
        <x:v>frontend/src/features/portfolio-evaluation/PortfolioEvaluationAdminView.tsx</x:v>
      </x:c>
      <x:c r="H24" s="6" t="str">
        <x:v>ADMIN_CONFIGURATION</x:v>
      </x:c>
      <x:c r="I24" s="19" t="b">
        <x:v>1</x:v>
      </x:c>
      <x:c r="J24" s="6" t="str">
        <x:v>NONE</x:v>
      </x:c>
      <x:c r="K24" s="19" t="b">
        <x:v>0</x:v>
      </x:c>
      <x:c r="L24" s="6" t="str"/>
    </x:row>
    <x:row r="25" ht="42" customHeight="1">
      <x:c r="A25" s="15" t="str">
        <x:v>NAV-18</x:v>
      </x:c>
      <x:c r="B25" s="13" t="str">
        <x:v>ADMIN</x:v>
      </x:c>
      <x:c r="C25" s="13" t="n">
        <x:v>4</x:v>
      </x:c>
      <x:c r="D25" s="13" t="n">
        <x:v>3</x:v>
      </x:c>
      <x:c r="E25" s="13" t="str">
        <x:v>/app/admin/strategy/portfolio-analysis-configuration</x:v>
      </x:c>
      <x:c r="F25" s="13" t="str">
        <x:v>Enterprise Strategy Manager &gt; Portfolio Planning &amp; Review Configuration &gt; Portfolio Analysis</x:v>
      </x:c>
      <x:c r="G25" s="13" t="str">
        <x:v>frontend/src/features/portfolio-analysis/PortfolioAnalysisAdminView.tsx</x:v>
      </x:c>
      <x:c r="H25" s="13" t="str">
        <x:v>ADMIN_CONFIGURATION</x:v>
      </x:c>
      <x:c r="I25" s="20" t="b">
        <x:v>1</x:v>
      </x:c>
      <x:c r="J25" s="13" t="str">
        <x:v>NONE</x:v>
      </x:c>
      <x:c r="K25" s="20" t="b">
        <x:v>0</x:v>
      </x:c>
      <x:c r="L25" s="13" t="str"/>
    </x:row>
    <x:row r="26" ht="42" customHeight="1">
      <x:c r="A26" s="14" t="str">
        <x:v>NAV-19</x:v>
      </x:c>
      <x:c r="B26" s="6" t="str">
        <x:v>ADMIN</x:v>
      </x:c>
      <x:c r="C26" s="6" t="n">
        <x:v>4</x:v>
      </x:c>
      <x:c r="D26" s="6" t="n">
        <x:v>4</x:v>
      </x:c>
      <x:c r="E26" s="6" t="str">
        <x:v>/app/admin/strategy/portfolio-review-configuration</x:v>
      </x:c>
      <x:c r="F26" s="6" t="str">
        <x:v>Enterprise Strategy Manager &gt; Portfolio Planning &amp; Review Configuration &gt; Periodic Portfolio Review</x:v>
      </x:c>
      <x:c r="G26" s="6" t="str">
        <x:v>frontend/src/features/portfolio-review/PortfolioReviewAdminView.tsx</x:v>
      </x:c>
      <x:c r="H26" s="6" t="str">
        <x:v>ADMIN_CONFIGURATION</x:v>
      </x:c>
      <x:c r="I26" s="19" t="b">
        <x:v>1</x:v>
      </x:c>
      <x:c r="J26" s="6" t="str">
        <x:v>NONE</x:v>
      </x:c>
      <x:c r="K26" s="19" t="b">
        <x:v>0</x:v>
      </x:c>
      <x:c r="L26" s="6" t="str"/>
    </x:row>
    <x:row r="27" ht="42" customHeight="1">
      <x:c r="A27" s="15" t="str">
        <x:v>NAV-20</x:v>
      </x:c>
      <x:c r="B27" s="13" t="str">
        <x:v>ADMIN</x:v>
      </x:c>
      <x:c r="C27" s="13" t="n">
        <x:v>5</x:v>
      </x:c>
      <x:c r="D27" s="13" t="n">
        <x:v>1</x:v>
      </x:c>
      <x:c r="E27" s="13" t="str">
        <x:v>/app/admin/strategy/portfolio-budget-planning-configuration</x:v>
      </x:c>
      <x:c r="F27" s="13" t="str">
        <x:v>Enterprise Strategy Manager &gt; Portfolio Scenario Planning Configuration &gt; Budget Planning</x:v>
      </x:c>
      <x:c r="G27" s="13" t="str">
        <x:v>frontend/src/features/portfolio-budget/PortfolioBudgetAdminView.tsx</x:v>
      </x:c>
      <x:c r="H27" s="13" t="str">
        <x:v>ADMIN_CONFIGURATION</x:v>
      </x:c>
      <x:c r="I27" s="20" t="b">
        <x:v>1</x:v>
      </x:c>
      <x:c r="J27" s="13" t="str">
        <x:v>ANCESTOR_LANDING_ALIAS_SAME_ROUTE</x:v>
      </x:c>
      <x:c r="K27" s="20" t="b">
        <x:v>0</x:v>
      </x:c>
      <x:c r="L27" s="13" t="str"/>
    </x:row>
    <x:row r="28" ht="42" customHeight="1">
      <x:c r="A28" s="14" t="str">
        <x:v>NAV-21</x:v>
      </x:c>
      <x:c r="B28" s="6" t="str">
        <x:v>ADMIN</x:v>
      </x:c>
      <x:c r="C28" s="6" t="n">
        <x:v>5</x:v>
      </x:c>
      <x:c r="D28" s="6" t="n">
        <x:v>2</x:v>
      </x:c>
      <x:c r="E28" s="6" t="str">
        <x:v>/app/admin/strategy/portfolio-resource-planning-configuration</x:v>
      </x:c>
      <x:c r="F28" s="6" t="str">
        <x:v>Enterprise Strategy Manager &gt; Portfolio Scenario Planning Configuration &gt; Resource Planning</x:v>
      </x:c>
      <x:c r="G28" s="6" t="str">
        <x:v>frontend/src/features/portfolio-resource/PortfolioResourceAdminView.tsx</x:v>
      </x:c>
      <x:c r="H28" s="6" t="str">
        <x:v>ADMIN_CONFIGURATION</x:v>
      </x:c>
      <x:c r="I28" s="19" t="b">
        <x:v>1</x:v>
      </x:c>
      <x:c r="J28" s="6" t="str">
        <x:v>NONE</x:v>
      </x:c>
      <x:c r="K28" s="19" t="b">
        <x:v>0</x:v>
      </x:c>
      <x:c r="L28" s="6" t="str"/>
    </x:row>
    <x:row r="29" ht="42" customHeight="1">
      <x:c r="A29" s="15" t="str">
        <x:v>NAV-22</x:v>
      </x:c>
      <x:c r="B29" s="13" t="str">
        <x:v>ADMIN</x:v>
      </x:c>
      <x:c r="C29" s="13" t="n">
        <x:v>5</x:v>
      </x:c>
      <x:c r="D29" s="13" t="n">
        <x:v>3</x:v>
      </x:c>
      <x:c r="E29" s="13" t="str">
        <x:v>/app/admin/strategy/portfolio-scenario-convergence-configuration</x:v>
      </x:c>
      <x:c r="F29" s="13" t="str">
        <x:v>Enterprise Strategy Manager &gt; Portfolio Scenario Planning Configuration &gt; Scenario Convergence</x:v>
      </x:c>
      <x:c r="G29" s="13" t="str">
        <x:v>frontend/src/features/portfolio-convergence/PortfolioConvergenceAdminView.tsx</x:v>
      </x:c>
      <x:c r="H29" s="13" t="str">
        <x:v>ADMIN_CONFIGURATION</x:v>
      </x:c>
      <x:c r="I29" s="20" t="b">
        <x:v>1</x:v>
      </x:c>
      <x:c r="J29" s="13" t="str">
        <x:v>NONE</x:v>
      </x:c>
      <x:c r="K29" s="20" t="b">
        <x:v>0</x:v>
      </x:c>
      <x:c r="L29" s="13" t="str"/>
    </x:row>
    <x:row r="30" ht="42" customHeight="1">
      <x:c r="A30" s="14" t="str">
        <x:v>NAV-23</x:v>
      </x:c>
      <x:c r="B30" s="6" t="str">
        <x:v>ADMIN</x:v>
      </x:c>
      <x:c r="C30" s="6" t="n">
        <x:v>6</x:v>
      </x:c>
      <x:c r="D30" s="6" t="n">
        <x:v>1</x:v>
      </x:c>
      <x:c r="E30" s="6" t="str">
        <x:v>/app/admin/strategy/project-definition-configuration</x:v>
      </x:c>
      <x:c r="F30" s="6" t="str">
        <x:v>Enterprise Strategy Manager &gt; Project Definition &amp; Investment Case &gt; Project Definition / FEL</x:v>
      </x:c>
      <x:c r="G30" s="6" t="str">
        <x:v>frontend/src/features/project-definition/ProjectDefinitionAdminView.tsx</x:v>
      </x:c>
      <x:c r="H30" s="6" t="str">
        <x:v>ADMIN_CONFIGURATION</x:v>
      </x:c>
      <x:c r="I30" s="19" t="b">
        <x:v>1</x:v>
      </x:c>
      <x:c r="J30" s="6" t="str">
        <x:v>ANCESTOR_LANDING_ALIAS_SAME_ROUTE</x:v>
      </x:c>
      <x:c r="K30" s="19" t="b">
        <x:v>0</x:v>
      </x:c>
      <x:c r="L30" s="6" t="str"/>
    </x:row>
    <x:row r="31" ht="42" customHeight="1">
      <x:c r="A31" s="15" t="str">
        <x:v>NAV-24</x:v>
      </x:c>
      <x:c r="B31" s="13" t="str">
        <x:v>ADMIN</x:v>
      </x:c>
      <x:c r="C31" s="13" t="n">
        <x:v>6</x:v>
      </x:c>
      <x:c r="D31" s="13" t="n">
        <x:v>2</x:v>
      </x:c>
      <x:c r="E31" s="13" t="str">
        <x:v>/app/admin/strategy/business-case-configuration</x:v>
      </x:c>
      <x:c r="F31" s="13" t="str">
        <x:v>Enterprise Strategy Manager &gt; Project Definition &amp; Investment Case &gt; Business Case Manager</x:v>
      </x:c>
      <x:c r="G31" s="13" t="str">
        <x:v>frontend/src/features/business-case/BusinessCaseAdminView.tsx</x:v>
      </x:c>
      <x:c r="H31" s="13" t="str">
        <x:v>ADMIN_CONFIGURATION</x:v>
      </x:c>
      <x:c r="I31" s="20" t="b">
        <x:v>1</x:v>
      </x:c>
      <x:c r="J31" s="13" t="str">
        <x:v>NONE</x:v>
      </x:c>
      <x:c r="K31" s="20" t="b">
        <x:v>0</x:v>
      </x:c>
      <x:c r="L31" s="13" t="str"/>
    </x:row>
    <x:row r="32" ht="42" customHeight="1">
      <x:c r="A32" s="14" t="str">
        <x:v>NAV-25</x:v>
      </x:c>
      <x:c r="B32" s="6" t="str">
        <x:v>ADMIN</x:v>
      </x:c>
      <x:c r="C32" s="6" t="n">
        <x:v>6</x:v>
      </x:c>
      <x:c r="D32" s="6" t="n">
        <x:v>3</x:v>
      </x:c>
      <x:c r="E32" s="6" t="str">
        <x:v>/app/admin/strategy/benefits-configuration</x:v>
      </x:c>
      <x:c r="F32" s="6" t="str">
        <x:v>Enterprise Strategy Manager &gt; Project Definition &amp; Investment Case &gt; Benefits Configuration</x:v>
      </x:c>
      <x:c r="G32" s="6" t="str">
        <x:v>frontend/src/features/strategic-benefits/StrategicBenefitsAdminView.tsx</x:v>
      </x:c>
      <x:c r="H32" s="6" t="str">
        <x:v>ADMIN_CONFIGURATION</x:v>
      </x:c>
      <x:c r="I32" s="19" t="b">
        <x:v>1</x:v>
      </x:c>
      <x:c r="J32" s="6" t="str">
        <x:v>NONE</x:v>
      </x:c>
      <x:c r="K32" s="19" t="b">
        <x:v>0</x:v>
      </x:c>
      <x:c r="L32" s="6" t="str"/>
    </x:row>
    <x:row r="33" ht="42" customHeight="1">
      <x:c r="A33" s="15" t="str">
        <x:v>NAV-26</x:v>
      </x:c>
      <x:c r="B33" s="13" t="str">
        <x:v>ADMIN</x:v>
      </x:c>
      <x:c r="C33" s="13" t="n">
        <x:v>6</x:v>
      </x:c>
      <x:c r="D33" s="13" t="n">
        <x:v>4</x:v>
      </x:c>
      <x:c r="E33" s="13" t="str">
        <x:v>/app/admin/strategy/commercial-strategy-configuration</x:v>
      </x:c>
      <x:c r="F33" s="13" t="str">
        <x:v>Enterprise Strategy Manager &gt; Project Definition &amp; Investment Case &gt; Commercial Strategy Configuration</x:v>
      </x:c>
      <x:c r="G33" s="13" t="str">
        <x:v>frontend/src/features/commercial-strategy/CommercialStrategyAdminView.tsx</x:v>
      </x:c>
      <x:c r="H33" s="13" t="str">
        <x:v>ADMIN_CONFIGURATION</x:v>
      </x:c>
      <x:c r="I33" s="20" t="b">
        <x:v>1</x:v>
      </x:c>
      <x:c r="J33" s="13" t="str">
        <x:v>NONE</x:v>
      </x:c>
      <x:c r="K33" s="20" t="b">
        <x:v>0</x:v>
      </x:c>
      <x:c r="L33" s="13" t="str"/>
    </x:row>
    <x:row r="34" ht="42" customHeight="1">
      <x:c r="A34" s="14" t="str">
        <x:v>NAV-27</x:v>
      </x:c>
      <x:c r="B34" s="6" t="str">
        <x:v>ADMIN</x:v>
      </x:c>
      <x:c r="C34" s="6" t="n">
        <x:v>6</x:v>
      </x:c>
      <x:c r="D34" s="6" t="n">
        <x:v>5</x:v>
      </x:c>
      <x:c r="E34" s="6" t="str">
        <x:v>/app/admin/strategy/funds-manager-configuration</x:v>
      </x:c>
      <x:c r="F34" s="6" t="str">
        <x:v>Enterprise Strategy Manager &gt; Project Definition &amp; Investment Case &gt; Funds &amp; Funding Readiness</x:v>
      </x:c>
      <x:c r="G34" s="6" t="str">
        <x:v>frontend/src/features/funds-manager/FundsManagerAdminView.tsx</x:v>
      </x:c>
      <x:c r="H34" s="6" t="str">
        <x:v>ADMIN_CONFIGURATION</x:v>
      </x:c>
      <x:c r="I34" s="19" t="b">
        <x:v>1</x:v>
      </x:c>
      <x:c r="J34" s="6" t="str">
        <x:v>NONE</x:v>
      </x:c>
      <x:c r="K34" s="19" t="b">
        <x:v>0</x:v>
      </x:c>
      <x:c r="L34" s="6" t="str"/>
    </x:row>
    <x:row r="35" ht="42" customHeight="1">
      <x:c r="A35" s="15" t="str">
        <x:v>NAV-28</x:v>
      </x:c>
      <x:c r="B35" s="13" t="str">
        <x:v>ADMIN</x:v>
      </x:c>
      <x:c r="C35" s="13" t="n">
        <x:v>6</x:v>
      </x:c>
      <x:c r="D35" s="13" t="n">
        <x:v>6</x:v>
      </x:c>
      <x:c r="E35" s="13" t="str">
        <x:v>/app/admin/strategy/financial-model-configuration</x:v>
      </x:c>
      <x:c r="F35" s="13" t="str">
        <x:v>Enterprise Strategy Manager &gt; Project Definition &amp; Investment Case &gt; Economic &amp; Financial Model</x:v>
      </x:c>
      <x:c r="G35" s="13" t="str">
        <x:v>frontend/src/features/economic-financial-model/EconomicFinancialModelAdminView.tsx</x:v>
      </x:c>
      <x:c r="H35" s="13" t="str">
        <x:v>ADMIN_CONFIGURATION</x:v>
      </x:c>
      <x:c r="I35" s="20" t="b">
        <x:v>1</x:v>
      </x:c>
      <x:c r="J35" s="13" t="str">
        <x:v>NONE</x:v>
      </x:c>
      <x:c r="K35" s="20" t="b">
        <x:v>0</x:v>
      </x:c>
      <x:c r="L35" s="13" t="str"/>
    </x:row>
    <x:row r="36" ht="42" customHeight="1">
      <x:c r="A36" s="14" t="str">
        <x:v>NAV-29</x:v>
      </x:c>
      <x:c r="B36" s="6" t="str">
        <x:v>ADMIN</x:v>
      </x:c>
      <x:c r="C36" s="6" t="n">
        <x:v>6</x:v>
      </x:c>
      <x:c r="D36" s="6" t="n">
        <x:v>7</x:v>
      </x:c>
      <x:c r="E36" s="6" t="str">
        <x:v>/app/admin/strategy/risk-readiness-configuration</x:v>
      </x:c>
      <x:c r="F36" s="6" t="str">
        <x:v>Enterprise Strategy Manager &gt; Project Definition &amp; Investment Case &gt; Risk Readiness</x:v>
      </x:c>
      <x:c r="G36" s="6" t="str">
        <x:v>frontend/src/features/risk-readiness/RiskReadinessAdminView.tsx</x:v>
      </x:c>
      <x:c r="H36" s="6" t="str">
        <x:v>ADMIN_CONFIGURATION</x:v>
      </x:c>
      <x:c r="I36" s="19" t="b">
        <x:v>1</x:v>
      </x:c>
      <x:c r="J36" s="6" t="str">
        <x:v>NONE</x:v>
      </x:c>
      <x:c r="K36" s="19" t="b">
        <x:v>0</x:v>
      </x:c>
      <x:c r="L36" s="6" t="str"/>
    </x:row>
    <x:row r="37" ht="42" customHeight="1">
      <x:c r="A37" s="15" t="str">
        <x:v>NAV-30</x:v>
      </x:c>
      <x:c r="B37" s="13" t="str">
        <x:v>ADMIN</x:v>
      </x:c>
      <x:c r="C37" s="13" t="n">
        <x:v>6</x:v>
      </x:c>
      <x:c r="D37" s="13" t="n">
        <x:v>8</x:v>
      </x:c>
      <x:c r="E37" s="13" t="str">
        <x:v>/app/admin/strategy/permit-readiness-configuration</x:v>
      </x:c>
      <x:c r="F37" s="13" t="str">
        <x:v>Enterprise Strategy Manager &gt; Project Definition &amp; Investment Case &gt; Permit Readiness</x:v>
      </x:c>
      <x:c r="G37" s="13" t="str">
        <x:v>frontend/src/features/permit-readiness/PermitReadinessAdminView.tsx</x:v>
      </x:c>
      <x:c r="H37" s="13" t="str">
        <x:v>ADMIN_CONFIGURATION</x:v>
      </x:c>
      <x:c r="I37" s="20" t="b">
        <x:v>1</x:v>
      </x:c>
      <x:c r="J37" s="13" t="str">
        <x:v>NONE</x:v>
      </x:c>
      <x:c r="K37" s="20" t="b">
        <x:v>0</x:v>
      </x:c>
      <x:c r="L37" s="13" t="str"/>
    </x:row>
    <x:row r="38" ht="42" customHeight="1">
      <x:c r="A38" s="14" t="str">
        <x:v>NAV-31</x:v>
      </x:c>
      <x:c r="B38" s="6" t="str">
        <x:v>ADMIN</x:v>
      </x:c>
      <x:c r="C38" s="6" t="n">
        <x:v>6</x:v>
      </x:c>
      <x:c r="D38" s="6" t="n">
        <x:v>9</x:v>
      </x:c>
      <x:c r="E38" s="6" t="str">
        <x:v>/app/admin/strategy/basic-data-configuration</x:v>
      </x:c>
      <x:c r="F38" s="6" t="str">
        <x:v>Enterprise Strategy Manager &gt; Project Definition &amp; Investment Case &gt; Basic Data Readiness Configuration</x:v>
      </x:c>
      <x:c r="G38" s="6" t="str">
        <x:v>frontend/src/features/basic-data/BasicDataAdminView.tsx</x:v>
      </x:c>
      <x:c r="H38" s="6" t="str">
        <x:v>ADMIN_CONFIGURATION</x:v>
      </x:c>
      <x:c r="I38" s="19" t="b">
        <x:v>1</x:v>
      </x:c>
      <x:c r="J38" s="6" t="str">
        <x:v>NONE</x:v>
      </x:c>
      <x:c r="K38" s="19" t="b">
        <x:v>0</x:v>
      </x:c>
      <x:c r="L38" s="6" t="str"/>
    </x:row>
    <x:row r="39" ht="42" customHeight="1">
      <x:c r="A39" s="15" t="str">
        <x:v>NAV-32</x:v>
      </x:c>
      <x:c r="B39" s="13" t="str">
        <x:v>ADMIN</x:v>
      </x:c>
      <x:c r="C39" s="13" t="n">
        <x:v>6</x:v>
      </x:c>
      <x:c r="D39" s="13" t="n">
        <x:v>10</x:v>
      </x:c>
      <x:c r="E39" s="13" t="str">
        <x:v>/app/admin/strategy/owner-capability-configuration</x:v>
      </x:c>
      <x:c r="F39" s="13" t="str">
        <x:v>Enterprise Strategy Manager &gt; Project Definition &amp; Investment Case &gt; Owner Capability Readiness Configuration</x:v>
      </x:c>
      <x:c r="G39" s="13" t="str">
        <x:v>frontend/src/features/owner-capability/OwnerCapabilityAdminView.tsx</x:v>
      </x:c>
      <x:c r="H39" s="13" t="str">
        <x:v>ADMIN_CONFIGURATION</x:v>
      </x:c>
      <x:c r="I39" s="20" t="b">
        <x:v>1</x:v>
      </x:c>
      <x:c r="J39" s="13" t="str">
        <x:v>NONE</x:v>
      </x:c>
      <x:c r="K39" s="20" t="b">
        <x:v>0</x:v>
      </x:c>
      <x:c r="L39" s="13" t="str"/>
    </x:row>
    <x:row r="40" ht="42" customHeight="1">
      <x:c r="A40" s="14" t="str">
        <x:v>NAV-33</x:v>
      </x:c>
      <x:c r="B40" s="6" t="str">
        <x:v>ADMIN</x:v>
      </x:c>
      <x:c r="C40" s="6" t="n">
        <x:v>6</x:v>
      </x:c>
      <x:c r="D40" s="6" t="n">
        <x:v>11</x:v>
      </x:c>
      <x:c r="E40" s="6" t="str">
        <x:v>/app/admin/strategy/qra-methodology-source-readiness</x:v>
      </x:c>
      <x:c r="F40" s="6" t="str">
        <x:v>Enterprise Strategy Manager &gt; Project Definition &amp; Investment Case &gt; QRA Methodology &amp; Source Readiness</x:v>
      </x:c>
      <x:c r="G40" s="6" t="str">
        <x:v>frontend/src/features/qra-foundation/QraFoundationAdminView.tsx</x:v>
      </x:c>
      <x:c r="H40" s="6" t="str">
        <x:v>ADMIN_CONFIGURATION</x:v>
      </x:c>
      <x:c r="I40" s="19" t="b">
        <x:v>1</x:v>
      </x:c>
      <x:c r="J40" s="6" t="str">
        <x:v>NONE</x:v>
      </x:c>
      <x:c r="K40" s="19" t="b">
        <x:v>0</x:v>
      </x:c>
      <x:c r="L40" s="6" t="str"/>
    </x:row>
    <x:row r="41" ht="42" customHeight="1">
      <x:c r="A41" s="15" t="str">
        <x:v>NAV-34</x:v>
      </x:c>
      <x:c r="B41" s="13" t="str">
        <x:v>ADMIN</x:v>
      </x:c>
      <x:c r="C41" s="13" t="n">
        <x:v>7</x:v>
      </x:c>
      <x:c r="D41" s="13" t="n">
        <x:v>1</x:v>
      </x:c>
      <x:c r="E41" s="13" t="str">
        <x:v>/app/admin/strategy/investment-decision-evidence-policy</x:v>
      </x:c>
      <x:c r="F41" s="13" t="str">
        <x:v>Enterprise Strategy Manager &gt; Investment Governance &gt; Evidence &amp; Decision Policy</x:v>
      </x:c>
      <x:c r="G41" s="13" t="str">
        <x:v>frontend/src/features/investment-evidence-policy/InvestmentEvidencePolicyAdminView.tsx</x:v>
      </x:c>
      <x:c r="H41" s="13" t="str">
        <x:v>ADMIN_CONFIGURATION</x:v>
      </x:c>
      <x:c r="I41" s="20" t="b">
        <x:v>1</x:v>
      </x:c>
      <x:c r="J41" s="13" t="str">
        <x:v>ANCESTOR_LANDING_ALIAS_SAME_ROUTE</x:v>
      </x:c>
      <x:c r="K41" s="20" t="b">
        <x:v>0</x:v>
      </x:c>
      <x:c r="L41" s="13" t="str"/>
    </x:row>
    <x:row r="42" ht="42" customHeight="1">
      <x:c r="A42" s="14" t="str">
        <x:v>NAV-35</x:v>
      </x:c>
      <x:c r="B42" s="6" t="str">
        <x:v>ADMIN</x:v>
      </x:c>
      <x:c r="C42" s="6" t="n">
        <x:v>7</x:v>
      </x:c>
      <x:c r="D42" s="6" t="n">
        <x:v>2</x:v>
      </x:c>
      <x:c r="E42" s="6" t="str">
        <x:v>/app/admin/strategy/investment-gate-preparation-configuration</x:v>
      </x:c>
      <x:c r="F42" s="6" t="str">
        <x:v>Enterprise Strategy Manager &gt; Investment Governance &gt; Investment Gate Preparation</x:v>
      </x:c>
      <x:c r="G42" s="6" t="str">
        <x:v>frontend/src/features/investment-gate-preparation/InvestmentGatePreparationAdminView.tsx</x:v>
      </x:c>
      <x:c r="H42" s="6" t="str">
        <x:v>ADMIN_CONFIGURATION</x:v>
      </x:c>
      <x:c r="I42" s="19" t="b">
        <x:v>1</x:v>
      </x:c>
      <x:c r="J42" s="6" t="str">
        <x:v>NONE</x:v>
      </x:c>
      <x:c r="K42" s="19" t="b">
        <x:v>0</x:v>
      </x:c>
      <x:c r="L42" s="6" t="str"/>
    </x:row>
    <x:row r="43" ht="42" customHeight="1">
      <x:c r="A43" s="15" t="str">
        <x:v>NAV-36</x:v>
      </x:c>
      <x:c r="B43" s="13" t="str">
        <x:v>ADMIN</x:v>
      </x:c>
      <x:c r="C43" s="13" t="n">
        <x:v>7</x:v>
      </x:c>
      <x:c r="D43" s="13" t="n">
        <x:v>3</x:v>
      </x:c>
      <x:c r="E43" s="13" t="str">
        <x:v>/app/admin/strategy/investment-decision-configuration</x:v>
      </x:c>
      <x:c r="F43" s="13" t="str">
        <x:v>Enterprise Strategy Manager &gt; Investment Governance &gt; Investment Decision / FID</x:v>
      </x:c>
      <x:c r="G43" s="13" t="str">
        <x:v>frontend/src/features/investment-decision/InvestmentDecisionAdminView.tsx</x:v>
      </x:c>
      <x:c r="H43" s="13" t="str">
        <x:v>ADMIN_CONFIGURATION</x:v>
      </x:c>
      <x:c r="I43" s="20" t="b">
        <x:v>1</x:v>
      </x:c>
      <x:c r="J43" s="13" t="str">
        <x:v>NONE</x:v>
      </x:c>
      <x:c r="K43" s="20" t="b">
        <x:v>0</x:v>
      </x:c>
      <x:c r="L43" s="13" t="str"/>
    </x:row>
    <x:row r="44" ht="42" customHeight="1">
      <x:c r="A44" s="14" t="str">
        <x:v>NAV-37</x:v>
      </x:c>
      <x:c r="B44" s="6" t="str">
        <x:v>ADMIN</x:v>
      </x:c>
      <x:c r="C44" s="6" t="n">
        <x:v>7</x:v>
      </x:c>
      <x:c r="D44" s="6" t="n">
        <x:v>4</x:v>
      </x:c>
      <x:c r="E44" s="6" t="str">
        <x:v>/app/admin/strategy/post-fid-governance-configuration</x:v>
      </x:c>
      <x:c r="F44" s="6" t="str">
        <x:v>Enterprise Strategy Manager &gt; Investment Governance &gt; Post-FID Project Governance</x:v>
      </x:c>
      <x:c r="G44" s="6" t="str">
        <x:v>frontend/src/features/post-fid-governance/PostFIDGovernanceAdminView.tsx</x:v>
      </x:c>
      <x:c r="H44" s="6" t="str">
        <x:v>ADMIN_CONFIGURATION</x:v>
      </x:c>
      <x:c r="I44" s="19" t="b">
        <x:v>1</x:v>
      </x:c>
      <x:c r="J44" s="6" t="str">
        <x:v>NONE</x:v>
      </x:c>
      <x:c r="K44" s="19" t="b">
        <x:v>0</x:v>
      </x:c>
      <x:c r="L44" s="6" t="str"/>
    </x:row>
    <x:row r="45" ht="42" customHeight="1">
      <x:c r="A45" s="15" t="str">
        <x:v>NAV-38</x:v>
      </x:c>
      <x:c r="B45" s="13" t="str">
        <x:v>USER</x:v>
      </x:c>
      <x:c r="C45" s="13" t="n">
        <x:v>0</x:v>
      </x:c>
      <x:c r="D45" s="13" t="n">
        <x:v>1</x:v>
      </x:c>
      <x:c r="E45" s="13" t="str">
        <x:v>/app/strategy/enterprise-strategy-overview</x:v>
      </x:c>
      <x:c r="F45" s="13" t="str">
        <x:v>Enterprise Strategy Manager &gt; Enterprise Foundation &gt; Foundation Status</x:v>
      </x:c>
      <x:c r="G45" s="13" t="str">
        <x:v>frontend/src/features/enterprise-strategy/EnterpriseStrategyLanding.tsx</x:v>
      </x:c>
      <x:c r="H45" s="13" t="str">
        <x:v>READ_ONLY_SHARED</x:v>
      </x:c>
      <x:c r="I45" s="20" t="b">
        <x:v>1</x:v>
      </x:c>
      <x:c r="J45" s="13" t="str">
        <x:v>ANCESTOR_LANDING_ALIAS_SAME_ROUTE</x:v>
      </x:c>
      <x:c r="K45" s="20" t="b">
        <x:v>0</x:v>
      </x:c>
      <x:c r="L45" s="13" t="str"/>
    </x:row>
    <x:row r="46" ht="42" customHeight="1">
      <x:c r="A46" s="14" t="str">
        <x:v>NAV-39</x:v>
      </x:c>
      <x:c r="B46" s="6" t="str">
        <x:v>USER</x:v>
      </x:c>
      <x:c r="C46" s="6" t="n">
        <x:v>0</x:v>
      </x:c>
      <x:c r="D46" s="6" t="n">
        <x:v>2</x:v>
      </x:c>
      <x:c r="E46" s="6" t="str">
        <x:v>/app/strategy/enterprise-explorer</x:v>
      </x:c>
      <x:c r="F46" s="6" t="str">
        <x:v>Enterprise Strategy Manager &gt; Enterprise Foundation &gt; Enterprise Explorer</x:v>
      </x:c>
      <x:c r="G46" s="6" t="str">
        <x:v>frontend/src/features/enterprise-structure/pages/EnterpriseExplorerPage.tsx</x:v>
      </x:c>
      <x:c r="H46" s="6" t="str">
        <x:v>READ_ONLY_SHARED</x:v>
      </x:c>
      <x:c r="I46" s="19" t="b">
        <x:v>1</x:v>
      </x:c>
      <x:c r="J46" s="6" t="str">
        <x:v>NONE</x:v>
      </x:c>
      <x:c r="K46" s="19" t="b">
        <x:v>0</x:v>
      </x:c>
      <x:c r="L46" s="6" t="str"/>
    </x:row>
    <x:row r="47" ht="42" customHeight="1">
      <x:c r="A47" s="15" t="str">
        <x:v>NAV-40</x:v>
      </x:c>
      <x:c r="B47" s="13" t="str">
        <x:v>USER</x:v>
      </x:c>
      <x:c r="C47" s="13" t="n">
        <x:v>0</x:v>
      </x:c>
      <x:c r="D47" s="13" t="n">
        <x:v>3</x:v>
      </x:c>
      <x:c r="E47" s="13" t="str">
        <x:v>/app/strategy/workspace-context</x:v>
      </x:c>
      <x:c r="F47" s="13" t="str">
        <x:v>Enterprise Strategy Manager &gt; Enterprise Foundation &gt; Workspace Context</x:v>
      </x:c>
      <x:c r="G47" s="13" t="str">
        <x:v>frontend/src/features/workspace-context/MyWorkspacesPanel.tsx</x:v>
      </x:c>
      <x:c r="H47" s="13" t="str">
        <x:v>READ_ONLY_SHARED</x:v>
      </x:c>
      <x:c r="I47" s="20" t="b">
        <x:v>1</x:v>
      </x:c>
      <x:c r="J47" s="13" t="str">
        <x:v>NONE</x:v>
      </x:c>
      <x:c r="K47" s="20" t="b">
        <x:v>0</x:v>
      </x:c>
      <x:c r="L47" s="13" t="str"/>
    </x:row>
    <x:row r="48" ht="42" customHeight="1">
      <x:c r="A48" s="14" t="str">
        <x:v>NAV-41</x:v>
      </x:c>
      <x:c r="B48" s="6" t="str">
        <x:v>USER</x:v>
      </x:c>
      <x:c r="C48" s="6" t="n">
        <x:v>1</x:v>
      </x:c>
      <x:c r="D48" s="6" t="n">
        <x:v>1</x:v>
      </x:c>
      <x:c r="E48" s="6" t="str">
        <x:v>/app/strategy/capital-planning-cycles</x:v>
      </x:c>
      <x:c r="F48" s="6" t="str">
        <x:v>Enterprise Strategy Manager &gt; Strategic Capital Planning &amp; Demand &gt; Planning Cycles</x:v>
      </x:c>
      <x:c r="G48" s="6" t="str">
        <x:v>frontend/src/features/capital-planning/CapitalPlanningWorkspace.tsx</x:v>
      </x:c>
      <x:c r="H48" s="6" t="str">
        <x:v>USER_TRANSACTION</x:v>
      </x:c>
      <x:c r="I48" s="19" t="b">
        <x:v>1</x:v>
      </x:c>
      <x:c r="J48" s="6" t="str">
        <x:v>NONE</x:v>
      </x:c>
      <x:c r="K48" s="19" t="b">
        <x:v>0</x:v>
      </x:c>
      <x:c r="L48" s="6" t="str">
        <x:v>phase-0-enterprise-foundation</x:v>
      </x:c>
    </x:row>
    <x:row r="49" ht="42" customHeight="1">
      <x:c r="A49" s="15" t="str">
        <x:v>NAV-42</x:v>
      </x:c>
      <x:c r="B49" s="13" t="str">
        <x:v>USER</x:v>
      </x:c>
      <x:c r="C49" s="13" t="n">
        <x:v>1</x:v>
      </x:c>
      <x:c r="D49" s="13" t="n">
        <x:v>2</x:v>
      </x:c>
      <x:c r="E49" s="13" t="str">
        <x:v>/app/strategy/capital-demand-pipeline</x:v>
      </x:c>
      <x:c r="F49" s="13" t="str">
        <x:v>Enterprise Strategy Manager &gt; Strategic Capital Planning &amp; Demand &gt; Capital Demand Pipeline</x:v>
      </x:c>
      <x:c r="G49" s="13" t="str">
        <x:v>frontend/src/features/capital-planning/CapitalPlanningWorkspace.tsx</x:v>
      </x:c>
      <x:c r="H49" s="13" t="str">
        <x:v>USER_TRANSACTION</x:v>
      </x:c>
      <x:c r="I49" s="20" t="b">
        <x:v>1</x:v>
      </x:c>
      <x:c r="J49" s="13" t="str">
        <x:v>ANCESTOR_LANDING_ALIAS_SAME_ROUTE</x:v>
      </x:c>
      <x:c r="K49" s="20" t="b">
        <x:v>0</x:v>
      </x:c>
      <x:c r="L49" s="13" t="str">
        <x:v>capital-planning-cycles</x:v>
      </x:c>
    </x:row>
    <x:row r="50" ht="42" customHeight="1">
      <x:c r="A50" s="14" t="str">
        <x:v>NAV-43</x:v>
      </x:c>
      <x:c r="B50" s="6" t="str">
        <x:v>USER</x:v>
      </x:c>
      <x:c r="C50" s="6" t="n">
        <x:v>1</x:v>
      </x:c>
      <x:c r="D50" s="6" t="n">
        <x:v>3</x:v>
      </x:c>
      <x:c r="E50" s="6" t="str">
        <x:v>/app/strategy/capital-demand-my</x:v>
      </x:c>
      <x:c r="F50" s="6" t="str">
        <x:v>Enterprise Strategy Manager &gt; Strategic Capital Planning &amp; Demand &gt; My Demands</x:v>
      </x:c>
      <x:c r="G50" s="6" t="str">
        <x:v>frontend/src/features/capital-planning/CapitalPlanningWorkspace.tsx</x:v>
      </x:c>
      <x:c r="H50" s="6" t="str">
        <x:v>USER_TRANSACTION</x:v>
      </x:c>
      <x:c r="I50" s="19" t="b">
        <x:v>1</x:v>
      </x:c>
      <x:c r="J50" s="6" t="str">
        <x:v>NONE</x:v>
      </x:c>
      <x:c r="K50" s="19" t="b">
        <x:v>0</x:v>
      </x:c>
      <x:c r="L50" s="6" t="str">
        <x:v>capital-planning-cycles</x:v>
      </x:c>
    </x:row>
    <x:row r="51" ht="42" customHeight="1">
      <x:c r="A51" s="15" t="str">
        <x:v>NAV-44</x:v>
      </x:c>
      <x:c r="B51" s="13" t="str">
        <x:v>USER</x:v>
      </x:c>
      <x:c r="C51" s="13" t="n">
        <x:v>1</x:v>
      </x:c>
      <x:c r="D51" s="13" t="n">
        <x:v>4</x:v>
      </x:c>
      <x:c r="E51" s="13" t="str">
        <x:v>/app/strategy/capital-demand-review</x:v>
      </x:c>
      <x:c r="F51" s="13" t="str">
        <x:v>Enterprise Strategy Manager &gt; Strategic Capital Planning &amp; Demand &gt; Demands in Review</x:v>
      </x:c>
      <x:c r="G51" s="13" t="str">
        <x:v>frontend/src/features/capital-planning/CapitalPlanningWorkspace.tsx</x:v>
      </x:c>
      <x:c r="H51" s="13" t="str">
        <x:v>USER_TRANSACTION</x:v>
      </x:c>
      <x:c r="I51" s="20" t="b">
        <x:v>1</x:v>
      </x:c>
      <x:c r="J51" s="13" t="str">
        <x:v>NONE</x:v>
      </x:c>
      <x:c r="K51" s="20" t="b">
        <x:v>0</x:v>
      </x:c>
      <x:c r="L51" s="13" t="str">
        <x:v>capital-demand-pipeline</x:v>
      </x:c>
    </x:row>
    <x:row r="52" ht="42" customHeight="1">
      <x:c r="A52" s="14" t="str">
        <x:v>NAV-45</x:v>
      </x:c>
      <x:c r="B52" s="6" t="str">
        <x:v>USER</x:v>
      </x:c>
      <x:c r="C52" s="6" t="n">
        <x:v>1</x:v>
      </x:c>
      <x:c r="D52" s="6" t="n">
        <x:v>5</x:v>
      </x:c>
      <x:c r="E52" s="6" t="str">
        <x:v>/app/strategy/capital-demand-endorsed</x:v>
      </x:c>
      <x:c r="F52" s="6" t="str">
        <x:v>Enterprise Strategy Manager &gt; Strategic Capital Planning &amp; Demand &gt; Endorsed Demands</x:v>
      </x:c>
      <x:c r="G52" s="6" t="str">
        <x:v>frontend/src/features/capital-planning/CapitalPlanningWorkspace.tsx</x:v>
      </x:c>
      <x:c r="H52" s="6" t="str">
        <x:v>USER_TRANSACTION</x:v>
      </x:c>
      <x:c r="I52" s="19" t="b">
        <x:v>1</x:v>
      </x:c>
      <x:c r="J52" s="6" t="str">
        <x:v>NONE</x:v>
      </x:c>
      <x:c r="K52" s="19" t="b">
        <x:v>0</x:v>
      </x:c>
      <x:c r="L52" s="6" t="str">
        <x:v>capital-demand-review</x:v>
      </x:c>
    </x:row>
    <x:row r="53" ht="42" customHeight="1">
      <x:c r="A53" s="15" t="str">
        <x:v>NAV-46</x:v>
      </x:c>
      <x:c r="B53" s="13" t="str">
        <x:v>USER</x:v>
      </x:c>
      <x:c r="C53" s="13" t="n">
        <x:v>1</x:v>
      </x:c>
      <x:c r="D53" s="13" t="n">
        <x:v>6</x:v>
      </x:c>
      <x:c r="E53" s="13" t="str">
        <x:v>/app/strategy/capital-demand-history</x:v>
      </x:c>
      <x:c r="F53" s="13" t="str">
        <x:v>Enterprise Strategy Manager &gt; Strategic Capital Planning &amp; Demand &gt; Demand History</x:v>
      </x:c>
      <x:c r="G53" s="13" t="str">
        <x:v>frontend/src/features/capital-planning/CapitalPlanningWorkspace.tsx</x:v>
      </x:c>
      <x:c r="H53" s="13" t="str">
        <x:v>READ_ONLY_SHARED</x:v>
      </x:c>
      <x:c r="I53" s="20" t="b">
        <x:v>1</x:v>
      </x:c>
      <x:c r="J53" s="13" t="str">
        <x:v>NONE</x:v>
      </x:c>
      <x:c r="K53" s="20" t="b">
        <x:v>0</x:v>
      </x:c>
      <x:c r="L53" s="13" t="str">
        <x:v>capital-demand-pipeline</x:v>
      </x:c>
    </x:row>
    <x:row r="54" ht="42" customHeight="1">
      <x:c r="A54" s="14" t="str">
        <x:v>NAV-47</x:v>
      </x:c>
      <x:c r="B54" s="6" t="str">
        <x:v>USER</x:v>
      </x:c>
      <x:c r="C54" s="6" t="n">
        <x:v>1</x:v>
      </x:c>
      <x:c r="D54" s="6" t="n">
        <x:v>7</x:v>
      </x:c>
      <x:c r="E54" s="6" t="str">
        <x:v>/app/strategy/strategic-capital-allocation</x:v>
      </x:c>
      <x:c r="F54" s="6" t="str">
        <x:v>Enterprise Strategy Manager &gt; Strategic Capital Planning &amp; Demand &gt; Strategic Capital Allocation</x:v>
      </x:c>
      <x:c r="G54" s="6" t="str">
        <x:v>frontend/src/features/capital-allocation/StrategicCapitalAllocationWorkspace.tsx</x:v>
      </x:c>
      <x:c r="H54" s="6" t="str">
        <x:v>USER_TRANSACTION</x:v>
      </x:c>
      <x:c r="I54" s="19" t="b">
        <x:v>1</x:v>
      </x:c>
      <x:c r="J54" s="6" t="str">
        <x:v>NONE</x:v>
      </x:c>
      <x:c r="K54" s="19" t="b">
        <x:v>0</x:v>
      </x:c>
      <x:c r="L54" s="6" t="str">
        <x:v>capital-demand-pipeline</x:v>
      </x:c>
    </x:row>
    <x:row r="55" ht="42" customHeight="1">
      <x:c r="A55" s="15" t="str">
        <x:v>NAV-48</x:v>
      </x:c>
      <x:c r="B55" s="13" t="str">
        <x:v>USER</x:v>
      </x:c>
      <x:c r="C55" s="13" t="n">
        <x:v>1</x:v>
      </x:c>
      <x:c r="D55" s="13" t="n">
        <x:v>8</x:v>
      </x:c>
      <x:c r="E55" s="13" t="str">
        <x:v>/app/strategy/strategic-capital-allocation-history</x:v>
      </x:c>
      <x:c r="F55" s="13" t="str">
        <x:v>Enterprise Strategy Manager &gt; Strategic Capital Planning &amp; Demand &gt; Allocation History</x:v>
      </x:c>
      <x:c r="G55" s="13" t="str">
        <x:v>frontend/src/features/capital-allocation/StrategicCapitalAllocationWorkspace.tsx</x:v>
      </x:c>
      <x:c r="H55" s="13" t="str">
        <x:v>READ_ONLY_SHARED</x:v>
      </x:c>
      <x:c r="I55" s="20" t="b">
        <x:v>1</x:v>
      </x:c>
      <x:c r="J55" s="13" t="str">
        <x:v>NONE</x:v>
      </x:c>
      <x:c r="K55" s="20" t="b">
        <x:v>0</x:v>
      </x:c>
      <x:c r="L55" s="13" t="str">
        <x:v>strategic-capital-allocation</x:v>
      </x:c>
    </x:row>
    <x:row r="56" ht="42" customHeight="1">
      <x:c r="A56" s="14" t="str">
        <x:v>NAV-49</x:v>
      </x:c>
      <x:c r="B56" s="6" t="str">
        <x:v>USER</x:v>
      </x:c>
      <x:c r="C56" s="6" t="n">
        <x:v>2</x:v>
      </x:c>
      <x:c r="D56" s="6" t="n">
        <x:v>1</x:v>
      </x:c>
      <x:c r="E56" s="6" t="str">
        <x:v>/app/strategy/idea-lifecycle</x:v>
      </x:c>
      <x:c r="F56" s="6" t="str">
        <x:v>Enterprise Strategy Manager &gt; Investment Origination &amp; Shaping &gt; Idea Lifecycle</x:v>
      </x:c>
      <x:c r="G56" s="6" t="str">
        <x:v>frontend/src/features/idea-demand/IdeaLifecycleWorkspace.tsx</x:v>
      </x:c>
      <x:c r="H56" s="6" t="str">
        <x:v>USER_TRANSACTION</x:v>
      </x:c>
      <x:c r="I56" s="19" t="b">
        <x:v>1</x:v>
      </x:c>
      <x:c r="J56" s="6" t="str">
        <x:v>ANCESTOR_LANDING_ALIAS_SAME_ROUTE</x:v>
      </x:c>
      <x:c r="K56" s="19" t="b">
        <x:v>0</x:v>
      </x:c>
      <x:c r="L56" s="6" t="str">
        <x:v>phase-1-strategic-capital-planning-demand</x:v>
      </x:c>
    </x:row>
    <x:row r="57" ht="42" customHeight="1">
      <x:c r="A57" s="15" t="str">
        <x:v>NAV-50</x:v>
      </x:c>
      <x:c r="B57" s="13" t="str">
        <x:v>USER</x:v>
      </x:c>
      <x:c r="C57" s="13" t="n">
        <x:v>2</x:v>
      </x:c>
      <x:c r="D57" s="13" t="n">
        <x:v>2</x:v>
      </x:c>
      <x:c r="E57" s="13" t="str">
        <x:v>/app/strategy/business-analysis-options</x:v>
      </x:c>
      <x:c r="F57" s="13" t="str">
        <x:v>Enterprise Strategy Manager &gt; Investment Origination &amp; Shaping &gt; Business Analysis &amp; Options</x:v>
      </x:c>
      <x:c r="G57" s="13" t="str">
        <x:v>frontend/src/features/business-analysis/BusinessAnalysisWorkspace.tsx</x:v>
      </x:c>
      <x:c r="H57" s="13" t="str">
        <x:v>USER_TRANSACTION</x:v>
      </x:c>
      <x:c r="I57" s="20" t="b">
        <x:v>1</x:v>
      </x:c>
      <x:c r="J57" s="13" t="str">
        <x:v>NONE</x:v>
      </x:c>
      <x:c r="K57" s="20" t="b">
        <x:v>0</x:v>
      </x:c>
      <x:c r="L57" s="13" t="str">
        <x:v>idea-lifecycle</x:v>
      </x:c>
    </x:row>
    <x:row r="58" ht="42" customHeight="1">
      <x:c r="A58" s="14" t="str">
        <x:v>NAV-51</x:v>
      </x:c>
      <x:c r="B58" s="6" t="str">
        <x:v>USER</x:v>
      </x:c>
      <x:c r="C58" s="6" t="n">
        <x:v>2</x:v>
      </x:c>
      <x:c r="D58" s="6" t="n">
        <x:v>3</x:v>
      </x:c>
      <x:c r="E58" s="6" t="str">
        <x:v>/app/strategy/project-proposal</x:v>
      </x:c>
      <x:c r="F58" s="6" t="str">
        <x:v>Enterprise Strategy Manager &gt; Investment Origination &amp; Shaping &gt; Project Proposals</x:v>
      </x:c>
      <x:c r="G58" s="6" t="str">
        <x:v>frontend/src/features/project-proposal/ProjectProposalWorkspace.tsx</x:v>
      </x:c>
      <x:c r="H58" s="6" t="str">
        <x:v>USER_TRANSACTION</x:v>
      </x:c>
      <x:c r="I58" s="19" t="b">
        <x:v>1</x:v>
      </x:c>
      <x:c r="J58" s="6" t="str">
        <x:v>NONE</x:v>
      </x:c>
      <x:c r="K58" s="19" t="b">
        <x:v>0</x:v>
      </x:c>
      <x:c r="L58" s="6" t="str">
        <x:v>business-analysis-options</x:v>
      </x:c>
    </x:row>
    <x:row r="59" ht="42" customHeight="1">
      <x:c r="A59" s="15" t="str">
        <x:v>NAV-52</x:v>
      </x:c>
      <x:c r="B59" s="13" t="str">
        <x:v>USER</x:v>
      </x:c>
      <x:c r="C59" s="13" t="n">
        <x:v>3</x:v>
      </x:c>
      <x:c r="D59" s="13" t="n">
        <x:v>1</x:v>
      </x:c>
      <x:c r="E59" s="13" t="str">
        <x:v>/app/strategy/strategic-gate-decision</x:v>
      </x:c>
      <x:c r="F59" s="13" t="str">
        <x:v>Enterprise Strategy Manager &gt; Strategic Gate &gt; Strategic Gate Decision</x:v>
      </x:c>
      <x:c r="G59" s="13" t="str">
        <x:v>frontend/src/features/strategic-gate/StrategicGateWorkspace.tsx</x:v>
      </x:c>
      <x:c r="H59" s="13" t="str">
        <x:v>USER_TRANSACTION</x:v>
      </x:c>
      <x:c r="I59" s="20" t="b">
        <x:v>1</x:v>
      </x:c>
      <x:c r="J59" s="13" t="str">
        <x:v>ANCESTOR_LANDING_ALIAS_SAME_ROUTE</x:v>
      </x:c>
      <x:c r="K59" s="20" t="b">
        <x:v>0</x:v>
      </x:c>
      <x:c r="L59" s="13" t="str">
        <x:v>project-proposals</x:v>
      </x:c>
    </x:row>
    <x:row r="60" ht="42" customHeight="1">
      <x:c r="A60" s="14" t="str">
        <x:v>NAV-53</x:v>
      </x:c>
      <x:c r="B60" s="6" t="str">
        <x:v>USER</x:v>
      </x:c>
      <x:c r="C60" s="6" t="n">
        <x:v>4</x:v>
      </x:c>
      <x:c r="D60" s="6" t="n">
        <x:v>1</x:v>
      </x:c>
      <x:c r="E60" s="6" t="str">
        <x:v>/app/strategy/portfolio-structure</x:v>
      </x:c>
      <x:c r="F60" s="6" t="str">
        <x:v>Enterprise Strategy Manager &gt; Portfolio Planning &amp; Review &gt; Portfolio Intake &amp; Planning &gt; Portfolio Structure</x:v>
      </x:c>
      <x:c r="G60" s="6" t="str">
        <x:v>frontend/src/App.tsx:EmptySubmoduleScreen</x:v>
      </x:c>
      <x:c r="H60" s="6" t="str">
        <x:v>USER_TRANSACTION</x:v>
      </x:c>
      <x:c r="I60" s="19" t="b">
        <x:v>1</x:v>
      </x:c>
      <x:c r="J60" s="6" t="str">
        <x:v>NONE</x:v>
      </x:c>
      <x:c r="K60" s="19" t="b">
        <x:v>0</x:v>
      </x:c>
      <x:c r="L60" s="6" t="str"/>
    </x:row>
    <x:row r="61" ht="42" customHeight="1">
      <x:c r="A61" s="15" t="str">
        <x:v>NAV-54</x:v>
      </x:c>
      <x:c r="B61" s="13" t="str">
        <x:v>USER</x:v>
      </x:c>
      <x:c r="C61" s="13" t="n">
        <x:v>4</x:v>
      </x:c>
      <x:c r="D61" s="13" t="n">
        <x:v>2</x:v>
      </x:c>
      <x:c r="E61" s="13" t="str">
        <x:v>/app/strategy/strategic-project-planning-entry</x:v>
      </x:c>
      <x:c r="F61" s="13" t="str">
        <x:v>Enterprise Strategy Manager &gt; Portfolio Planning &amp; Review &gt; Portfolio Intake &amp; Planning &gt; Strategic Planning Entry</x:v>
      </x:c>
      <x:c r="G61" s="13" t="str">
        <x:v>frontend/src/features/portfolio-planning/StrategicPlanningEntryWorkspace.tsx</x:v>
      </x:c>
      <x:c r="H61" s="13" t="str">
        <x:v>USER_TRANSACTION</x:v>
      </x:c>
      <x:c r="I61" s="20" t="b">
        <x:v>1</x:v>
      </x:c>
      <x:c r="J61" s="13" t="str">
        <x:v>ANCESTOR_LANDING_ALIAS_SAME_ROUTE</x:v>
      </x:c>
      <x:c r="K61" s="20" t="b">
        <x:v>0</x:v>
      </x:c>
      <x:c r="L61" s="13" t="str"/>
    </x:row>
    <x:row r="62" ht="42" customHeight="1">
      <x:c r="A62" s="14" t="str">
        <x:v>NAV-55</x:v>
      </x:c>
      <x:c r="B62" s="6" t="str">
        <x:v>USER</x:v>
      </x:c>
      <x:c r="C62" s="6" t="n">
        <x:v>4</x:v>
      </x:c>
      <x:c r="D62" s="6" t="n">
        <x:v>3</x:v>
      </x:c>
      <x:c r="E62" s="6" t="str">
        <x:v>/app/strategy/portfolio-projects</x:v>
      </x:c>
      <x:c r="F62" s="6" t="str">
        <x:v>Enterprise Strategy Manager &gt; Portfolio Planning &amp; Review &gt; Portfolio Intake &amp; Planning &gt; Portfolio Projects</x:v>
      </x:c>
      <x:c r="G62" s="6" t="str">
        <x:v>frontend/src/features/portfolio-planning/PortfolioProjectsWorkspace.tsx</x:v>
      </x:c>
      <x:c r="H62" s="6" t="str">
        <x:v>USER_TRANSACTION</x:v>
      </x:c>
      <x:c r="I62" s="19" t="b">
        <x:v>1</x:v>
      </x:c>
      <x:c r="J62" s="6" t="str">
        <x:v>NONE</x:v>
      </x:c>
      <x:c r="K62" s="19" t="b">
        <x:v>0</x:v>
      </x:c>
      <x:c r="L62" s="6" t="str"/>
    </x:row>
    <x:row r="63" ht="42" customHeight="1">
      <x:c r="A63" s="15" t="str">
        <x:v>NAV-56</x:v>
      </x:c>
      <x:c r="B63" s="13" t="str">
        <x:v>USER</x:v>
      </x:c>
      <x:c r="C63" s="13" t="n">
        <x:v>4</x:v>
      </x:c>
      <x:c r="D63" s="13" t="n">
        <x:v>1</x:v>
      </x:c>
      <x:c r="E63" s="13" t="str">
        <x:v>/app/strategy/portfolio-evaluation</x:v>
      </x:c>
      <x:c r="F63" s="13" t="str">
        <x:v>Enterprise Strategy Manager &gt; Portfolio Planning &amp; Review &gt; Evaluation &amp; Prioritization &gt; Portfolio Evaluation</x:v>
      </x:c>
      <x:c r="G63" s="13" t="str">
        <x:v>frontend/src/features/portfolio-evaluation/PortfolioEvaluationWorkspace.tsx</x:v>
      </x:c>
      <x:c r="H63" s="13" t="str">
        <x:v>USER_TRANSACTION</x:v>
      </x:c>
      <x:c r="I63" s="20" t="b">
        <x:v>1</x:v>
      </x:c>
      <x:c r="J63" s="13" t="str">
        <x:v>ANCESTOR_LANDING_ALIAS_SAME_ROUTE</x:v>
      </x:c>
      <x:c r="K63" s="20" t="b">
        <x:v>0</x:v>
      </x:c>
      <x:c r="L63" s="13" t="str"/>
    </x:row>
    <x:row r="64" ht="42" customHeight="1">
      <x:c r="A64" s="14" t="str">
        <x:v>NAV-57</x:v>
      </x:c>
      <x:c r="B64" s="6" t="str">
        <x:v>USER</x:v>
      </x:c>
      <x:c r="C64" s="6" t="n">
        <x:v>4</x:v>
      </x:c>
      <x:c r="D64" s="6" t="n">
        <x:v>2</x:v>
      </x:c>
      <x:c r="E64" s="6" t="str">
        <x:v>/app/strategy/strategic-prioritization-matrix</x:v>
      </x:c>
      <x:c r="F64" s="6" t="str">
        <x:v>Enterprise Strategy Manager &gt; Portfolio Planning &amp; Review &gt; Evaluation &amp; Prioritization &gt; Prioritization Matrix</x:v>
      </x:c>
      <x:c r="G64" s="6" t="str">
        <x:v>frontend/src/features/portfolio-evaluation/PortfolioEvaluationWorkspace.tsx</x:v>
      </x:c>
      <x:c r="H64" s="6" t="str">
        <x:v>READ_ONLY_SHARED</x:v>
      </x:c>
      <x:c r="I64" s="19" t="b">
        <x:v>1</x:v>
      </x:c>
      <x:c r="J64" s="6" t="str">
        <x:v>NONE</x:v>
      </x:c>
      <x:c r="K64" s="19" t="b">
        <x:v>0</x:v>
      </x:c>
      <x:c r="L64" s="6" t="str"/>
    </x:row>
    <x:row r="65" ht="42" customHeight="1">
      <x:c r="A65" s="15" t="str">
        <x:v>NAV-58</x:v>
      </x:c>
      <x:c r="B65" s="13" t="str">
        <x:v>USER</x:v>
      </x:c>
      <x:c r="C65" s="13" t="n">
        <x:v>4</x:v>
      </x:c>
      <x:c r="D65" s="13" t="n">
        <x:v>1</x:v>
      </x:c>
      <x:c r="E65" s="13" t="str">
        <x:v>/app/strategy/portfolio-analysis</x:v>
      </x:c>
      <x:c r="F65" s="13" t="str">
        <x:v>Enterprise Strategy Manager &gt; Portfolio Planning &amp; Review &gt; Portfolio Analysis &gt; Analysis Overview</x:v>
      </x:c>
      <x:c r="G65" s="13" t="str">
        <x:v>frontend/src/features/portfolio-analysis/PortfolioAnalysisWorkspace.tsx</x:v>
      </x:c>
      <x:c r="H65" s="13" t="str">
        <x:v>READ_ONLY_SHARED</x:v>
      </x:c>
      <x:c r="I65" s="20" t="b">
        <x:v>1</x:v>
      </x:c>
      <x:c r="J65" s="13" t="str">
        <x:v>ANCESTOR_LANDING_ALIAS_SAME_ROUTE</x:v>
      </x:c>
      <x:c r="K65" s="20" t="b">
        <x:v>0</x:v>
      </x:c>
      <x:c r="L65" s="13" t="str"/>
    </x:row>
    <x:row r="66" ht="42" customHeight="1">
      <x:c r="A66" s="14" t="str">
        <x:v>NAV-59</x:v>
      </x:c>
      <x:c r="B66" s="6" t="str">
        <x:v>USER</x:v>
      </x:c>
      <x:c r="C66" s="6" t="n">
        <x:v>4</x:v>
      </x:c>
      <x:c r="D66" s="6" t="n">
        <x:v>1</x:v>
      </x:c>
      <x:c r="E66" s="6" t="str">
        <x:v>/app/strategy/portfolio-investor-map</x:v>
      </x:c>
      <x:c r="F66" s="6" t="str">
        <x:v>Enterprise Strategy Manager &gt; Portfolio Planning &amp; Review &gt; Portfolio Analysis &gt; Investor Map</x:v>
      </x:c>
      <x:c r="G66" s="6" t="str">
        <x:v>frontend/src/features/portfolio-analysis/PortfolioAnalysisWorkspace.tsx</x:v>
      </x:c>
      <x:c r="H66" s="6" t="str">
        <x:v>READ_ONLY_SHARED</x:v>
      </x:c>
      <x:c r="I66" s="19" t="b">
        <x:v>1</x:v>
      </x:c>
      <x:c r="J66" s="6" t="str">
        <x:v>NONE</x:v>
      </x:c>
      <x:c r="K66" s="19" t="b">
        <x:v>0</x:v>
      </x:c>
      <x:c r="L66" s="6" t="str"/>
    </x:row>
    <x:row r="67" ht="42" customHeight="1">
      <x:c r="A67" s="15" t="str">
        <x:v>NAV-60</x:v>
      </x:c>
      <x:c r="B67" s="13" t="str">
        <x:v>USER</x:v>
      </x:c>
      <x:c r="C67" s="13" t="n">
        <x:v>4</x:v>
      </x:c>
      <x:c r="D67" s="13" t="n">
        <x:v>2</x:v>
      </x:c>
      <x:c r="E67" s="13" t="str">
        <x:v>/app/strategy/portfolio-scorecard</x:v>
      </x:c>
      <x:c r="F67" s="13" t="str">
        <x:v>Enterprise Strategy Manager &gt; Portfolio Planning &amp; Review &gt; Portfolio Analysis &gt; Portfolio Scorecard</x:v>
      </x:c>
      <x:c r="G67" s="13" t="str">
        <x:v>frontend/src/features/portfolio-analysis/PortfolioAnalysisWorkspace.tsx</x:v>
      </x:c>
      <x:c r="H67" s="13" t="str">
        <x:v>READ_ONLY_SHARED</x:v>
      </x:c>
      <x:c r="I67" s="20" t="b">
        <x:v>1</x:v>
      </x:c>
      <x:c r="J67" s="13" t="str">
        <x:v>NONE</x:v>
      </x:c>
      <x:c r="K67" s="20" t="b">
        <x:v>0</x:v>
      </x:c>
      <x:c r="L67" s="13" t="str"/>
    </x:row>
    <x:row r="68" ht="42" customHeight="1">
      <x:c r="A68" s="14" t="str">
        <x:v>NAV-61</x:v>
      </x:c>
      <x:c r="B68" s="6" t="str">
        <x:v>USER</x:v>
      </x:c>
      <x:c r="C68" s="6" t="n">
        <x:v>5</x:v>
      </x:c>
      <x:c r="D68" s="6" t="n">
        <x:v>1</x:v>
      </x:c>
      <x:c r="E68" s="6" t="str">
        <x:v>/app/strategy/portfolio-budget-planning</x:v>
      </x:c>
      <x:c r="F68" s="6" t="str">
        <x:v>Enterprise Strategy Manager &gt; Portfolio Scenario Planning &gt; Budget Planning &amp; Scenarios &gt; Budget Planning Workspace</x:v>
      </x:c>
      <x:c r="G68" s="6" t="str">
        <x:v>frontend/src/features/portfolio-budget/PortfolioBudgetWorkspace.tsx</x:v>
      </x:c>
      <x:c r="H68" s="6" t="str">
        <x:v>USER_TRANSACTION</x:v>
      </x:c>
      <x:c r="I68" s="19" t="b">
        <x:v>1</x:v>
      </x:c>
      <x:c r="J68" s="6" t="str">
        <x:v>ANCESTOR_LANDING_ALIAS_SAME_ROUTE</x:v>
      </x:c>
      <x:c r="K68" s="19" t="b">
        <x:v>0</x:v>
      </x:c>
      <x:c r="L68" s="6" t="str"/>
    </x:row>
    <x:row r="69" ht="42" customHeight="1">
      <x:c r="A69" s="15" t="str">
        <x:v>NAV-62</x:v>
      </x:c>
      <x:c r="B69" s="13" t="str">
        <x:v>USER</x:v>
      </x:c>
      <x:c r="C69" s="13" t="n">
        <x:v>5</x:v>
      </x:c>
      <x:c r="D69" s="13" t="n">
        <x:v>2</x:v>
      </x:c>
      <x:c r="E69" s="13" t="str">
        <x:v>/app/strategy/portfolio-cash-flow</x:v>
      </x:c>
      <x:c r="F69" s="13" t="str">
        <x:v>Enterprise Strategy Manager &gt; Portfolio Scenario Planning &gt; Budget Planning &amp; Scenarios &gt; Portfolio Cash Flow</x:v>
      </x:c>
      <x:c r="G69" s="13" t="str">
        <x:v>frontend/src/App.tsx:EmptySubmoduleScreen</x:v>
      </x:c>
      <x:c r="H69" s="13" t="str">
        <x:v>READ_ONLY_SHARED</x:v>
      </x:c>
      <x:c r="I69" s="20" t="b">
        <x:v>1</x:v>
      </x:c>
      <x:c r="J69" s="13" t="str">
        <x:v>NONE</x:v>
      </x:c>
      <x:c r="K69" s="20" t="b">
        <x:v>0</x:v>
      </x:c>
      <x:c r="L69" s="13" t="str"/>
    </x:row>
    <x:row r="70" ht="42" customHeight="1">
      <x:c r="A70" s="14" t="str">
        <x:v>NAV-63</x:v>
      </x:c>
      <x:c r="B70" s="6" t="str">
        <x:v>USER</x:v>
      </x:c>
      <x:c r="C70" s="6" t="n">
        <x:v>5</x:v>
      </x:c>
      <x:c r="D70" s="6" t="n">
        <x:v>2</x:v>
      </x:c>
      <x:c r="E70" s="6" t="str">
        <x:v>/app/strategy/portfolio-resource-planning</x:v>
      </x:c>
      <x:c r="F70" s="6" t="str">
        <x:v>Enterprise Strategy Manager &gt; Portfolio Scenario Planning &gt; Resource Planning &amp; Scenarios</x:v>
      </x:c>
      <x:c r="G70" s="6" t="str">
        <x:v>frontend/src/features/portfolio-resource/PortfolioResourceWorkspace.tsx</x:v>
      </x:c>
      <x:c r="H70" s="6" t="str">
        <x:v>USER_TRANSACTION</x:v>
      </x:c>
      <x:c r="I70" s="19" t="b">
        <x:v>1</x:v>
      </x:c>
      <x:c r="J70" s="6" t="str">
        <x:v>NONE</x:v>
      </x:c>
      <x:c r="K70" s="19" t="b">
        <x:v>0</x:v>
      </x:c>
      <x:c r="L70" s="6" t="str">
        <x:v>portfolio-analysis</x:v>
      </x:c>
    </x:row>
    <x:row r="71" ht="42" customHeight="1">
      <x:c r="A71" s="15" t="str">
        <x:v>NAV-64</x:v>
      </x:c>
      <x:c r="B71" s="13" t="str">
        <x:v>USER</x:v>
      </x:c>
      <x:c r="C71" s="13" t="n">
        <x:v>5</x:v>
      </x:c>
      <x:c r="D71" s="13" t="n">
        <x:v>3</x:v>
      </x:c>
      <x:c r="E71" s="13" t="str">
        <x:v>/app/strategy/portfolio-scenario-convergence</x:v>
      </x:c>
      <x:c r="F71" s="13" t="str">
        <x:v>Enterprise Strategy Manager &gt; Portfolio Scenario Planning &gt; Scenario Convergence &amp; Recommendation</x:v>
      </x:c>
      <x:c r="G71" s="13" t="str">
        <x:v>frontend/src/features/portfolio-convergence/PortfolioConvergenceWorkspace.tsx</x:v>
      </x:c>
      <x:c r="H71" s="13" t="str">
        <x:v>USER_TRANSACTION</x:v>
      </x:c>
      <x:c r="I71" s="20" t="b">
        <x:v>1</x:v>
      </x:c>
      <x:c r="J71" s="13" t="str">
        <x:v>ANCESTOR_LANDING_ALIAS_SAME_ROUTE</x:v>
      </x:c>
      <x:c r="K71" s="20" t="b">
        <x:v>0</x:v>
      </x:c>
      <x:c r="L71" s="13" t="str">
        <x:v>budget-planning-scenarios; resource-planning-scenarios</x:v>
      </x:c>
    </x:row>
    <x:row r="72" ht="42" customHeight="1">
      <x:c r="A72" s="14" t="str">
        <x:v>NAV-65</x:v>
      </x:c>
      <x:c r="B72" s="6" t="str">
        <x:v>USER</x:v>
      </x:c>
      <x:c r="C72" s="6" t="n">
        <x:v>5</x:v>
      </x:c>
      <x:c r="D72" s="6" t="n">
        <x:v>1</x:v>
      </x:c>
      <x:c r="E72" s="6" t="str">
        <x:v>/app/strategy/portfolio-review-sessions</x:v>
      </x:c>
      <x:c r="F72" s="6" t="str">
        <x:v>Enterprise Strategy Manager &gt; Portfolio Scenario Planning &gt; Periodic Portfolio Review &gt; Review Calendar / Sessions</x:v>
      </x:c>
      <x:c r="G72" s="6" t="str">
        <x:v>frontend/src/features/portfolio-review/PortfolioReviewWorkspace.tsx</x:v>
      </x:c>
      <x:c r="H72" s="6" t="str">
        <x:v>USER_TRANSACTION</x:v>
      </x:c>
      <x:c r="I72" s="19" t="b">
        <x:v>1</x:v>
      </x:c>
      <x:c r="J72" s="6" t="str">
        <x:v>ANCESTOR_LANDING_ALIAS_SAME_ROUTE</x:v>
      </x:c>
      <x:c r="K72" s="19" t="b">
        <x:v>0</x:v>
      </x:c>
      <x:c r="L72" s="6" t="str"/>
    </x:row>
    <x:row r="73" ht="42" customHeight="1">
      <x:c r="A73" s="15" t="str">
        <x:v>NAV-66</x:v>
      </x:c>
      <x:c r="B73" s="13" t="str">
        <x:v>USER</x:v>
      </x:c>
      <x:c r="C73" s="13" t="n">
        <x:v>5</x:v>
      </x:c>
      <x:c r="D73" s="13" t="n">
        <x:v>2</x:v>
      </x:c>
      <x:c r="E73" s="13" t="str">
        <x:v>/app/strategy/portfolio-review-overview</x:v>
      </x:c>
      <x:c r="F73" s="13" t="str">
        <x:v>Enterprise Strategy Manager &gt; Portfolio Scenario Planning &gt; Periodic Portfolio Review &gt; Overview</x:v>
      </x:c>
      <x:c r="G73" s="13" t="str">
        <x:v>frontend/src/features/portfolio-review/PortfolioReviewWorkspace.tsx</x:v>
      </x:c>
      <x:c r="H73" s="13" t="str">
        <x:v>USER_TRANSACTION</x:v>
      </x:c>
      <x:c r="I73" s="20" t="b">
        <x:v>1</x:v>
      </x:c>
      <x:c r="J73" s="13" t="str">
        <x:v>NONE</x:v>
      </x:c>
      <x:c r="K73" s="20" t="b">
        <x:v>0</x:v>
      </x:c>
      <x:c r="L73" s="13" t="str"/>
    </x:row>
    <x:row r="74" ht="42" customHeight="1">
      <x:c r="A74" s="14" t="str">
        <x:v>NAV-67</x:v>
      </x:c>
      <x:c r="B74" s="6" t="str">
        <x:v>USER</x:v>
      </x:c>
      <x:c r="C74" s="6" t="n">
        <x:v>5</x:v>
      </x:c>
      <x:c r="D74" s="6" t="n">
        <x:v>3</x:v>
      </x:c>
      <x:c r="E74" s="6" t="str">
        <x:v>/app/strategy/portfolio-review-snapshot</x:v>
      </x:c>
      <x:c r="F74" s="6" t="str">
        <x:v>Enterprise Strategy Manager &gt; Portfolio Scenario Planning &gt; Periodic Portfolio Review &gt; Portfolio Snapshot</x:v>
      </x:c>
      <x:c r="G74" s="6" t="str">
        <x:v>frontend/src/features/portfolio-review/PortfolioReviewWorkspace.tsx</x:v>
      </x:c>
      <x:c r="H74" s="6" t="str">
        <x:v>USER_TRANSACTION</x:v>
      </x:c>
      <x:c r="I74" s="19" t="b">
        <x:v>1</x:v>
      </x:c>
      <x:c r="J74" s="6" t="str">
        <x:v>NONE</x:v>
      </x:c>
      <x:c r="K74" s="19" t="b">
        <x:v>0</x:v>
      </x:c>
      <x:c r="L74" s="6" t="str"/>
    </x:row>
    <x:row r="75" ht="42" customHeight="1">
      <x:c r="A75" s="15" t="str">
        <x:v>NAV-68</x:v>
      </x:c>
      <x:c r="B75" s="13" t="str">
        <x:v>USER</x:v>
      </x:c>
      <x:c r="C75" s="13" t="n">
        <x:v>5</x:v>
      </x:c>
      <x:c r="D75" s="13" t="n">
        <x:v>4</x:v>
      </x:c>
      <x:c r="E75" s="13" t="str">
        <x:v>/app/strategy/portfolio-review-allocation</x:v>
      </x:c>
      <x:c r="F75" s="13" t="str">
        <x:v>Enterprise Strategy Manager &gt; Portfolio Scenario Planning &gt; Periodic Portfolio Review &gt; Strategic Allocation</x:v>
      </x:c>
      <x:c r="G75" s="13" t="str">
        <x:v>frontend/src/features/portfolio-review/PortfolioReviewWorkspace.tsx</x:v>
      </x:c>
      <x:c r="H75" s="13" t="str">
        <x:v>READ_ONLY_SHARED</x:v>
      </x:c>
      <x:c r="I75" s="20" t="b">
        <x:v>1</x:v>
      </x:c>
      <x:c r="J75" s="13" t="str">
        <x:v>NONE</x:v>
      </x:c>
      <x:c r="K75" s="20" t="b">
        <x:v>0</x:v>
      </x:c>
      <x:c r="L75" s="13" t="str"/>
    </x:row>
    <x:row r="76" ht="42" customHeight="1">
      <x:c r="A76" s="14" t="str">
        <x:v>NAV-69</x:v>
      </x:c>
      <x:c r="B76" s="6" t="str">
        <x:v>USER</x:v>
      </x:c>
      <x:c r="C76" s="6" t="n">
        <x:v>5</x:v>
      </x:c>
      <x:c r="D76" s="6" t="n">
        <x:v>5</x:v>
      </x:c>
      <x:c r="E76" s="6" t="str">
        <x:v>/app/strategy/portfolio-review-project-matrix</x:v>
      </x:c>
      <x:c r="F76" s="6" t="str">
        <x:v>Enterprise Strategy Manager &gt; Portfolio Scenario Planning &gt; Periodic Portfolio Review &gt; Project Matrix</x:v>
      </x:c>
      <x:c r="G76" s="6" t="str">
        <x:v>frontend/src/features/portfolio-review/PortfolioReviewWorkspace.tsx</x:v>
      </x:c>
      <x:c r="H76" s="6" t="str">
        <x:v>READ_ONLY_SHARED</x:v>
      </x:c>
      <x:c r="I76" s="19" t="b">
        <x:v>1</x:v>
      </x:c>
      <x:c r="J76" s="6" t="str">
        <x:v>NONE</x:v>
      </x:c>
      <x:c r="K76" s="19" t="b">
        <x:v>0</x:v>
      </x:c>
      <x:c r="L76" s="6" t="str"/>
    </x:row>
    <x:row r="77" ht="42" customHeight="1">
      <x:c r="A77" s="15" t="str">
        <x:v>NAV-70</x:v>
      </x:c>
      <x:c r="B77" s="13" t="str">
        <x:v>USER</x:v>
      </x:c>
      <x:c r="C77" s="13" t="n">
        <x:v>5</x:v>
      </x:c>
      <x:c r="D77" s="13" t="n">
        <x:v>6</x:v>
      </x:c>
      <x:c r="E77" s="13" t="str">
        <x:v>/app/strategy/portfolio-review-budget-resources</x:v>
      </x:c>
      <x:c r="F77" s="13" t="str">
        <x:v>Enterprise Strategy Manager &gt; Portfolio Scenario Planning &gt; Periodic Portfolio Review &gt; Budget &amp; Resources</x:v>
      </x:c>
      <x:c r="G77" s="13" t="str">
        <x:v>frontend/src/features/portfolio-review/PortfolioReviewWorkspace.tsx</x:v>
      </x:c>
      <x:c r="H77" s="13" t="str">
        <x:v>READ_ONLY_SHARED</x:v>
      </x:c>
      <x:c r="I77" s="20" t="b">
        <x:v>1</x:v>
      </x:c>
      <x:c r="J77" s="13" t="str">
        <x:v>NONE</x:v>
      </x:c>
      <x:c r="K77" s="20" t="b">
        <x:v>0</x:v>
      </x:c>
      <x:c r="L77" s="13" t="str"/>
    </x:row>
    <x:row r="78" ht="42" customHeight="1">
      <x:c r="A78" s="14" t="str">
        <x:v>NAV-71</x:v>
      </x:c>
      <x:c r="B78" s="6" t="str">
        <x:v>USER</x:v>
      </x:c>
      <x:c r="C78" s="6" t="n">
        <x:v>5</x:v>
      </x:c>
      <x:c r="D78" s="6" t="n">
        <x:v>7</x:v>
      </x:c>
      <x:c r="E78" s="6" t="str">
        <x:v>/app/strategy/portfolio-review-gate-fid</x:v>
      </x:c>
      <x:c r="F78" s="6" t="str">
        <x:v>Enterprise Strategy Manager &gt; Portfolio Scenario Planning &gt; Periodic Portfolio Review &gt; Gate / FID Status</x:v>
      </x:c>
      <x:c r="G78" s="6" t="str">
        <x:v>frontend/src/features/portfolio-review/PortfolioReviewWorkspace.tsx</x:v>
      </x:c>
      <x:c r="H78" s="6" t="str">
        <x:v>READ_ONLY_SHARED</x:v>
      </x:c>
      <x:c r="I78" s="19" t="b">
        <x:v>1</x:v>
      </x:c>
      <x:c r="J78" s="6" t="str">
        <x:v>NONE</x:v>
      </x:c>
      <x:c r="K78" s="19" t="b">
        <x:v>0</x:v>
      </x:c>
      <x:c r="L78" s="6" t="str"/>
    </x:row>
    <x:row r="79" ht="42" customHeight="1">
      <x:c r="A79" s="15" t="str">
        <x:v>NAV-72</x:v>
      </x:c>
      <x:c r="B79" s="13" t="str">
        <x:v>USER</x:v>
      </x:c>
      <x:c r="C79" s="13" t="n">
        <x:v>5</x:v>
      </x:c>
      <x:c r="D79" s="13" t="n">
        <x:v>8</x:v>
      </x:c>
      <x:c r="E79" s="13" t="str">
        <x:v>/app/strategy/portfolio-review-exceptions</x:v>
      </x:c>
      <x:c r="F79" s="13" t="str">
        <x:v>Enterprise Strategy Manager &gt; Portfolio Scenario Planning &gt; Periodic Portfolio Review &gt; Exceptions</x:v>
      </x:c>
      <x:c r="G79" s="13" t="str">
        <x:v>frontend/src/features/portfolio-review/PortfolioReviewWorkspace.tsx</x:v>
      </x:c>
      <x:c r="H79" s="13" t="str">
        <x:v>READ_ONLY_SHARED</x:v>
      </x:c>
      <x:c r="I79" s="20" t="b">
        <x:v>1</x:v>
      </x:c>
      <x:c r="J79" s="13" t="str">
        <x:v>NONE</x:v>
      </x:c>
      <x:c r="K79" s="20" t="b">
        <x:v>0</x:v>
      </x:c>
      <x:c r="L79" s="13" t="str"/>
    </x:row>
    <x:row r="80" ht="42" customHeight="1">
      <x:c r="A80" s="14" t="str">
        <x:v>NAV-73</x:v>
      </x:c>
      <x:c r="B80" s="6" t="str">
        <x:v>USER</x:v>
      </x:c>
      <x:c r="C80" s="6" t="n">
        <x:v>5</x:v>
      </x:c>
      <x:c r="D80" s="6" t="n">
        <x:v>9</x:v>
      </x:c>
      <x:c r="E80" s="6" t="str">
        <x:v>/app/strategy/portfolio-review-conclusions</x:v>
      </x:c>
      <x:c r="F80" s="6" t="str">
        <x:v>Enterprise Strategy Manager &gt; Portfolio Scenario Planning &gt; Periodic Portfolio Review &gt; Conclusions</x:v>
      </x:c>
      <x:c r="G80" s="6" t="str">
        <x:v>frontend/src/features/portfolio-review/PortfolioReviewWorkspace.tsx</x:v>
      </x:c>
      <x:c r="H80" s="6" t="str">
        <x:v>USER_TRANSACTION</x:v>
      </x:c>
      <x:c r="I80" s="19" t="b">
        <x:v>1</x:v>
      </x:c>
      <x:c r="J80" s="6" t="str">
        <x:v>NONE</x:v>
      </x:c>
      <x:c r="K80" s="19" t="b">
        <x:v>0</x:v>
      </x:c>
      <x:c r="L80" s="6" t="str"/>
    </x:row>
    <x:row r="81" ht="42" customHeight="1">
      <x:c r="A81" s="15" t="str">
        <x:v>NAV-74</x:v>
      </x:c>
      <x:c r="B81" s="13" t="str">
        <x:v>USER</x:v>
      </x:c>
      <x:c r="C81" s="13" t="n">
        <x:v>5</x:v>
      </x:c>
      <x:c r="D81" s="13" t="n">
        <x:v>10</x:v>
      </x:c>
      <x:c r="E81" s="13" t="str">
        <x:v>/app/strategy/portfolio-review-actions</x:v>
      </x:c>
      <x:c r="F81" s="13" t="str">
        <x:v>Enterprise Strategy Manager &gt; Portfolio Scenario Planning &gt; Periodic Portfolio Review &gt; Actions</x:v>
      </x:c>
      <x:c r="G81" s="13" t="str">
        <x:v>frontend/src/features/portfolio-review/PortfolioReviewWorkspace.tsx</x:v>
      </x:c>
      <x:c r="H81" s="13" t="str">
        <x:v>USER_TRANSACTION</x:v>
      </x:c>
      <x:c r="I81" s="20" t="b">
        <x:v>1</x:v>
      </x:c>
      <x:c r="J81" s="13" t="str">
        <x:v>NONE</x:v>
      </x:c>
      <x:c r="K81" s="20" t="b">
        <x:v>0</x:v>
      </x:c>
      <x:c r="L81" s="13" t="str"/>
    </x:row>
    <x:row r="82" ht="42" customHeight="1">
      <x:c r="A82" s="14" t="str">
        <x:v>NAV-75</x:v>
      </x:c>
      <x:c r="B82" s="6" t="str">
        <x:v>USER</x:v>
      </x:c>
      <x:c r="C82" s="6" t="n">
        <x:v>5</x:v>
      </x:c>
      <x:c r="D82" s="6" t="n">
        <x:v>11</x:v>
      </x:c>
      <x:c r="E82" s="6" t="str">
        <x:v>/app/strategy/portfolio-review-history</x:v>
      </x:c>
      <x:c r="F82" s="6" t="str">
        <x:v>Enterprise Strategy Manager &gt; Portfolio Scenario Planning &gt; Periodic Portfolio Review &gt; History</x:v>
      </x:c>
      <x:c r="G82" s="6" t="str">
        <x:v>frontend/src/features/portfolio-review/PortfolioReviewWorkspace.tsx</x:v>
      </x:c>
      <x:c r="H82" s="6" t="str">
        <x:v>READ_ONLY_SHARED</x:v>
      </x:c>
      <x:c r="I82" s="19" t="b">
        <x:v>1</x:v>
      </x:c>
      <x:c r="J82" s="6" t="str">
        <x:v>NONE</x:v>
      </x:c>
      <x:c r="K82" s="19" t="b">
        <x:v>0</x:v>
      </x:c>
      <x:c r="L82" s="6" t="str"/>
    </x:row>
    <x:row r="83" ht="42" customHeight="1">
      <x:c r="A83" s="15" t="str">
        <x:v>NAV-76</x:v>
      </x:c>
      <x:c r="B83" s="13" t="str">
        <x:v>USER</x:v>
      </x:c>
      <x:c r="C83" s="13" t="n">
        <x:v>5</x:v>
      </x:c>
      <x:c r="D83" s="13" t="n">
        <x:v>12</x:v>
      </x:c>
      <x:c r="E83" s="13" t="str">
        <x:v>/app/strategy/portfolio-review-trends</x:v>
      </x:c>
      <x:c r="F83" s="13" t="str">
        <x:v>Enterprise Strategy Manager &gt; Portfolio Scenario Planning &gt; Periodic Portfolio Review &gt; Trends</x:v>
      </x:c>
      <x:c r="G83" s="13" t="str">
        <x:v>frontend/src/features/portfolio-review/PortfolioReviewWorkspace.tsx</x:v>
      </x:c>
      <x:c r="H83" s="13" t="str">
        <x:v>READ_ONLY_SHARED</x:v>
      </x:c>
      <x:c r="I83" s="20" t="b">
        <x:v>1</x:v>
      </x:c>
      <x:c r="J83" s="13" t="str">
        <x:v>NONE</x:v>
      </x:c>
      <x:c r="K83" s="20" t="b">
        <x:v>0</x:v>
      </x:c>
      <x:c r="L83" s="13" t="str"/>
    </x:row>
    <x:row r="84" ht="42" customHeight="1">
      <x:c r="A84" s="14" t="str">
        <x:v>NAV-77</x:v>
      </x:c>
      <x:c r="B84" s="6" t="str">
        <x:v>USER</x:v>
      </x:c>
      <x:c r="C84" s="6" t="n">
        <x:v>6</x:v>
      </x:c>
      <x:c r="D84" s="6" t="n">
        <x:v>1</x:v>
      </x:c>
      <x:c r="E84" s="6" t="str">
        <x:v>/app/strategy/project-definition-fel</x:v>
      </x:c>
      <x:c r="F84" s="6" t="str">
        <x:v>Enterprise Strategy Manager &gt; Business Case &amp; Investment Development &gt; Project Definition / FEL</x:v>
      </x:c>
      <x:c r="G84" s="6" t="str">
        <x:v>frontend/src/features/project-definition/ProjectDefinitionWorkspace.tsx</x:v>
      </x:c>
      <x:c r="H84" s="6" t="str">
        <x:v>USER_TRANSACTION</x:v>
      </x:c>
      <x:c r="I84" s="19" t="b">
        <x:v>1</x:v>
      </x:c>
      <x:c r="J84" s="6" t="str">
        <x:v>ANCESTOR_LANDING_ALIAS_SAME_ROUTE</x:v>
      </x:c>
      <x:c r="K84" s="19" t="b">
        <x:v>0</x:v>
      </x:c>
      <x:c r="L84" s="6" t="str">
        <x:v>phase-5-portfolio-scenario-planning</x:v>
      </x:c>
    </x:row>
    <x:row r="85" ht="42" customHeight="1">
      <x:c r="A85" s="15" t="str">
        <x:v>NAV-78</x:v>
      </x:c>
      <x:c r="B85" s="13" t="str">
        <x:v>USER</x:v>
      </x:c>
      <x:c r="C85" s="13" t="n">
        <x:v>6</x:v>
      </x:c>
      <x:c r="D85" s="13" t="n">
        <x:v>2</x:v>
      </x:c>
      <x:c r="E85" s="13" t="str">
        <x:v>/app/strategy/business-case-my</x:v>
      </x:c>
      <x:c r="F85" s="13" t="str">
        <x:v>Enterprise Strategy Manager &gt; Business Case &amp; Investment Development &gt; Business Case Manager</x:v>
      </x:c>
      <x:c r="G85" s="13" t="str">
        <x:v>frontend/src/features/business-case/BusinessCaseWorkspace.tsx</x:v>
      </x:c>
      <x:c r="H85" s="13" t="str">
        <x:v>USER_TRANSACTION</x:v>
      </x:c>
      <x:c r="I85" s="20" t="b">
        <x:v>1</x:v>
      </x:c>
      <x:c r="J85" s="13" t="str">
        <x:v>NONE</x:v>
      </x:c>
      <x:c r="K85" s="20" t="b">
        <x:v>0</x:v>
      </x:c>
      <x:c r="L85" s="13" t="str">
        <x:v>phase-5-portfolio-scenario-planning</x:v>
      </x:c>
    </x:row>
    <x:row r="86" ht="42" customHeight="1">
      <x:c r="A86" s="14" t="str">
        <x:v>NAV-79</x:v>
      </x:c>
      <x:c r="B86" s="6" t="str">
        <x:v>USER</x:v>
      </x:c>
      <x:c r="C86" s="6" t="n">
        <x:v>6</x:v>
      </x:c>
      <x:c r="D86" s="6" t="n">
        <x:v>1</x:v>
      </x:c>
      <x:c r="E86" s="6" t="str">
        <x:v>/app/strategy/business-case-overview</x:v>
      </x:c>
      <x:c r="F86" s="6" t="str">
        <x:v>Enterprise Strategy Manager &gt; Business Case &amp; Investment Development &gt; Business Case Manager &gt; Overview</x:v>
      </x:c>
      <x:c r="G86" s="6" t="str">
        <x:v>frontend/src/features/business-case/BusinessCaseWorkspace.tsx</x:v>
      </x:c>
      <x:c r="H86" s="6" t="str">
        <x:v>USER_TRANSACTION</x:v>
      </x:c>
      <x:c r="I86" s="19" t="b">
        <x:v>1</x:v>
      </x:c>
      <x:c r="J86" s="6" t="str">
        <x:v>NONE</x:v>
      </x:c>
      <x:c r="K86" s="19" t="b">
        <x:v>0</x:v>
      </x:c>
      <x:c r="L86" s="6" t="str"/>
    </x:row>
    <x:row r="87" ht="42" customHeight="1">
      <x:c r="A87" s="15" t="str">
        <x:v>NAV-80</x:v>
      </x:c>
      <x:c r="B87" s="13" t="str">
        <x:v>USER</x:v>
      </x:c>
      <x:c r="C87" s="13" t="n">
        <x:v>6</x:v>
      </x:c>
      <x:c r="D87" s="13" t="n">
        <x:v>2</x:v>
      </x:c>
      <x:c r="E87" s="13" t="str">
        <x:v>/app/strategy/business-case-strategic</x:v>
      </x:c>
      <x:c r="F87" s="13" t="str">
        <x:v>Enterprise Strategy Manager &gt; Business Case &amp; Investment Development &gt; Business Case Manager &gt; Strategic Case</x:v>
      </x:c>
      <x:c r="G87" s="13" t="str">
        <x:v>frontend/src/features/business-case/BusinessCaseWorkspace.tsx</x:v>
      </x:c>
      <x:c r="H87" s="13" t="str">
        <x:v>USER_TRANSACTION</x:v>
      </x:c>
      <x:c r="I87" s="20" t="b">
        <x:v>1</x:v>
      </x:c>
      <x:c r="J87" s="13" t="str">
        <x:v>NONE</x:v>
      </x:c>
      <x:c r="K87" s="20" t="b">
        <x:v>0</x:v>
      </x:c>
      <x:c r="L87" s="13" t="str"/>
    </x:row>
    <x:row r="88" ht="42" customHeight="1">
      <x:c r="A88" s="14" t="str">
        <x:v>NAV-81</x:v>
      </x:c>
      <x:c r="B88" s="6" t="str">
        <x:v>USER</x:v>
      </x:c>
      <x:c r="C88" s="6" t="n">
        <x:v>6</x:v>
      </x:c>
      <x:c r="D88" s="6" t="n">
        <x:v>3</x:v>
      </x:c>
      <x:c r="E88" s="6" t="str">
        <x:v>/app/strategy/business-case-economic</x:v>
      </x:c>
      <x:c r="F88" s="6" t="str">
        <x:v>Enterprise Strategy Manager &gt; Business Case &amp; Investment Development &gt; Business Case Manager &gt; Economic Case</x:v>
      </x:c>
      <x:c r="G88" s="6" t="str">
        <x:v>frontend/src/features/business-case/BusinessCaseWorkspace.tsx</x:v>
      </x:c>
      <x:c r="H88" s="6" t="str">
        <x:v>USER_TRANSACTION</x:v>
      </x:c>
      <x:c r="I88" s="19" t="b">
        <x:v>1</x:v>
      </x:c>
      <x:c r="J88" s="6" t="str">
        <x:v>NONE</x:v>
      </x:c>
      <x:c r="K88" s="19" t="b">
        <x:v>0</x:v>
      </x:c>
      <x:c r="L88" s="6" t="str"/>
    </x:row>
    <x:row r="89" ht="42" customHeight="1">
      <x:c r="A89" s="15" t="str">
        <x:v>NAV-82</x:v>
      </x:c>
      <x:c r="B89" s="13" t="str">
        <x:v>USER</x:v>
      </x:c>
      <x:c r="C89" s="13" t="n">
        <x:v>6</x:v>
      </x:c>
      <x:c r="D89" s="13" t="n">
        <x:v>4</x:v>
      </x:c>
      <x:c r="E89" s="13" t="str">
        <x:v>/app/strategy/business-case-commercial</x:v>
      </x:c>
      <x:c r="F89" s="13" t="str">
        <x:v>Enterprise Strategy Manager &gt; Business Case &amp; Investment Development &gt; Business Case Manager &gt; Commercial Case</x:v>
      </x:c>
      <x:c r="G89" s="13" t="str">
        <x:v>frontend/src/features/business-case/BusinessCaseWorkspace.tsx</x:v>
      </x:c>
      <x:c r="H89" s="13" t="str">
        <x:v>USER_TRANSACTION</x:v>
      </x:c>
      <x:c r="I89" s="20" t="b">
        <x:v>1</x:v>
      </x:c>
      <x:c r="J89" s="13" t="str">
        <x:v>NONE</x:v>
      </x:c>
      <x:c r="K89" s="20" t="b">
        <x:v>0</x:v>
      </x:c>
      <x:c r="L89" s="13" t="str"/>
    </x:row>
    <x:row r="90" ht="42" customHeight="1">
      <x:c r="A90" s="14" t="str">
        <x:v>NAV-83</x:v>
      </x:c>
      <x:c r="B90" s="6" t="str">
        <x:v>USER</x:v>
      </x:c>
      <x:c r="C90" s="6" t="n">
        <x:v>6</x:v>
      </x:c>
      <x:c r="D90" s="6" t="n">
        <x:v>5</x:v>
      </x:c>
      <x:c r="E90" s="6" t="str">
        <x:v>/app/strategy/business-case-financial</x:v>
      </x:c>
      <x:c r="F90" s="6" t="str">
        <x:v>Enterprise Strategy Manager &gt; Business Case &amp; Investment Development &gt; Business Case Manager &gt; Financial Case</x:v>
      </x:c>
      <x:c r="G90" s="6" t="str">
        <x:v>frontend/src/features/business-case/BusinessCaseWorkspace.tsx</x:v>
      </x:c>
      <x:c r="H90" s="6" t="str">
        <x:v>USER_TRANSACTION</x:v>
      </x:c>
      <x:c r="I90" s="19" t="b">
        <x:v>1</x:v>
      </x:c>
      <x:c r="J90" s="6" t="str">
        <x:v>NONE</x:v>
      </x:c>
      <x:c r="K90" s="19" t="b">
        <x:v>0</x:v>
      </x:c>
      <x:c r="L90" s="6" t="str"/>
    </x:row>
    <x:row r="91" ht="42" customHeight="1">
      <x:c r="A91" s="15" t="str">
        <x:v>NAV-84</x:v>
      </x:c>
      <x:c r="B91" s="13" t="str">
        <x:v>USER</x:v>
      </x:c>
      <x:c r="C91" s="13" t="n">
        <x:v>6</x:v>
      </x:c>
      <x:c r="D91" s="13" t="n">
        <x:v>6</x:v>
      </x:c>
      <x:c r="E91" s="13" t="str">
        <x:v>/app/strategy/business-case-management</x:v>
      </x:c>
      <x:c r="F91" s="13" t="str">
        <x:v>Enterprise Strategy Manager &gt; Business Case &amp; Investment Development &gt; Business Case Manager &gt; Management Case</x:v>
      </x:c>
      <x:c r="G91" s="13" t="str">
        <x:v>frontend/src/features/business-case/BusinessCaseWorkspace.tsx</x:v>
      </x:c>
      <x:c r="H91" s="13" t="str">
        <x:v>USER_TRANSACTION</x:v>
      </x:c>
      <x:c r="I91" s="20" t="b">
        <x:v>1</x:v>
      </x:c>
      <x:c r="J91" s="13" t="str">
        <x:v>NONE</x:v>
      </x:c>
      <x:c r="K91" s="20" t="b">
        <x:v>0</x:v>
      </x:c>
      <x:c r="L91" s="13" t="str"/>
    </x:row>
    <x:row r="92" ht="42" customHeight="1">
      <x:c r="A92" s="14" t="str">
        <x:v>NAV-85</x:v>
      </x:c>
      <x:c r="B92" s="6" t="str">
        <x:v>USER</x:v>
      </x:c>
      <x:c r="C92" s="6" t="n">
        <x:v>6</x:v>
      </x:c>
      <x:c r="D92" s="6" t="n">
        <x:v>7</x:v>
      </x:c>
      <x:c r="E92" s="6" t="str">
        <x:v>/app/strategy/business-case-sources-evidence</x:v>
      </x:c>
      <x:c r="F92" s="6" t="str">
        <x:v>Enterprise Strategy Manager &gt; Business Case &amp; Investment Development &gt; Business Case Manager &gt; Sources &amp; Evidence</x:v>
      </x:c>
      <x:c r="G92" s="6" t="str">
        <x:v>frontend/src/features/business-case/BusinessCaseWorkspace.tsx</x:v>
      </x:c>
      <x:c r="H92" s="6" t="str">
        <x:v>USER_TRANSACTION</x:v>
      </x:c>
      <x:c r="I92" s="19" t="b">
        <x:v>1</x:v>
      </x:c>
      <x:c r="J92" s="6" t="str">
        <x:v>NONE</x:v>
      </x:c>
      <x:c r="K92" s="19" t="b">
        <x:v>0</x:v>
      </x:c>
      <x:c r="L92" s="6" t="str"/>
    </x:row>
    <x:row r="93" ht="42" customHeight="1">
      <x:c r="A93" s="15" t="str">
        <x:v>NAV-86</x:v>
      </x:c>
      <x:c r="B93" s="13" t="str">
        <x:v>USER</x:v>
      </x:c>
      <x:c r="C93" s="13" t="n">
        <x:v>6</x:v>
      </x:c>
      <x:c r="D93" s="13" t="n">
        <x:v>8</x:v>
      </x:c>
      <x:c r="E93" s="13" t="str">
        <x:v>/app/strategy/business-case-readiness</x:v>
      </x:c>
      <x:c r="F93" s="13" t="str">
        <x:v>Enterprise Strategy Manager &gt; Business Case &amp; Investment Development &gt; Business Case Manager &gt; Readiness</x:v>
      </x:c>
      <x:c r="G93" s="13" t="str">
        <x:v>frontend/src/features/business-case/BusinessCaseWorkspace.tsx</x:v>
      </x:c>
      <x:c r="H93" s="13" t="str">
        <x:v>USER_TRANSACTION</x:v>
      </x:c>
      <x:c r="I93" s="20" t="b">
        <x:v>1</x:v>
      </x:c>
      <x:c r="J93" s="13" t="str">
        <x:v>NONE</x:v>
      </x:c>
      <x:c r="K93" s="20" t="b">
        <x:v>0</x:v>
      </x:c>
      <x:c r="L93" s="13" t="str"/>
    </x:row>
    <x:row r="94" ht="42" customHeight="1">
      <x:c r="A94" s="14" t="str">
        <x:v>NAV-87</x:v>
      </x:c>
      <x:c r="B94" s="6" t="str">
        <x:v>USER</x:v>
      </x:c>
      <x:c r="C94" s="6" t="n">
        <x:v>6</x:v>
      </x:c>
      <x:c r="D94" s="6" t="n">
        <x:v>9</x:v>
      </x:c>
      <x:c r="E94" s="6" t="str">
        <x:v>/app/strategy/business-case-decision-snapshots</x:v>
      </x:c>
      <x:c r="F94" s="6" t="str">
        <x:v>Enterprise Strategy Manager &gt; Business Case &amp; Investment Development &gt; Business Case Manager &gt; Decision Snapshots</x:v>
      </x:c>
      <x:c r="G94" s="6" t="str">
        <x:v>frontend/src/features/business-case/BusinessCaseWorkspace.tsx</x:v>
      </x:c>
      <x:c r="H94" s="6" t="str">
        <x:v>USER_TRANSACTION</x:v>
      </x:c>
      <x:c r="I94" s="19" t="b">
        <x:v>1</x:v>
      </x:c>
      <x:c r="J94" s="6" t="str">
        <x:v>NONE</x:v>
      </x:c>
      <x:c r="K94" s="19" t="b">
        <x:v>0</x:v>
      </x:c>
      <x:c r="L94" s="6" t="str"/>
    </x:row>
    <x:row r="95" ht="42" customHeight="1">
      <x:c r="A95" s="15" t="str">
        <x:v>NAV-88</x:v>
      </x:c>
      <x:c r="B95" s="13" t="str">
        <x:v>USER</x:v>
      </x:c>
      <x:c r="C95" s="13" t="n">
        <x:v>6</x:v>
      </x:c>
      <x:c r="D95" s="13" t="n">
        <x:v>10</x:v>
      </x:c>
      <x:c r="E95" s="13" t="str">
        <x:v>/app/strategy/business-case-history</x:v>
      </x:c>
      <x:c r="F95" s="13" t="str">
        <x:v>Enterprise Strategy Manager &gt; Business Case &amp; Investment Development &gt; Business Case Manager &gt; History</x:v>
      </x:c>
      <x:c r="G95" s="13" t="str">
        <x:v>frontend/src/features/business-case/BusinessCaseWorkspace.tsx</x:v>
      </x:c>
      <x:c r="H95" s="13" t="str">
        <x:v>USER_TRANSACTION</x:v>
      </x:c>
      <x:c r="I95" s="20" t="b">
        <x:v>1</x:v>
      </x:c>
      <x:c r="J95" s="13" t="str">
        <x:v>NONE</x:v>
      </x:c>
      <x:c r="K95" s="20" t="b">
        <x:v>0</x:v>
      </x:c>
      <x:c r="L95" s="13" t="str"/>
    </x:row>
    <x:row r="96" ht="42" customHeight="1">
      <x:c r="A96" s="14" t="str">
        <x:v>NAV-89</x:v>
      </x:c>
      <x:c r="B96" s="6" t="str">
        <x:v>USER</x:v>
      </x:c>
      <x:c r="C96" s="6" t="n">
        <x:v>6</x:v>
      </x:c>
      <x:c r="D96" s="6" t="n">
        <x:v>1</x:v>
      </x:c>
      <x:c r="E96" s="6" t="str">
        <x:v>/app/strategy/strategic-benefits-my</x:v>
      </x:c>
      <x:c r="F96" s="6" t="str">
        <x:v>Enterprise Strategy Manager &gt; Business Case &amp; Investment Development &gt; Strategic Benefits Plan &amp; Traceability &gt; My Plans</x:v>
      </x:c>
      <x:c r="G96" s="6" t="str">
        <x:v>frontend/src/features/strategic-benefits/StrategicBenefitsWorkspace.tsx</x:v>
      </x:c>
      <x:c r="H96" s="6" t="str">
        <x:v>USER_TRANSACTION</x:v>
      </x:c>
      <x:c r="I96" s="19" t="b">
        <x:v>1</x:v>
      </x:c>
      <x:c r="J96" s="6" t="str">
        <x:v>ANCESTOR_LANDING_ALIAS_SAME_ROUTE</x:v>
      </x:c>
      <x:c r="K96" s="19" t="b">
        <x:v>0</x:v>
      </x:c>
      <x:c r="L96" s="6" t="str"/>
    </x:row>
    <x:row r="97" ht="42" customHeight="1">
      <x:c r="A97" s="15" t="str">
        <x:v>NAV-90</x:v>
      </x:c>
      <x:c r="B97" s="13" t="str">
        <x:v>USER</x:v>
      </x:c>
      <x:c r="C97" s="13" t="n">
        <x:v>6</x:v>
      </x:c>
      <x:c r="D97" s="13" t="n">
        <x:v>2</x:v>
      </x:c>
      <x:c r="E97" s="13" t="str">
        <x:v>/app/strategy/strategic-benefits-overview</x:v>
      </x:c>
      <x:c r="F97" s="13" t="str">
        <x:v>Enterprise Strategy Manager &gt; Business Case &amp; Investment Development &gt; Strategic Benefits Plan &amp; Traceability &gt; Overview</x:v>
      </x:c>
      <x:c r="G97" s="13" t="str">
        <x:v>frontend/src/features/strategic-benefits/StrategicBenefitsWorkspace.tsx</x:v>
      </x:c>
      <x:c r="H97" s="13" t="str">
        <x:v>USER_TRANSACTION</x:v>
      </x:c>
      <x:c r="I97" s="20" t="b">
        <x:v>1</x:v>
      </x:c>
      <x:c r="J97" s="13" t="str">
        <x:v>NONE</x:v>
      </x:c>
      <x:c r="K97" s="20" t="b">
        <x:v>0</x:v>
      </x:c>
      <x:c r="L97" s="13" t="str"/>
    </x:row>
    <x:row r="98" ht="53" customHeight="1">
      <x:c r="A98" s="14" t="str">
        <x:v>NAV-91</x:v>
      </x:c>
      <x:c r="B98" s="6" t="str">
        <x:v>USER</x:v>
      </x:c>
      <x:c r="C98" s="6" t="n">
        <x:v>6</x:v>
      </x:c>
      <x:c r="D98" s="6" t="n">
        <x:v>3</x:v>
      </x:c>
      <x:c r="E98" s="6" t="str">
        <x:v>/app/strategy/strategic-benefits-strategic-alignment</x:v>
      </x:c>
      <x:c r="F98" s="6" t="str">
        <x:v>Enterprise Strategy Manager &gt; Business Case &amp; Investment Development &gt; Strategic Benefits Plan &amp; Traceability &gt; Strategic Alignment</x:v>
      </x:c>
      <x:c r="G98" s="6" t="str">
        <x:v>frontend/src/features/strategic-benefits/StrategicBenefitsWorkspace.tsx</x:v>
      </x:c>
      <x:c r="H98" s="6" t="str">
        <x:v>USER_TRANSACTION</x:v>
      </x:c>
      <x:c r="I98" s="19" t="b">
        <x:v>1</x:v>
      </x:c>
      <x:c r="J98" s="6" t="str">
        <x:v>NONE</x:v>
      </x:c>
      <x:c r="K98" s="19" t="b">
        <x:v>0</x:v>
      </x:c>
      <x:c r="L98" s="6" t="str"/>
    </x:row>
    <x:row r="99" ht="42" customHeight="1">
      <x:c r="A99" s="15" t="str">
        <x:v>NAV-92</x:v>
      </x:c>
      <x:c r="B99" s="13" t="str">
        <x:v>USER</x:v>
      </x:c>
      <x:c r="C99" s="13" t="n">
        <x:v>6</x:v>
      </x:c>
      <x:c r="D99" s="13" t="n">
        <x:v>4</x:v>
      </x:c>
      <x:c r="E99" s="13" t="str">
        <x:v>/app/strategy/strategic-benefits-outputs</x:v>
      </x:c>
      <x:c r="F99" s="13" t="str">
        <x:v>Enterprise Strategy Manager &gt; Business Case &amp; Investment Development &gt; Strategic Benefits Plan &amp; Traceability &gt; Outputs</x:v>
      </x:c>
      <x:c r="G99" s="13" t="str">
        <x:v>frontend/src/features/strategic-benefits/StrategicBenefitsWorkspace.tsx</x:v>
      </x:c>
      <x:c r="H99" s="13" t="str">
        <x:v>USER_TRANSACTION</x:v>
      </x:c>
      <x:c r="I99" s="20" t="b">
        <x:v>1</x:v>
      </x:c>
      <x:c r="J99" s="13" t="str">
        <x:v>NONE</x:v>
      </x:c>
      <x:c r="K99" s="20" t="b">
        <x:v>0</x:v>
      </x:c>
      <x:c r="L99" s="13" t="str"/>
    </x:row>
    <x:row r="100" ht="42" customHeight="1">
      <x:c r="A100" s="14" t="str">
        <x:v>NAV-93</x:v>
      </x:c>
      <x:c r="B100" s="6" t="str">
        <x:v>USER</x:v>
      </x:c>
      <x:c r="C100" s="6" t="n">
        <x:v>6</x:v>
      </x:c>
      <x:c r="D100" s="6" t="n">
        <x:v>5</x:v>
      </x:c>
      <x:c r="E100" s="6" t="str">
        <x:v>/app/strategy/strategic-benefits-outcomes</x:v>
      </x:c>
      <x:c r="F100" s="6" t="str">
        <x:v>Enterprise Strategy Manager &gt; Business Case &amp; Investment Development &gt; Strategic Benefits Plan &amp; Traceability &gt; Outcomes</x:v>
      </x:c>
      <x:c r="G100" s="6" t="str">
        <x:v>frontend/src/features/strategic-benefits/StrategicBenefitsWorkspace.tsx</x:v>
      </x:c>
      <x:c r="H100" s="6" t="str">
        <x:v>USER_TRANSACTION</x:v>
      </x:c>
      <x:c r="I100" s="19" t="b">
        <x:v>1</x:v>
      </x:c>
      <x:c r="J100" s="6" t="str">
        <x:v>NONE</x:v>
      </x:c>
      <x:c r="K100" s="19" t="b">
        <x:v>0</x:v>
      </x:c>
      <x:c r="L100" s="6" t="str"/>
    </x:row>
    <x:row r="101" ht="53" customHeight="1">
      <x:c r="A101" s="15" t="str">
        <x:v>NAV-94</x:v>
      </x:c>
      <x:c r="B101" s="13" t="str">
        <x:v>USER</x:v>
      </x:c>
      <x:c r="C101" s="13" t="n">
        <x:v>6</x:v>
      </x:c>
      <x:c r="D101" s="13" t="n">
        <x:v>6</x:v>
      </x:c>
      <x:c r="E101" s="13" t="str">
        <x:v>/app/strategy/strategic-benefits-register</x:v>
      </x:c>
      <x:c r="F101" s="13" t="str">
        <x:v>Enterprise Strategy Manager &gt; Business Case &amp; Investment Development &gt; Strategic Benefits Plan &amp; Traceability &gt; Benefits Register</x:v>
      </x:c>
      <x:c r="G101" s="13" t="str">
        <x:v>frontend/src/features/strategic-benefits/StrategicBenefitsWorkspace.tsx</x:v>
      </x:c>
      <x:c r="H101" s="13" t="str">
        <x:v>USER_TRANSACTION</x:v>
      </x:c>
      <x:c r="I101" s="20" t="b">
        <x:v>1</x:v>
      </x:c>
      <x:c r="J101" s="13" t="str">
        <x:v>NONE</x:v>
      </x:c>
      <x:c r="K101" s="20" t="b">
        <x:v>0</x:v>
      </x:c>
      <x:c r="L101" s="13" t="str"/>
    </x:row>
    <x:row r="102" ht="53" customHeight="1">
      <x:c r="A102" s="14" t="str">
        <x:v>NAV-95</x:v>
      </x:c>
      <x:c r="B102" s="6" t="str">
        <x:v>USER</x:v>
      </x:c>
      <x:c r="C102" s="6" t="n">
        <x:v>6</x:v>
      </x:c>
      <x:c r="D102" s="6" t="n">
        <x:v>7</x:v>
      </x:c>
      <x:c r="E102" s="6" t="str">
        <x:v>/app/strategy/strategic-benefits-measures</x:v>
      </x:c>
      <x:c r="F102" s="6" t="str">
        <x:v>Enterprise Strategy Manager &gt; Business Case &amp; Investment Development &gt; Strategic Benefits Plan &amp; Traceability &gt; Measures / KPIs</x:v>
      </x:c>
      <x:c r="G102" s="6" t="str">
        <x:v>frontend/src/features/strategic-benefits/StrategicBenefitsWorkspace.tsx</x:v>
      </x:c>
      <x:c r="H102" s="6" t="str">
        <x:v>USER_TRANSACTION</x:v>
      </x:c>
      <x:c r="I102" s="19" t="b">
        <x:v>1</x:v>
      </x:c>
      <x:c r="J102" s="6" t="str">
        <x:v>NONE</x:v>
      </x:c>
      <x:c r="K102" s="19" t="b">
        <x:v>0</x:v>
      </x:c>
      <x:c r="L102" s="6" t="str"/>
    </x:row>
    <x:row r="103" ht="53" customHeight="1">
      <x:c r="A103" s="15" t="str">
        <x:v>NAV-96</x:v>
      </x:c>
      <x:c r="B103" s="13" t="str">
        <x:v>USER</x:v>
      </x:c>
      <x:c r="C103" s="13" t="n">
        <x:v>6</x:v>
      </x:c>
      <x:c r="D103" s="13" t="n">
        <x:v>8</x:v>
      </x:c>
      <x:c r="E103" s="13" t="str">
        <x:v>/app/strategy/strategic-benefits-owners</x:v>
      </x:c>
      <x:c r="F103" s="13" t="str">
        <x:v>Enterprise Strategy Manager &gt; Business Case &amp; Investment Development &gt; Strategic Benefits Plan &amp; Traceability &gt; Benefit Owners</x:v>
      </x:c>
      <x:c r="G103" s="13" t="str">
        <x:v>frontend/src/features/strategic-benefits/StrategicBenefitsWorkspace.tsx</x:v>
      </x:c>
      <x:c r="H103" s="13" t="str">
        <x:v>USER_TRANSACTION</x:v>
      </x:c>
      <x:c r="I103" s="20" t="b">
        <x:v>1</x:v>
      </x:c>
      <x:c r="J103" s="13" t="str">
        <x:v>NONE</x:v>
      </x:c>
      <x:c r="K103" s="20" t="b">
        <x:v>0</x:v>
      </x:c>
      <x:c r="L103" s="13" t="str"/>
    </x:row>
    <x:row r="104" ht="53" customHeight="1">
      <x:c r="A104" s="14" t="str">
        <x:v>NAV-97</x:v>
      </x:c>
      <x:c r="B104" s="6" t="str">
        <x:v>USER</x:v>
      </x:c>
      <x:c r="C104" s="6" t="n">
        <x:v>6</x:v>
      </x:c>
      <x:c r="D104" s="6" t="n">
        <x:v>9</x:v>
      </x:c>
      <x:c r="E104" s="6" t="str">
        <x:v>/app/strategy/strategic-benefits-baselines-targets</x:v>
      </x:c>
      <x:c r="F104" s="6" t="str">
        <x:v>Enterprise Strategy Manager &gt; Business Case &amp; Investment Development &gt; Strategic Benefits Plan &amp; Traceability &gt; Baselines &amp; Targets</x:v>
      </x:c>
      <x:c r="G104" s="6" t="str">
        <x:v>frontend/src/features/strategic-benefits/StrategicBenefitsWorkspace.tsx</x:v>
      </x:c>
      <x:c r="H104" s="6" t="str">
        <x:v>USER_TRANSACTION</x:v>
      </x:c>
      <x:c r="I104" s="19" t="b">
        <x:v>1</x:v>
      </x:c>
      <x:c r="J104" s="6" t="str">
        <x:v>NONE</x:v>
      </x:c>
      <x:c r="K104" s="19" t="b">
        <x:v>0</x:v>
      </x:c>
      <x:c r="L104" s="6" t="str"/>
    </x:row>
    <x:row r="105" ht="53" customHeight="1">
      <x:c r="A105" s="15" t="str">
        <x:v>NAV-98</x:v>
      </x:c>
      <x:c r="B105" s="13" t="str">
        <x:v>USER</x:v>
      </x:c>
      <x:c r="C105" s="13" t="n">
        <x:v>6</x:v>
      </x:c>
      <x:c r="D105" s="13" t="n">
        <x:v>10</x:v>
      </x:c>
      <x:c r="E105" s="13" t="str">
        <x:v>/app/strategy/strategic-benefits-expected-value</x:v>
      </x:c>
      <x:c r="F105" s="13" t="str">
        <x:v>Enterprise Strategy Manager &gt; Business Case &amp; Investment Development &gt; Strategic Benefits Plan &amp; Traceability &gt; Expected Value</x:v>
      </x:c>
      <x:c r="G105" s="13" t="str">
        <x:v>frontend/src/features/strategic-benefits/StrategicBenefitsWorkspace.tsx</x:v>
      </x:c>
      <x:c r="H105" s="13" t="str">
        <x:v>USER_TRANSACTION</x:v>
      </x:c>
      <x:c r="I105" s="20" t="b">
        <x:v>1</x:v>
      </x:c>
      <x:c r="J105" s="13" t="str">
        <x:v>NONE</x:v>
      </x:c>
      <x:c r="K105" s="20" t="b">
        <x:v>0</x:v>
      </x:c>
      <x:c r="L105" s="13" t="str"/>
    </x:row>
    <x:row r="106" ht="53" customHeight="1">
      <x:c r="A106" s="14" t="str">
        <x:v>NAV-99</x:v>
      </x:c>
      <x:c r="B106" s="6" t="str">
        <x:v>USER</x:v>
      </x:c>
      <x:c r="C106" s="6" t="n">
        <x:v>6</x:v>
      </x:c>
      <x:c r="D106" s="6" t="n">
        <x:v>11</x:v>
      </x:c>
      <x:c r="E106" s="6" t="str">
        <x:v>/app/strategy/strategic-benefits-dependencies</x:v>
      </x:c>
      <x:c r="F106" s="6" t="str">
        <x:v>Enterprise Strategy Manager &gt; Business Case &amp; Investment Development &gt; Strategic Benefits Plan &amp; Traceability &gt; Dependencies</x:v>
      </x:c>
      <x:c r="G106" s="6" t="str">
        <x:v>frontend/src/features/strategic-benefits/StrategicBenefitsWorkspace.tsx</x:v>
      </x:c>
      <x:c r="H106" s="6" t="str">
        <x:v>USER_TRANSACTION</x:v>
      </x:c>
      <x:c r="I106" s="19" t="b">
        <x:v>1</x:v>
      </x:c>
      <x:c r="J106" s="6" t="str">
        <x:v>NONE</x:v>
      </x:c>
      <x:c r="K106" s="19" t="b">
        <x:v>0</x:v>
      </x:c>
      <x:c r="L106" s="6" t="str"/>
    </x:row>
    <x:row r="107" ht="53" customHeight="1">
      <x:c r="A107" s="15" t="str">
        <x:v>NAV-100</x:v>
      </x:c>
      <x:c r="B107" s="13" t="str">
        <x:v>USER</x:v>
      </x:c>
      <x:c r="C107" s="13" t="n">
        <x:v>6</x:v>
      </x:c>
      <x:c r="D107" s="13" t="n">
        <x:v>12</x:v>
      </x:c>
      <x:c r="E107" s="13" t="str">
        <x:v>/app/strategy/strategic-benefits-assumptions-constraints</x:v>
      </x:c>
      <x:c r="F107" s="13" t="str">
        <x:v>Enterprise Strategy Manager &gt; Business Case &amp; Investment Development &gt; Strategic Benefits Plan &amp; Traceability &gt; Assumptions / Constraints</x:v>
      </x:c>
      <x:c r="G107" s="13" t="str">
        <x:v>frontend/src/features/strategic-benefits/StrategicBenefitsWorkspace.tsx</x:v>
      </x:c>
      <x:c r="H107" s="13" t="str">
        <x:v>USER_TRANSACTION</x:v>
      </x:c>
      <x:c r="I107" s="20" t="b">
        <x:v>1</x:v>
      </x:c>
      <x:c r="J107" s="13" t="str">
        <x:v>NONE</x:v>
      </x:c>
      <x:c r="K107" s="20" t="b">
        <x:v>0</x:v>
      </x:c>
      <x:c r="L107" s="13" t="str"/>
    </x:row>
    <x:row r="108" ht="53" customHeight="1">
      <x:c r="A108" s="14" t="str">
        <x:v>NAV-101</x:v>
      </x:c>
      <x:c r="B108" s="6" t="str">
        <x:v>USER</x:v>
      </x:c>
      <x:c r="C108" s="6" t="n">
        <x:v>6</x:v>
      </x:c>
      <x:c r="D108" s="6" t="n">
        <x:v>13</x:v>
      </x:c>
      <x:c r="E108" s="6" t="str">
        <x:v>/app/strategy/strategic-benefits-risk-references</x:v>
      </x:c>
      <x:c r="F108" s="6" t="str">
        <x:v>Enterprise Strategy Manager &gt; Business Case &amp; Investment Development &gt; Strategic Benefits Plan &amp; Traceability &gt; Risk References</x:v>
      </x:c>
      <x:c r="G108" s="6" t="str">
        <x:v>frontend/src/features/strategic-benefits/StrategicBenefitsWorkspace.tsx</x:v>
      </x:c>
      <x:c r="H108" s="6" t="str">
        <x:v>USER_TRANSACTION</x:v>
      </x:c>
      <x:c r="I108" s="19" t="b">
        <x:v>1</x:v>
      </x:c>
      <x:c r="J108" s="6" t="str">
        <x:v>NONE</x:v>
      </x:c>
      <x:c r="K108" s="19" t="b">
        <x:v>0</x:v>
      </x:c>
      <x:c r="L108" s="6" t="str"/>
    </x:row>
    <x:row r="109" ht="53" customHeight="1">
      <x:c r="A109" s="15" t="str">
        <x:v>NAV-102</x:v>
      </x:c>
      <x:c r="B109" s="13" t="str">
        <x:v>USER</x:v>
      </x:c>
      <x:c r="C109" s="13" t="n">
        <x:v>6</x:v>
      </x:c>
      <x:c r="D109" s="13" t="n">
        <x:v>14</x:v>
      </x:c>
      <x:c r="E109" s="13" t="str">
        <x:v>/app/strategy/strategic-benefits-traceability</x:v>
      </x:c>
      <x:c r="F109" s="13" t="str">
        <x:v>Enterprise Strategy Manager &gt; Business Case &amp; Investment Development &gt; Strategic Benefits Plan &amp; Traceability &gt; Traceability</x:v>
      </x:c>
      <x:c r="G109" s="13" t="str">
        <x:v>frontend/src/features/strategic-benefits/StrategicBenefitsWorkspace.tsx</x:v>
      </x:c>
      <x:c r="H109" s="13" t="str">
        <x:v>USER_TRANSACTION</x:v>
      </x:c>
      <x:c r="I109" s="20" t="b">
        <x:v>1</x:v>
      </x:c>
      <x:c r="J109" s="13" t="str">
        <x:v>NONE</x:v>
      </x:c>
      <x:c r="K109" s="20" t="b">
        <x:v>0</x:v>
      </x:c>
      <x:c r="L109" s="13" t="str"/>
    </x:row>
    <x:row r="110" ht="42" customHeight="1">
      <x:c r="A110" s="14" t="str">
        <x:v>NAV-103</x:v>
      </x:c>
      <x:c r="B110" s="6" t="str">
        <x:v>USER</x:v>
      </x:c>
      <x:c r="C110" s="6" t="n">
        <x:v>6</x:v>
      </x:c>
      <x:c r="D110" s="6" t="n">
        <x:v>15</x:v>
      </x:c>
      <x:c r="E110" s="6" t="str">
        <x:v>/app/strategy/strategic-benefits-readiness</x:v>
      </x:c>
      <x:c r="F110" s="6" t="str">
        <x:v>Enterprise Strategy Manager &gt; Business Case &amp; Investment Development &gt; Strategic Benefits Plan &amp; Traceability &gt; Readiness</x:v>
      </x:c>
      <x:c r="G110" s="6" t="str">
        <x:v>frontend/src/features/strategic-benefits/StrategicBenefitsWorkspace.tsx</x:v>
      </x:c>
      <x:c r="H110" s="6" t="str">
        <x:v>USER_TRANSACTION</x:v>
      </x:c>
      <x:c r="I110" s="19" t="b">
        <x:v>1</x:v>
      </x:c>
      <x:c r="J110" s="6" t="str">
        <x:v>NONE</x:v>
      </x:c>
      <x:c r="K110" s="19" t="b">
        <x:v>0</x:v>
      </x:c>
      <x:c r="L110" s="6" t="str"/>
    </x:row>
    <x:row r="111" ht="42" customHeight="1">
      <x:c r="A111" s="15" t="str">
        <x:v>NAV-104</x:v>
      </x:c>
      <x:c r="B111" s="13" t="str">
        <x:v>USER</x:v>
      </x:c>
      <x:c r="C111" s="13" t="n">
        <x:v>6</x:v>
      </x:c>
      <x:c r="D111" s="13" t="n">
        <x:v>16</x:v>
      </x:c>
      <x:c r="E111" s="13" t="str">
        <x:v>/app/strategy/strategic-benefits-history</x:v>
      </x:c>
      <x:c r="F111" s="13" t="str">
        <x:v>Enterprise Strategy Manager &gt; Business Case &amp; Investment Development &gt; Strategic Benefits Plan &amp; Traceability &gt; History</x:v>
      </x:c>
      <x:c r="G111" s="13" t="str">
        <x:v>frontend/src/features/strategic-benefits/StrategicBenefitsWorkspace.tsx</x:v>
      </x:c>
      <x:c r="H111" s="13" t="str">
        <x:v>USER_TRANSACTION</x:v>
      </x:c>
      <x:c r="I111" s="20" t="b">
        <x:v>1</x:v>
      </x:c>
      <x:c r="J111" s="13" t="str">
        <x:v>NONE</x:v>
      </x:c>
      <x:c r="K111" s="20" t="b">
        <x:v>0</x:v>
      </x:c>
      <x:c r="L111" s="13" t="str"/>
    </x:row>
    <x:row r="112" ht="42" customHeight="1">
      <x:c r="A112" s="14" t="str">
        <x:v>NAV-105</x:v>
      </x:c>
      <x:c r="B112" s="6" t="str">
        <x:v>USER</x:v>
      </x:c>
      <x:c r="C112" s="6" t="n">
        <x:v>6</x:v>
      </x:c>
      <x:c r="D112" s="6" t="n">
        <x:v>1</x:v>
      </x:c>
      <x:c r="E112" s="6" t="str">
        <x:v>/app/strategy/commercial-strategy-my</x:v>
      </x:c>
      <x:c r="F112" s="6" t="str">
        <x:v>Enterprise Strategy Manager &gt; Business Case &amp; Investment Development &gt; Commercial &amp; Contracting Strategy &gt; My Strategies</x:v>
      </x:c>
      <x:c r="G112" s="6" t="str">
        <x:v>frontend/src/features/commercial-strategy/CommercialStrategyWorkspace.tsx</x:v>
      </x:c>
      <x:c r="H112" s="6" t="str">
        <x:v>USER_TRANSACTION</x:v>
      </x:c>
      <x:c r="I112" s="19" t="b">
        <x:v>1</x:v>
      </x:c>
      <x:c r="J112" s="6" t="str">
        <x:v>ANCESTOR_LANDING_ALIAS_SAME_ROUTE</x:v>
      </x:c>
      <x:c r="K112" s="19" t="b">
        <x:v>0</x:v>
      </x:c>
      <x:c r="L112" s="6" t="str"/>
    </x:row>
    <x:row r="113" ht="42" customHeight="1">
      <x:c r="A113" s="15" t="str">
        <x:v>NAV-106</x:v>
      </x:c>
      <x:c r="B113" s="13" t="str">
        <x:v>USER</x:v>
      </x:c>
      <x:c r="C113" s="13" t="n">
        <x:v>6</x:v>
      </x:c>
      <x:c r="D113" s="13" t="n">
        <x:v>2</x:v>
      </x:c>
      <x:c r="E113" s="13" t="str">
        <x:v>/app/strategy/commercial-strategy-overview</x:v>
      </x:c>
      <x:c r="F113" s="13" t="str">
        <x:v>Enterprise Strategy Manager &gt; Business Case &amp; Investment Development &gt; Commercial &amp; Contracting Strategy &gt; Overview</x:v>
      </x:c>
      <x:c r="G113" s="13" t="str">
        <x:v>frontend/src/features/commercial-strategy/CommercialStrategyWorkspace.tsx</x:v>
      </x:c>
      <x:c r="H113" s="13" t="str">
        <x:v>USER_TRANSACTION</x:v>
      </x:c>
      <x:c r="I113" s="20" t="b">
        <x:v>1</x:v>
      </x:c>
      <x:c r="J113" s="13" t="str">
        <x:v>NONE</x:v>
      </x:c>
      <x:c r="K113" s="20" t="b">
        <x:v>0</x:v>
      </x:c>
      <x:c r="L113" s="13" t="str"/>
    </x:row>
    <x:row r="114" ht="53" customHeight="1">
      <x:c r="A114" s="14" t="str">
        <x:v>NAV-107</x:v>
      </x:c>
      <x:c r="B114" s="6" t="str">
        <x:v>USER</x:v>
      </x:c>
      <x:c r="C114" s="6" t="n">
        <x:v>6</x:v>
      </x:c>
      <x:c r="D114" s="6" t="n">
        <x:v>3</x:v>
      </x:c>
      <x:c r="E114" s="6" t="str">
        <x:v>/app/strategy/commercial-strategy-context</x:v>
      </x:c>
      <x:c r="F114" s="6" t="str">
        <x:v>Enterprise Strategy Manager &gt; Business Case &amp; Investment Development &gt; Commercial &amp; Contracting Strategy &gt; Commercial Context</x:v>
      </x:c>
      <x:c r="G114" s="6" t="str">
        <x:v>frontend/src/features/commercial-strategy/CommercialStrategyWorkspace.tsx</x:v>
      </x:c>
      <x:c r="H114" s="6" t="str">
        <x:v>USER_TRANSACTION</x:v>
      </x:c>
      <x:c r="I114" s="19" t="b">
        <x:v>1</x:v>
      </x:c>
      <x:c r="J114" s="6" t="str">
        <x:v>NONE</x:v>
      </x:c>
      <x:c r="K114" s="19" t="b">
        <x:v>0</x:v>
      </x:c>
      <x:c r="L114" s="6" t="str"/>
    </x:row>
    <x:row r="115" ht="53" customHeight="1">
      <x:c r="A115" s="15" t="str">
        <x:v>NAV-108</x:v>
      </x:c>
      <x:c r="B115" s="13" t="str">
        <x:v>USER</x:v>
      </x:c>
      <x:c r="C115" s="13" t="n">
        <x:v>6</x:v>
      </x:c>
      <x:c r="D115" s="13" t="n">
        <x:v>4</x:v>
      </x:c>
      <x:c r="E115" s="13" t="str">
        <x:v>/app/strategy/commercial-strategy-procurement</x:v>
      </x:c>
      <x:c r="F115" s="13" t="str">
        <x:v>Enterprise Strategy Manager &gt; Business Case &amp; Investment Development &gt; Commercial &amp; Contracting Strategy &gt; Procurement Approach</x:v>
      </x:c>
      <x:c r="G115" s="13" t="str">
        <x:v>frontend/src/features/commercial-strategy/CommercialStrategyWorkspace.tsx</x:v>
      </x:c>
      <x:c r="H115" s="13" t="str">
        <x:v>USER_TRANSACTION</x:v>
      </x:c>
      <x:c r="I115" s="20" t="b">
        <x:v>1</x:v>
      </x:c>
      <x:c r="J115" s="13" t="str">
        <x:v>NONE</x:v>
      </x:c>
      <x:c r="K115" s="20" t="b">
        <x:v>0</x:v>
      </x:c>
      <x:c r="L115" s="13" t="str"/>
    </x:row>
    <x:row r="116" ht="42" customHeight="1">
      <x:c r="A116" s="14" t="str">
        <x:v>NAV-109</x:v>
      </x:c>
      <x:c r="B116" s="6" t="str">
        <x:v>USER</x:v>
      </x:c>
      <x:c r="C116" s="6" t="n">
        <x:v>6</x:v>
      </x:c>
      <x:c r="D116" s="6" t="n">
        <x:v>5</x:v>
      </x:c>
      <x:c r="E116" s="6" t="str">
        <x:v>/app/strategy/commercial-strategy-packages</x:v>
      </x:c>
      <x:c r="F116" s="6" t="str">
        <x:v>Enterprise Strategy Manager &gt; Business Case &amp; Investment Development &gt; Commercial &amp; Contracting Strategy &gt; Packages</x:v>
      </x:c>
      <x:c r="G116" s="6" t="str">
        <x:v>frontend/src/features/commercial-strategy/CommercialStrategyWorkspace.tsx</x:v>
      </x:c>
      <x:c r="H116" s="6" t="str">
        <x:v>USER_TRANSACTION</x:v>
      </x:c>
      <x:c r="I116" s="19" t="b">
        <x:v>1</x:v>
      </x:c>
      <x:c r="J116" s="6" t="str">
        <x:v>NONE</x:v>
      </x:c>
      <x:c r="K116" s="19" t="b">
        <x:v>0</x:v>
      </x:c>
      <x:c r="L116" s="6" t="str"/>
    </x:row>
    <x:row r="117" ht="53" customHeight="1">
      <x:c r="A117" s="15" t="str">
        <x:v>NAV-110</x:v>
      </x:c>
      <x:c r="B117" s="13" t="str">
        <x:v>USER</x:v>
      </x:c>
      <x:c r="C117" s="13" t="n">
        <x:v>6</x:v>
      </x:c>
      <x:c r="D117" s="13" t="n">
        <x:v>6</x:v>
      </x:c>
      <x:c r="E117" s="13" t="str">
        <x:v>/app/strategy/commercial-strategy-contracting-model</x:v>
      </x:c>
      <x:c r="F117" s="13" t="str">
        <x:v>Enterprise Strategy Manager &gt; Business Case &amp; Investment Development &gt; Commercial &amp; Contracting Strategy &gt; Contracting Model</x:v>
      </x:c>
      <x:c r="G117" s="13" t="str">
        <x:v>frontend/src/features/commercial-strategy/CommercialStrategyWorkspace.tsx</x:v>
      </x:c>
      <x:c r="H117" s="13" t="str">
        <x:v>USER_TRANSACTION</x:v>
      </x:c>
      <x:c r="I117" s="20" t="b">
        <x:v>1</x:v>
      </x:c>
      <x:c r="J117" s="13" t="str">
        <x:v>NONE</x:v>
      </x:c>
      <x:c r="K117" s="20" t="b">
        <x:v>0</x:v>
      </x:c>
      <x:c r="L117" s="13" t="str"/>
    </x:row>
    <x:row r="118" ht="53" customHeight="1">
      <x:c r="A118" s="14" t="str">
        <x:v>NAV-111</x:v>
      </x:c>
      <x:c r="B118" s="6" t="str">
        <x:v>USER</x:v>
      </x:c>
      <x:c r="C118" s="6" t="n">
        <x:v>6</x:v>
      </x:c>
      <x:c r="D118" s="6" t="n">
        <x:v>7</x:v>
      </x:c>
      <x:c r="E118" s="6" t="str">
        <x:v>/app/strategy/commercial-strategy-market</x:v>
      </x:c>
      <x:c r="F118" s="6" t="str">
        <x:v>Enterprise Strategy Manager &gt; Business Case &amp; Investment Development &gt; Commercial &amp; Contracting Strategy &gt; Market Assessment</x:v>
      </x:c>
      <x:c r="G118" s="6" t="str">
        <x:v>frontend/src/features/commercial-strategy/CommercialStrategyWorkspace.tsx</x:v>
      </x:c>
      <x:c r="H118" s="6" t="str">
        <x:v>USER_TRANSACTION</x:v>
      </x:c>
      <x:c r="I118" s="19" t="b">
        <x:v>1</x:v>
      </x:c>
      <x:c r="J118" s="6" t="str">
        <x:v>NONE</x:v>
      </x:c>
      <x:c r="K118" s="19" t="b">
        <x:v>0</x:v>
      </x:c>
      <x:c r="L118" s="6" t="str"/>
    </x:row>
    <x:row r="119" ht="42" customHeight="1">
      <x:c r="A119" s="15" t="str">
        <x:v>NAV-112</x:v>
      </x:c>
      <x:c r="B119" s="13" t="str">
        <x:v>USER</x:v>
      </x:c>
      <x:c r="C119" s="13" t="n">
        <x:v>6</x:v>
      </x:c>
      <x:c r="D119" s="13" t="n">
        <x:v>8</x:v>
      </x:c>
      <x:c r="E119" s="13" t="str">
        <x:v>/app/strategy/commercial-strategy-supply-chain</x:v>
      </x:c>
      <x:c r="F119" s="13" t="str">
        <x:v>Enterprise Strategy Manager &gt; Business Case &amp; Investment Development &gt; Commercial &amp; Contracting Strategy &gt; Supply Chain</x:v>
      </x:c>
      <x:c r="G119" s="13" t="str">
        <x:v>frontend/src/features/commercial-strategy/CommercialStrategyWorkspace.tsx</x:v>
      </x:c>
      <x:c r="H119" s="13" t="str">
        <x:v>USER_TRANSACTION</x:v>
      </x:c>
      <x:c r="I119" s="20" t="b">
        <x:v>1</x:v>
      </x:c>
      <x:c r="J119" s="13" t="str">
        <x:v>NONE</x:v>
      </x:c>
      <x:c r="K119" s="20" t="b">
        <x:v>0</x:v>
      </x:c>
      <x:c r="L119" s="13" t="str"/>
    </x:row>
    <x:row r="120" ht="42" customHeight="1">
      <x:c r="A120" s="14" t="str">
        <x:v>NAV-113</x:v>
      </x:c>
      <x:c r="B120" s="6" t="str">
        <x:v>USER</x:v>
      </x:c>
      <x:c r="C120" s="6" t="n">
        <x:v>6</x:v>
      </x:c>
      <x:c r="D120" s="6" t="n">
        <x:v>9</x:v>
      </x:c>
      <x:c r="E120" s="6" t="str">
        <x:v>/app/strategy/commercial-strategy-risk-allocation</x:v>
      </x:c>
      <x:c r="F120" s="6" t="str">
        <x:v>Enterprise Strategy Manager &gt; Business Case &amp; Investment Development &gt; Commercial &amp; Contracting Strategy &gt; Risk Allocation</x:v>
      </x:c>
      <x:c r="G120" s="6" t="str">
        <x:v>frontend/src/features/commercial-strategy/CommercialStrategyWorkspace.tsx</x:v>
      </x:c>
      <x:c r="H120" s="6" t="str">
        <x:v>USER_TRANSACTION</x:v>
      </x:c>
      <x:c r="I120" s="19" t="b">
        <x:v>1</x:v>
      </x:c>
      <x:c r="J120" s="6" t="str">
        <x:v>NONE</x:v>
      </x:c>
      <x:c r="K120" s="19" t="b">
        <x:v>0</x:v>
      </x:c>
      <x:c r="L120" s="6" t="str"/>
    </x:row>
    <x:row r="121" ht="53" customHeight="1">
      <x:c r="A121" s="15" t="str">
        <x:v>NAV-114</x:v>
      </x:c>
      <x:c r="B121" s="13" t="str">
        <x:v>USER</x:v>
      </x:c>
      <x:c r="C121" s="13" t="n">
        <x:v>6</x:v>
      </x:c>
      <x:c r="D121" s="13" t="n">
        <x:v>10</x:v>
      </x:c>
      <x:c r="E121" s="13" t="str">
        <x:v>/app/strategy/commercial-strategy-payment-incentives</x:v>
      </x:c>
      <x:c r="F121" s="13" t="str">
        <x:v>Enterprise Strategy Manager &gt; Business Case &amp; Investment Development &gt; Commercial &amp; Contracting Strategy &gt; Payment &amp; Incentives</x:v>
      </x:c>
      <x:c r="G121" s="13" t="str">
        <x:v>frontend/src/features/commercial-strategy/CommercialStrategyWorkspace.tsx</x:v>
      </x:c>
      <x:c r="H121" s="13" t="str">
        <x:v>USER_TRANSACTION</x:v>
      </x:c>
      <x:c r="I121" s="20" t="b">
        <x:v>1</x:v>
      </x:c>
      <x:c r="J121" s="13" t="str">
        <x:v>NONE</x:v>
      </x:c>
      <x:c r="K121" s="20" t="b">
        <x:v>0</x:v>
      </x:c>
      <x:c r="L121" s="13" t="str"/>
    </x:row>
    <x:row r="122" ht="53" customHeight="1">
      <x:c r="A122" s="14" t="str">
        <x:v>NAV-115</x:v>
      </x:c>
      <x:c r="B122" s="6" t="str">
        <x:v>USER</x:v>
      </x:c>
      <x:c r="C122" s="6" t="n">
        <x:v>6</x:v>
      </x:c>
      <x:c r="D122" s="6" t="n">
        <x:v>11</x:v>
      </x:c>
      <x:c r="E122" s="6" t="str">
        <x:v>/app/strategy/commercial-strategy-assumptions</x:v>
      </x:c>
      <x:c r="F122" s="6" t="str">
        <x:v>Enterprise Strategy Manager &gt; Business Case &amp; Investment Development &gt; Commercial &amp; Contracting Strategy &gt; Assumptions / Constraints</x:v>
      </x:c>
      <x:c r="G122" s="6" t="str">
        <x:v>frontend/src/features/commercial-strategy/CommercialStrategyWorkspace.tsx</x:v>
      </x:c>
      <x:c r="H122" s="6" t="str">
        <x:v>USER_TRANSACTION</x:v>
      </x:c>
      <x:c r="I122" s="19" t="b">
        <x:v>1</x:v>
      </x:c>
      <x:c r="J122" s="6" t="str">
        <x:v>NONE</x:v>
      </x:c>
      <x:c r="K122" s="19" t="b">
        <x:v>0</x:v>
      </x:c>
      <x:c r="L122" s="6" t="str"/>
    </x:row>
    <x:row r="123" ht="42" customHeight="1">
      <x:c r="A123" s="15" t="str">
        <x:v>NAV-116</x:v>
      </x:c>
      <x:c r="B123" s="13" t="str">
        <x:v>USER</x:v>
      </x:c>
      <x:c r="C123" s="13" t="n">
        <x:v>6</x:v>
      </x:c>
      <x:c r="D123" s="13" t="n">
        <x:v>12</x:v>
      </x:c>
      <x:c r="E123" s="13" t="str">
        <x:v>/app/strategy/commercial-strategy-recommendation</x:v>
      </x:c>
      <x:c r="F123" s="13" t="str">
        <x:v>Enterprise Strategy Manager &gt; Business Case &amp; Investment Development &gt; Commercial &amp; Contracting Strategy &gt; Recommendation</x:v>
      </x:c>
      <x:c r="G123" s="13" t="str">
        <x:v>frontend/src/features/commercial-strategy/CommercialStrategyWorkspace.tsx</x:v>
      </x:c>
      <x:c r="H123" s="13" t="str">
        <x:v>USER_TRANSACTION</x:v>
      </x:c>
      <x:c r="I123" s="20" t="b">
        <x:v>1</x:v>
      </x:c>
      <x:c r="J123" s="13" t="str">
        <x:v>NONE</x:v>
      </x:c>
      <x:c r="K123" s="20" t="b">
        <x:v>0</x:v>
      </x:c>
      <x:c r="L123" s="13" t="str"/>
    </x:row>
    <x:row r="124" ht="42" customHeight="1">
      <x:c r="A124" s="14" t="str">
        <x:v>NAV-117</x:v>
      </x:c>
      <x:c r="B124" s="6" t="str">
        <x:v>USER</x:v>
      </x:c>
      <x:c r="C124" s="6" t="n">
        <x:v>6</x:v>
      </x:c>
      <x:c r="D124" s="6" t="n">
        <x:v>13</x:v>
      </x:c>
      <x:c r="E124" s="6" t="str">
        <x:v>/app/strategy/commercial-strategy-readiness</x:v>
      </x:c>
      <x:c r="F124" s="6" t="str">
        <x:v>Enterprise Strategy Manager &gt; Business Case &amp; Investment Development &gt; Commercial &amp; Contracting Strategy &gt; Readiness</x:v>
      </x:c>
      <x:c r="G124" s="6" t="str">
        <x:v>frontend/src/features/commercial-strategy/CommercialStrategyWorkspace.tsx</x:v>
      </x:c>
      <x:c r="H124" s="6" t="str">
        <x:v>USER_TRANSACTION</x:v>
      </x:c>
      <x:c r="I124" s="19" t="b">
        <x:v>1</x:v>
      </x:c>
      <x:c r="J124" s="6" t="str">
        <x:v>NONE</x:v>
      </x:c>
      <x:c r="K124" s="19" t="b">
        <x:v>0</x:v>
      </x:c>
      <x:c r="L124" s="6" t="str"/>
    </x:row>
    <x:row r="125" ht="42" customHeight="1">
      <x:c r="A125" s="15" t="str">
        <x:v>NAV-118</x:v>
      </x:c>
      <x:c r="B125" s="13" t="str">
        <x:v>USER</x:v>
      </x:c>
      <x:c r="C125" s="13" t="n">
        <x:v>6</x:v>
      </x:c>
      <x:c r="D125" s="13" t="n">
        <x:v>14</x:v>
      </x:c>
      <x:c r="E125" s="13" t="str">
        <x:v>/app/strategy/commercial-strategy-history</x:v>
      </x:c>
      <x:c r="F125" s="13" t="str">
        <x:v>Enterprise Strategy Manager &gt; Business Case &amp; Investment Development &gt; Commercial &amp; Contracting Strategy &gt; History</x:v>
      </x:c>
      <x:c r="G125" s="13" t="str">
        <x:v>frontend/src/features/commercial-strategy/CommercialStrategyWorkspace.tsx</x:v>
      </x:c>
      <x:c r="H125" s="13" t="str">
        <x:v>USER_TRANSACTION</x:v>
      </x:c>
      <x:c r="I125" s="20" t="b">
        <x:v>1</x:v>
      </x:c>
      <x:c r="J125" s="13" t="str">
        <x:v>NONE</x:v>
      </x:c>
      <x:c r="K125" s="20" t="b">
        <x:v>0</x:v>
      </x:c>
      <x:c r="L125" s="13" t="str"/>
    </x:row>
    <x:row r="126" ht="42" customHeight="1">
      <x:c r="A126" s="14" t="str">
        <x:v>NAV-119</x:v>
      </x:c>
      <x:c r="B126" s="6" t="str">
        <x:v>USER</x:v>
      </x:c>
      <x:c r="C126" s="6" t="n">
        <x:v>6</x:v>
      </x:c>
      <x:c r="D126" s="6" t="n">
        <x:v>1</x:v>
      </x:c>
      <x:c r="E126" s="6" t="str">
        <x:v>/app/strategy/funds-overview</x:v>
      </x:c>
      <x:c r="F126" s="6" t="str">
        <x:v>Enterprise Strategy Manager &gt; Business Case &amp; Investment Development &gt; Funds &amp; Funding Readiness &gt; Overview</x:v>
      </x:c>
      <x:c r="G126" s="6" t="str">
        <x:v>frontend/src/features/funds-manager/FundsManagerWorkspace.tsx</x:v>
      </x:c>
      <x:c r="H126" s="6" t="str">
        <x:v>USER_TRANSACTION</x:v>
      </x:c>
      <x:c r="I126" s="19" t="b">
        <x:v>1</x:v>
      </x:c>
      <x:c r="J126" s="6" t="str">
        <x:v>ANCESTOR_LANDING_ALIAS_SAME_ROUTE</x:v>
      </x:c>
      <x:c r="K126" s="19" t="b">
        <x:v>0</x:v>
      </x:c>
      <x:c r="L126" s="6" t="str"/>
    </x:row>
    <x:row r="127" ht="42" customHeight="1">
      <x:c r="A127" s="15" t="str">
        <x:v>NAV-120</x:v>
      </x:c>
      <x:c r="B127" s="13" t="str">
        <x:v>USER</x:v>
      </x:c>
      <x:c r="C127" s="13" t="n">
        <x:v>6</x:v>
      </x:c>
      <x:c r="D127" s="13" t="n">
        <x:v>2</x:v>
      </x:c>
      <x:c r="E127" s="13" t="str">
        <x:v>/app/strategy/funds-sources</x:v>
      </x:c>
      <x:c r="F127" s="13" t="str">
        <x:v>Enterprise Strategy Manager &gt; Business Case &amp; Investment Development &gt; Funds &amp; Funding Readiness &gt; Funding Sources</x:v>
      </x:c>
      <x:c r="G127" s="13" t="str">
        <x:v>frontend/src/features/funds-manager/FundsManagerWorkspace.tsx</x:v>
      </x:c>
      <x:c r="H127" s="13" t="str">
        <x:v>USER_TRANSACTION</x:v>
      </x:c>
      <x:c r="I127" s="20" t="b">
        <x:v>1</x:v>
      </x:c>
      <x:c r="J127" s="13" t="str">
        <x:v>NONE</x:v>
      </x:c>
      <x:c r="K127" s="20" t="b">
        <x:v>0</x:v>
      </x:c>
      <x:c r="L127" s="13" t="str"/>
    </x:row>
    <x:row r="128" ht="42" customHeight="1">
      <x:c r="A128" s="14" t="str">
        <x:v>NAV-121</x:v>
      </x:c>
      <x:c r="B128" s="6" t="str">
        <x:v>USER</x:v>
      </x:c>
      <x:c r="C128" s="6" t="n">
        <x:v>6</x:v>
      </x:c>
      <x:c r="D128" s="6" t="n">
        <x:v>3</x:v>
      </x:c>
      <x:c r="E128" s="6" t="str">
        <x:v>/app/strategy/funds-envelopes</x:v>
      </x:c>
      <x:c r="F128" s="6" t="str">
        <x:v>Enterprise Strategy Manager &gt; Business Case &amp; Investment Development &gt; Funds &amp; Funding Readiness &gt; Funds</x:v>
      </x:c>
      <x:c r="G128" s="6" t="str">
        <x:v>frontend/src/features/funds-manager/FundsManagerWorkspace.tsx</x:v>
      </x:c>
      <x:c r="H128" s="6" t="str">
        <x:v>USER_TRANSACTION</x:v>
      </x:c>
      <x:c r="I128" s="19" t="b">
        <x:v>1</x:v>
      </x:c>
      <x:c r="J128" s="6" t="str">
        <x:v>NONE</x:v>
      </x:c>
      <x:c r="K128" s="19" t="b">
        <x:v>0</x:v>
      </x:c>
      <x:c r="L128" s="6" t="str"/>
    </x:row>
    <x:row r="129" ht="42" customHeight="1">
      <x:c r="A129" s="15" t="str">
        <x:v>NAV-122</x:v>
      </x:c>
      <x:c r="B129" s="13" t="str">
        <x:v>USER</x:v>
      </x:c>
      <x:c r="C129" s="13" t="n">
        <x:v>6</x:v>
      </x:c>
      <x:c r="D129" s="13" t="n">
        <x:v>4</x:v>
      </x:c>
      <x:c r="E129" s="13" t="str">
        <x:v>/app/strategy/funds-assignments</x:v>
      </x:c>
      <x:c r="F129" s="13" t="str">
        <x:v>Enterprise Strategy Manager &gt; Business Case &amp; Investment Development &gt; Funds &amp; Funding Readiness &gt; Funding Assignments</x:v>
      </x:c>
      <x:c r="G129" s="13" t="str">
        <x:v>frontend/src/features/funds-manager/FundsManagerWorkspace.tsx</x:v>
      </x:c>
      <x:c r="H129" s="13" t="str">
        <x:v>USER_TRANSACTION</x:v>
      </x:c>
      <x:c r="I129" s="20" t="b">
        <x:v>1</x:v>
      </x:c>
      <x:c r="J129" s="13" t="str">
        <x:v>NONE</x:v>
      </x:c>
      <x:c r="K129" s="20" t="b">
        <x:v>0</x:v>
      </x:c>
      <x:c r="L129" s="13" t="str"/>
    </x:row>
    <x:row r="130" ht="42" customHeight="1">
      <x:c r="A130" s="14" t="str">
        <x:v>NAV-123</x:v>
      </x:c>
      <x:c r="B130" s="6" t="str">
        <x:v>USER</x:v>
      </x:c>
      <x:c r="C130" s="6" t="n">
        <x:v>6</x:v>
      </x:c>
      <x:c r="D130" s="6" t="n">
        <x:v>5</x:v>
      </x:c>
      <x:c r="E130" s="6" t="str">
        <x:v>/app/strategy/funds-coverage</x:v>
      </x:c>
      <x:c r="F130" s="6" t="str">
        <x:v>Enterprise Strategy Manager &gt; Business Case &amp; Investment Development &gt; Funds &amp; Funding Readiness &gt; Funding Coverage</x:v>
      </x:c>
      <x:c r="G130" s="6" t="str">
        <x:v>frontend/src/features/funds-manager/FundsManagerWorkspace.tsx</x:v>
      </x:c>
      <x:c r="H130" s="6" t="str">
        <x:v>USER_TRANSACTION</x:v>
      </x:c>
      <x:c r="I130" s="19" t="b">
        <x:v>1</x:v>
      </x:c>
      <x:c r="J130" s="6" t="str">
        <x:v>NONE</x:v>
      </x:c>
      <x:c r="K130" s="19" t="b">
        <x:v>0</x:v>
      </x:c>
      <x:c r="L130" s="6" t="str"/>
    </x:row>
    <x:row r="131" ht="42" customHeight="1">
      <x:c r="A131" s="15" t="str">
        <x:v>NAV-124</x:v>
      </x:c>
      <x:c r="B131" s="13" t="str">
        <x:v>USER</x:v>
      </x:c>
      <x:c r="C131" s="13" t="n">
        <x:v>6</x:v>
      </x:c>
      <x:c r="D131" s="13" t="n">
        <x:v>6</x:v>
      </x:c>
      <x:c r="E131" s="13" t="str">
        <x:v>/app/strategy/funds-readiness</x:v>
      </x:c>
      <x:c r="F131" s="13" t="str">
        <x:v>Enterprise Strategy Manager &gt; Business Case &amp; Investment Development &gt; Funds &amp; Funding Readiness &gt; Funding Readiness</x:v>
      </x:c>
      <x:c r="G131" s="13" t="str">
        <x:v>frontend/src/features/funds-manager/FundsManagerWorkspace.tsx</x:v>
      </x:c>
      <x:c r="H131" s="13" t="str">
        <x:v>USER_TRANSACTION</x:v>
      </x:c>
      <x:c r="I131" s="20" t="b">
        <x:v>1</x:v>
      </x:c>
      <x:c r="J131" s="13" t="str">
        <x:v>NONE</x:v>
      </x:c>
      <x:c r="K131" s="20" t="b">
        <x:v>0</x:v>
      </x:c>
      <x:c r="L131" s="13" t="str"/>
    </x:row>
    <x:row r="132" ht="42" customHeight="1">
      <x:c r="A132" s="14" t="str">
        <x:v>NAV-125</x:v>
      </x:c>
      <x:c r="B132" s="6" t="str">
        <x:v>USER</x:v>
      </x:c>
      <x:c r="C132" s="6" t="n">
        <x:v>6</x:v>
      </x:c>
      <x:c r="D132" s="6" t="n">
        <x:v>7</x:v>
      </x:c>
      <x:c r="E132" s="6" t="str">
        <x:v>/app/strategy/funds-history</x:v>
      </x:c>
      <x:c r="F132" s="6" t="str">
        <x:v>Enterprise Strategy Manager &gt; Business Case &amp; Investment Development &gt; Funds &amp; Funding Readiness &gt; History / Audit</x:v>
      </x:c>
      <x:c r="G132" s="6" t="str">
        <x:v>frontend/src/features/funds-manager/FundsManagerWorkspace.tsx</x:v>
      </x:c>
      <x:c r="H132" s="6" t="str">
        <x:v>USER_TRANSACTION</x:v>
      </x:c>
      <x:c r="I132" s="19" t="b">
        <x:v>1</x:v>
      </x:c>
      <x:c r="J132" s="6" t="str">
        <x:v>NONE</x:v>
      </x:c>
      <x:c r="K132" s="19" t="b">
        <x:v>0</x:v>
      </x:c>
      <x:c r="L132" s="6" t="str"/>
    </x:row>
    <x:row r="133" ht="42" customHeight="1">
      <x:c r="A133" s="15" t="str">
        <x:v>NAV-126</x:v>
      </x:c>
      <x:c r="B133" s="13" t="str">
        <x:v>USER</x:v>
      </x:c>
      <x:c r="C133" s="13" t="n">
        <x:v>6</x:v>
      </x:c>
      <x:c r="D133" s="13" t="n">
        <x:v>1</x:v>
      </x:c>
      <x:c r="E133" s="13" t="str">
        <x:v>/app/strategy/financial-model-my-models</x:v>
      </x:c>
      <x:c r="F133" s="13" t="str">
        <x:v>Enterprise Strategy Manager &gt; Business Case &amp; Investment Development &gt; Economic &amp; Financial Model &gt; My Models</x:v>
      </x:c>
      <x:c r="G133" s="13" t="str">
        <x:v>frontend/src/features/economic-financial-model/EconomicFinancialModelWorkspace.tsx</x:v>
      </x:c>
      <x:c r="H133" s="13" t="str">
        <x:v>USER_TRANSACTION</x:v>
      </x:c>
      <x:c r="I133" s="20" t="b">
        <x:v>1</x:v>
      </x:c>
      <x:c r="J133" s="13" t="str">
        <x:v>ANCESTOR_LANDING_ALIAS_SAME_ROUTE</x:v>
      </x:c>
      <x:c r="K133" s="20" t="b">
        <x:v>0</x:v>
      </x:c>
      <x:c r="L133" s="13" t="str"/>
    </x:row>
    <x:row r="134" ht="42" customHeight="1">
      <x:c r="A134" s="14" t="str">
        <x:v>NAV-127</x:v>
      </x:c>
      <x:c r="B134" s="6" t="str">
        <x:v>USER</x:v>
      </x:c>
      <x:c r="C134" s="6" t="n">
        <x:v>6</x:v>
      </x:c>
      <x:c r="D134" s="6" t="n">
        <x:v>2</x:v>
      </x:c>
      <x:c r="E134" s="6" t="str">
        <x:v>/app/strategy/financial-model-overview</x:v>
      </x:c>
      <x:c r="F134" s="6" t="str">
        <x:v>Enterprise Strategy Manager &gt; Business Case &amp; Investment Development &gt; Economic &amp; Financial Model &gt; Overview</x:v>
      </x:c>
      <x:c r="G134" s="6" t="str">
        <x:v>frontend/src/features/economic-financial-model/EconomicFinancialModelWorkspace.tsx</x:v>
      </x:c>
      <x:c r="H134" s="6" t="str">
        <x:v>USER_TRANSACTION</x:v>
      </x:c>
      <x:c r="I134" s="19" t="b">
        <x:v>1</x:v>
      </x:c>
      <x:c r="J134" s="6" t="str">
        <x:v>NONE</x:v>
      </x:c>
      <x:c r="K134" s="19" t="b">
        <x:v>0</x:v>
      </x:c>
      <x:c r="L134" s="6" t="str"/>
    </x:row>
    <x:row r="135" ht="42" customHeight="1">
      <x:c r="A135" s="15" t="str">
        <x:v>NAV-128</x:v>
      </x:c>
      <x:c r="B135" s="13" t="str">
        <x:v>USER</x:v>
      </x:c>
      <x:c r="C135" s="13" t="n">
        <x:v>6</x:v>
      </x:c>
      <x:c r="D135" s="13" t="n">
        <x:v>3</x:v>
      </x:c>
      <x:c r="E135" s="13" t="str">
        <x:v>/app/strategy/financial-model-current-version</x:v>
      </x:c>
      <x:c r="F135" s="13" t="str">
        <x:v>Enterprise Strategy Manager &gt; Business Case &amp; Investment Development &gt; Economic &amp; Financial Model &gt; Current Version</x:v>
      </x:c>
      <x:c r="G135" s="13" t="str">
        <x:v>frontend/src/features/economic-financial-model/EconomicFinancialModelWorkspace.tsx</x:v>
      </x:c>
      <x:c r="H135" s="13" t="str">
        <x:v>USER_TRANSACTION</x:v>
      </x:c>
      <x:c r="I135" s="20" t="b">
        <x:v>1</x:v>
      </x:c>
      <x:c r="J135" s="13" t="str">
        <x:v>NONE</x:v>
      </x:c>
      <x:c r="K135" s="20" t="b">
        <x:v>0</x:v>
      </x:c>
      <x:c r="L135" s="13" t="str"/>
    </x:row>
    <x:row r="136" ht="42" customHeight="1">
      <x:c r="A136" s="14" t="str">
        <x:v>NAV-129</x:v>
      </x:c>
      <x:c r="B136" s="6" t="str">
        <x:v>USER</x:v>
      </x:c>
      <x:c r="C136" s="6" t="n">
        <x:v>6</x:v>
      </x:c>
      <x:c r="D136" s="6" t="n">
        <x:v>4</x:v>
      </x:c>
      <x:c r="E136" s="6" t="str">
        <x:v>/app/strategy/financial-model-assumptions</x:v>
      </x:c>
      <x:c r="F136" s="6" t="str">
        <x:v>Enterprise Strategy Manager &gt; Business Case &amp; Investment Development &gt; Economic &amp; Financial Model &gt; Assumptions</x:v>
      </x:c>
      <x:c r="G136" s="6" t="str">
        <x:v>frontend/src/features/economic-financial-model/EconomicFinancialModelWorkspace.tsx</x:v>
      </x:c>
      <x:c r="H136" s="6" t="str">
        <x:v>USER_TRANSACTION</x:v>
      </x:c>
      <x:c r="I136" s="19" t="b">
        <x:v>1</x:v>
      </x:c>
      <x:c r="J136" s="6" t="str">
        <x:v>NONE</x:v>
      </x:c>
      <x:c r="K136" s="19" t="b">
        <x:v>0</x:v>
      </x:c>
      <x:c r="L136" s="6" t="str"/>
    </x:row>
    <x:row r="137" ht="42" customHeight="1">
      <x:c r="A137" s="15" t="str">
        <x:v>NAV-130</x:v>
      </x:c>
      <x:c r="B137" s="13" t="str">
        <x:v>USER</x:v>
      </x:c>
      <x:c r="C137" s="13" t="n">
        <x:v>6</x:v>
      </x:c>
      <x:c r="D137" s="13" t="n">
        <x:v>5</x:v>
      </x:c>
      <x:c r="E137" s="13" t="str">
        <x:v>/app/strategy/financial-model-economic-case</x:v>
      </x:c>
      <x:c r="F137" s="13" t="str">
        <x:v>Enterprise Strategy Manager &gt; Business Case &amp; Investment Development &gt; Economic &amp; Financial Model &gt; Economic Case</x:v>
      </x:c>
      <x:c r="G137" s="13" t="str">
        <x:v>frontend/src/features/economic-financial-model/EconomicFinancialModelWorkspace.tsx</x:v>
      </x:c>
      <x:c r="H137" s="13" t="str">
        <x:v>USER_TRANSACTION</x:v>
      </x:c>
      <x:c r="I137" s="20" t="b">
        <x:v>1</x:v>
      </x:c>
      <x:c r="J137" s="13" t="str">
        <x:v>NONE</x:v>
      </x:c>
      <x:c r="K137" s="20" t="b">
        <x:v>0</x:v>
      </x:c>
      <x:c r="L137" s="13" t="str"/>
    </x:row>
    <x:row r="138" ht="42" customHeight="1">
      <x:c r="A138" s="14" t="str">
        <x:v>NAV-131</x:v>
      </x:c>
      <x:c r="B138" s="6" t="str">
        <x:v>USER</x:v>
      </x:c>
      <x:c r="C138" s="6" t="n">
        <x:v>6</x:v>
      </x:c>
      <x:c r="D138" s="6" t="n">
        <x:v>6</x:v>
      </x:c>
      <x:c r="E138" s="6" t="str">
        <x:v>/app/strategy/financial-model-financial-case</x:v>
      </x:c>
      <x:c r="F138" s="6" t="str">
        <x:v>Enterprise Strategy Manager &gt; Business Case &amp; Investment Development &gt; Economic &amp; Financial Model &gt; Financial Case</x:v>
      </x:c>
      <x:c r="G138" s="6" t="str">
        <x:v>frontend/src/features/economic-financial-model/EconomicFinancialModelWorkspace.tsx</x:v>
      </x:c>
      <x:c r="H138" s="6" t="str">
        <x:v>USER_TRANSACTION</x:v>
      </x:c>
      <x:c r="I138" s="19" t="b">
        <x:v>1</x:v>
      </x:c>
      <x:c r="J138" s="6" t="str">
        <x:v>NONE</x:v>
      </x:c>
      <x:c r="K138" s="19" t="b">
        <x:v>0</x:v>
      </x:c>
      <x:c r="L138" s="6" t="str"/>
    </x:row>
    <x:row r="139" ht="42" customHeight="1">
      <x:c r="A139" s="15" t="str">
        <x:v>NAV-132</x:v>
      </x:c>
      <x:c r="B139" s="13" t="str">
        <x:v>USER</x:v>
      </x:c>
      <x:c r="C139" s="13" t="n">
        <x:v>6</x:v>
      </x:c>
      <x:c r="D139" s="13" t="n">
        <x:v>7</x:v>
      </x:c>
      <x:c r="E139" s="13" t="str">
        <x:v>/app/strategy/financial-model-capex-opex</x:v>
      </x:c>
      <x:c r="F139" s="13" t="str">
        <x:v>Enterprise Strategy Manager &gt; Business Case &amp; Investment Development &gt; Economic &amp; Financial Model &gt; CAPEX / OPEX</x:v>
      </x:c>
      <x:c r="G139" s="13" t="str">
        <x:v>frontend/src/features/economic-financial-model/EconomicFinancialModelWorkspace.tsx</x:v>
      </x:c>
      <x:c r="H139" s="13" t="str">
        <x:v>USER_TRANSACTION</x:v>
      </x:c>
      <x:c r="I139" s="20" t="b">
        <x:v>1</x:v>
      </x:c>
      <x:c r="J139" s="13" t="str">
        <x:v>NONE</x:v>
      </x:c>
      <x:c r="K139" s="20" t="b">
        <x:v>0</x:v>
      </x:c>
      <x:c r="L139" s="13" t="str"/>
    </x:row>
    <x:row r="140" ht="42" customHeight="1">
      <x:c r="A140" s="14" t="str">
        <x:v>NAV-133</x:v>
      </x:c>
      <x:c r="B140" s="6" t="str">
        <x:v>USER</x:v>
      </x:c>
      <x:c r="C140" s="6" t="n">
        <x:v>6</x:v>
      </x:c>
      <x:c r="D140" s="6" t="n">
        <x:v>8</x:v>
      </x:c>
      <x:c r="E140" s="6" t="str">
        <x:v>/app/strategy/financial-model-revenue-benefits</x:v>
      </x:c>
      <x:c r="F140" s="6" t="str">
        <x:v>Enterprise Strategy Manager &gt; Business Case &amp; Investment Development &gt; Economic &amp; Financial Model &gt; Revenue / Benefits</x:v>
      </x:c>
      <x:c r="G140" s="6" t="str">
        <x:v>frontend/src/features/economic-financial-model/EconomicFinancialModelWorkspace.tsx</x:v>
      </x:c>
      <x:c r="H140" s="6" t="str">
        <x:v>USER_TRANSACTION</x:v>
      </x:c>
      <x:c r="I140" s="19" t="b">
        <x:v>1</x:v>
      </x:c>
      <x:c r="J140" s="6" t="str">
        <x:v>NONE</x:v>
      </x:c>
      <x:c r="K140" s="19" t="b">
        <x:v>0</x:v>
      </x:c>
      <x:c r="L140" s="6" t="str"/>
    </x:row>
    <x:row r="141" ht="42" customHeight="1">
      <x:c r="A141" s="15" t="str">
        <x:v>NAV-134</x:v>
      </x:c>
      <x:c r="B141" s="13" t="str">
        <x:v>USER</x:v>
      </x:c>
      <x:c r="C141" s="13" t="n">
        <x:v>6</x:v>
      </x:c>
      <x:c r="D141" s="13" t="n">
        <x:v>9</x:v>
      </x:c>
      <x:c r="E141" s="13" t="str">
        <x:v>/app/strategy/financial-model-capital-structure</x:v>
      </x:c>
      <x:c r="F141" s="13" t="str">
        <x:v>Enterprise Strategy Manager &gt; Business Case &amp; Investment Development &gt; Economic &amp; Financial Model &gt; Capital Structure</x:v>
      </x:c>
      <x:c r="G141" s="13" t="str">
        <x:v>frontend/src/features/economic-financial-model/EconomicFinancialModelWorkspace.tsx</x:v>
      </x:c>
      <x:c r="H141" s="13" t="str">
        <x:v>USER_TRANSACTION</x:v>
      </x:c>
      <x:c r="I141" s="20" t="b">
        <x:v>1</x:v>
      </x:c>
      <x:c r="J141" s="13" t="str">
        <x:v>NONE</x:v>
      </x:c>
      <x:c r="K141" s="20" t="b">
        <x:v>0</x:v>
      </x:c>
      <x:c r="L141" s="13" t="str"/>
    </x:row>
    <x:row r="142" ht="42" customHeight="1">
      <x:c r="A142" s="14" t="str">
        <x:v>NAV-135</x:v>
      </x:c>
      <x:c r="B142" s="6" t="str">
        <x:v>USER</x:v>
      </x:c>
      <x:c r="C142" s="6" t="n">
        <x:v>6</x:v>
      </x:c>
      <x:c r="D142" s="6" t="n">
        <x:v>10</x:v>
      </x:c>
      <x:c r="E142" s="6" t="str">
        <x:v>/app/strategy/financial-model-funding-linkage</x:v>
      </x:c>
      <x:c r="F142" s="6" t="str">
        <x:v>Enterprise Strategy Manager &gt; Business Case &amp; Investment Development &gt; Economic &amp; Financial Model &gt; Funding Linkage</x:v>
      </x:c>
      <x:c r="G142" s="6" t="str">
        <x:v>frontend/src/features/economic-financial-model/EconomicFinancialModelWorkspace.tsx</x:v>
      </x:c>
      <x:c r="H142" s="6" t="str">
        <x:v>USER_TRANSACTION</x:v>
      </x:c>
      <x:c r="I142" s="19" t="b">
        <x:v>1</x:v>
      </x:c>
      <x:c r="J142" s="6" t="str">
        <x:v>NONE</x:v>
      </x:c>
      <x:c r="K142" s="19" t="b">
        <x:v>0</x:v>
      </x:c>
      <x:c r="L142" s="6" t="str"/>
    </x:row>
    <x:row r="143" ht="42" customHeight="1">
      <x:c r="A143" s="15" t="str">
        <x:v>NAV-136</x:v>
      </x:c>
      <x:c r="B143" s="13" t="str">
        <x:v>USER</x:v>
      </x:c>
      <x:c r="C143" s="13" t="n">
        <x:v>6</x:v>
      </x:c>
      <x:c r="D143" s="13" t="n">
        <x:v>11</x:v>
      </x:c>
      <x:c r="E143" s="13" t="str">
        <x:v>/app/strategy/financial-model-investors</x:v>
      </x:c>
      <x:c r="F143" s="13" t="str">
        <x:v>Enterprise Strategy Manager &gt; Business Case &amp; Investment Development &gt; Economic &amp; Financial Model &gt; Investors</x:v>
      </x:c>
      <x:c r="G143" s="13" t="str">
        <x:v>frontend/src/features/economic-financial-model/EconomicFinancialModelWorkspace.tsx</x:v>
      </x:c>
      <x:c r="H143" s="13" t="str">
        <x:v>USER_TRANSACTION</x:v>
      </x:c>
      <x:c r="I143" s="20" t="b">
        <x:v>1</x:v>
      </x:c>
      <x:c r="J143" s="13" t="str">
        <x:v>NONE</x:v>
      </x:c>
      <x:c r="K143" s="20" t="b">
        <x:v>0</x:v>
      </x:c>
      <x:c r="L143" s="13" t="str"/>
    </x:row>
    <x:row r="144" ht="42" customHeight="1">
      <x:c r="A144" s="14" t="str">
        <x:v>NAV-137</x:v>
      </x:c>
      <x:c r="B144" s="6" t="str">
        <x:v>USER</x:v>
      </x:c>
      <x:c r="C144" s="6" t="n">
        <x:v>6</x:v>
      </x:c>
      <x:c r="D144" s="6" t="n">
        <x:v>12</x:v>
      </x:c>
      <x:c r="E144" s="6" t="str">
        <x:v>/app/strategy/financial-model-debt</x:v>
      </x:c>
      <x:c r="F144" s="6" t="str">
        <x:v>Enterprise Strategy Manager &gt; Business Case &amp; Investment Development &gt; Economic &amp; Financial Model &gt; Debt</x:v>
      </x:c>
      <x:c r="G144" s="6" t="str">
        <x:v>frontend/src/features/economic-financial-model/EconomicFinancialModelWorkspace.tsx</x:v>
      </x:c>
      <x:c r="H144" s="6" t="str">
        <x:v>USER_TRANSACTION</x:v>
      </x:c>
      <x:c r="I144" s="19" t="b">
        <x:v>1</x:v>
      </x:c>
      <x:c r="J144" s="6" t="str">
        <x:v>NONE</x:v>
      </x:c>
      <x:c r="K144" s="19" t="b">
        <x:v>0</x:v>
      </x:c>
      <x:c r="L144" s="6" t="str"/>
    </x:row>
    <x:row r="145" ht="42" customHeight="1">
      <x:c r="A145" s="15" t="str">
        <x:v>NAV-138</x:v>
      </x:c>
      <x:c r="B145" s="13" t="str">
        <x:v>USER</x:v>
      </x:c>
      <x:c r="C145" s="13" t="n">
        <x:v>6</x:v>
      </x:c>
      <x:c r="D145" s="13" t="n">
        <x:v>13</x:v>
      </x:c>
      <x:c r="E145" s="13" t="str">
        <x:v>/app/strategy/financial-model-cash-flow</x:v>
      </x:c>
      <x:c r="F145" s="13" t="str">
        <x:v>Enterprise Strategy Manager &gt; Business Case &amp; Investment Development &gt; Economic &amp; Financial Model &gt; Cash Flow</x:v>
      </x:c>
      <x:c r="G145" s="13" t="str">
        <x:v>frontend/src/features/economic-financial-model/EconomicFinancialModelWorkspace.tsx</x:v>
      </x:c>
      <x:c r="H145" s="13" t="str">
        <x:v>USER_TRANSACTION</x:v>
      </x:c>
      <x:c r="I145" s="20" t="b">
        <x:v>1</x:v>
      </x:c>
      <x:c r="J145" s="13" t="str">
        <x:v>NONE</x:v>
      </x:c>
      <x:c r="K145" s="20" t="b">
        <x:v>0</x:v>
      </x:c>
      <x:c r="L145" s="13" t="str"/>
    </x:row>
    <x:row r="146" ht="42" customHeight="1">
      <x:c r="A146" s="14" t="str">
        <x:v>NAV-139</x:v>
      </x:c>
      <x:c r="B146" s="6" t="str">
        <x:v>USER</x:v>
      </x:c>
      <x:c r="C146" s="6" t="n">
        <x:v>6</x:v>
      </x:c>
      <x:c r="D146" s="6" t="n">
        <x:v>14</x:v>
      </x:c>
      <x:c r="E146" s="6" t="str">
        <x:v>/app/strategy/financial-model-debt-service</x:v>
      </x:c>
      <x:c r="F146" s="6" t="str">
        <x:v>Enterprise Strategy Manager &gt; Business Case &amp; Investment Development &gt; Economic &amp; Financial Model &gt; Debt Service</x:v>
      </x:c>
      <x:c r="G146" s="6" t="str">
        <x:v>frontend/src/features/economic-financial-model/EconomicFinancialModelWorkspace.tsx</x:v>
      </x:c>
      <x:c r="H146" s="6" t="str">
        <x:v>USER_TRANSACTION</x:v>
      </x:c>
      <x:c r="I146" s="19" t="b">
        <x:v>1</x:v>
      </x:c>
      <x:c r="J146" s="6" t="str">
        <x:v>NONE</x:v>
      </x:c>
      <x:c r="K146" s="19" t="b">
        <x:v>0</x:v>
      </x:c>
      <x:c r="L146" s="6" t="str"/>
    </x:row>
    <x:row r="147" ht="42" customHeight="1">
      <x:c r="A147" s="15" t="str">
        <x:v>NAV-140</x:v>
      </x:c>
      <x:c r="B147" s="13" t="str">
        <x:v>USER</x:v>
      </x:c>
      <x:c r="C147" s="13" t="n">
        <x:v>6</x:v>
      </x:c>
      <x:c r="D147" s="13" t="n">
        <x:v>15</x:v>
      </x:c>
      <x:c r="E147" s="13" t="str">
        <x:v>/app/strategy/financial-model-indicators</x:v>
      </x:c>
      <x:c r="F147" s="13" t="str">
        <x:v>Enterprise Strategy Manager &gt; Business Case &amp; Investment Development &gt; Economic &amp; Financial Model &gt; Indicators</x:v>
      </x:c>
      <x:c r="G147" s="13" t="str">
        <x:v>frontend/src/features/economic-financial-model/EconomicFinancialModelWorkspace.tsx</x:v>
      </x:c>
      <x:c r="H147" s="13" t="str">
        <x:v>USER_TRANSACTION</x:v>
      </x:c>
      <x:c r="I147" s="20" t="b">
        <x:v>1</x:v>
      </x:c>
      <x:c r="J147" s="13" t="str">
        <x:v>NONE</x:v>
      </x:c>
      <x:c r="K147" s="20" t="b">
        <x:v>0</x:v>
      </x:c>
      <x:c r="L147" s="13" t="str"/>
    </x:row>
    <x:row r="148" ht="42" customHeight="1">
      <x:c r="A148" s="14" t="str">
        <x:v>NAV-141</x:v>
      </x:c>
      <x:c r="B148" s="6" t="str">
        <x:v>USER</x:v>
      </x:c>
      <x:c r="C148" s="6" t="n">
        <x:v>6</x:v>
      </x:c>
      <x:c r="D148" s="6" t="n">
        <x:v>16</x:v>
      </x:c>
      <x:c r="E148" s="6" t="str">
        <x:v>/app/strategy/financial-model-covenants</x:v>
      </x:c>
      <x:c r="F148" s="6" t="str">
        <x:v>Enterprise Strategy Manager &gt; Business Case &amp; Investment Development &gt; Economic &amp; Financial Model &gt; Covenants</x:v>
      </x:c>
      <x:c r="G148" s="6" t="str">
        <x:v>frontend/src/features/economic-financial-model/EconomicFinancialModelWorkspace.tsx</x:v>
      </x:c>
      <x:c r="H148" s="6" t="str">
        <x:v>USER_TRANSACTION</x:v>
      </x:c>
      <x:c r="I148" s="19" t="b">
        <x:v>1</x:v>
      </x:c>
      <x:c r="J148" s="6" t="str">
        <x:v>NONE</x:v>
      </x:c>
      <x:c r="K148" s="19" t="b">
        <x:v>0</x:v>
      </x:c>
      <x:c r="L148" s="6" t="str"/>
    </x:row>
    <x:row r="149" ht="42" customHeight="1">
      <x:c r="A149" s="15" t="str">
        <x:v>NAV-142</x:v>
      </x:c>
      <x:c r="B149" s="13" t="str">
        <x:v>USER</x:v>
      </x:c>
      <x:c r="C149" s="13" t="n">
        <x:v>6</x:v>
      </x:c>
      <x:c r="D149" s="13" t="n">
        <x:v>17</x:v>
      </x:c>
      <x:c r="E149" s="13" t="str">
        <x:v>/app/strategy/financial-model-scenarios</x:v>
      </x:c>
      <x:c r="F149" s="13" t="str">
        <x:v>Enterprise Strategy Manager &gt; Business Case &amp; Investment Development &gt; Economic &amp; Financial Model &gt; Scenarios</x:v>
      </x:c>
      <x:c r="G149" s="13" t="str">
        <x:v>frontend/src/features/economic-financial-model/EconomicFinancialModelWorkspace.tsx</x:v>
      </x:c>
      <x:c r="H149" s="13" t="str">
        <x:v>USER_TRANSACTION</x:v>
      </x:c>
      <x:c r="I149" s="20" t="b">
        <x:v>1</x:v>
      </x:c>
      <x:c r="J149" s="13" t="str">
        <x:v>NONE</x:v>
      </x:c>
      <x:c r="K149" s="20" t="b">
        <x:v>0</x:v>
      </x:c>
      <x:c r="L149" s="13" t="str"/>
    </x:row>
    <x:row r="150" ht="42" customHeight="1">
      <x:c r="A150" s="14" t="str">
        <x:v>NAV-143</x:v>
      </x:c>
      <x:c r="B150" s="6" t="str">
        <x:v>USER</x:v>
      </x:c>
      <x:c r="C150" s="6" t="n">
        <x:v>6</x:v>
      </x:c>
      <x:c r="D150" s="6" t="n">
        <x:v>18</x:v>
      </x:c>
      <x:c r="E150" s="6" t="str">
        <x:v>/app/strategy/financial-model-sensitivities</x:v>
      </x:c>
      <x:c r="F150" s="6" t="str">
        <x:v>Enterprise Strategy Manager &gt; Business Case &amp; Investment Development &gt; Economic &amp; Financial Model &gt; Sensitivities</x:v>
      </x:c>
      <x:c r="G150" s="6" t="str">
        <x:v>frontend/src/features/economic-financial-model/EconomicFinancialModelWorkspace.tsx</x:v>
      </x:c>
      <x:c r="H150" s="6" t="str">
        <x:v>USER_TRANSACTION</x:v>
      </x:c>
      <x:c r="I150" s="19" t="b">
        <x:v>1</x:v>
      </x:c>
      <x:c r="J150" s="6" t="str">
        <x:v>NONE</x:v>
      </x:c>
      <x:c r="K150" s="19" t="b">
        <x:v>0</x:v>
      </x:c>
      <x:c r="L150" s="6" t="str"/>
    </x:row>
    <x:row r="151" ht="42" customHeight="1">
      <x:c r="A151" s="15" t="str">
        <x:v>NAV-144</x:v>
      </x:c>
      <x:c r="B151" s="13" t="str">
        <x:v>USER</x:v>
      </x:c>
      <x:c r="C151" s="13" t="n">
        <x:v>6</x:v>
      </x:c>
      <x:c r="D151" s="13" t="n">
        <x:v>19</x:v>
      </x:c>
      <x:c r="E151" s="13" t="str">
        <x:v>/app/strategy/financial-model-break-even</x:v>
      </x:c>
      <x:c r="F151" s="13" t="str">
        <x:v>Enterprise Strategy Manager &gt; Business Case &amp; Investment Development &gt; Economic &amp; Financial Model &gt; Break-Even</x:v>
      </x:c>
      <x:c r="G151" s="13" t="str">
        <x:v>frontend/src/features/economic-financial-model/EconomicFinancialModelWorkspace.tsx</x:v>
      </x:c>
      <x:c r="H151" s="13" t="str">
        <x:v>USER_TRANSACTION</x:v>
      </x:c>
      <x:c r="I151" s="20" t="b">
        <x:v>1</x:v>
      </x:c>
      <x:c r="J151" s="13" t="str">
        <x:v>NONE</x:v>
      </x:c>
      <x:c r="K151" s="20" t="b">
        <x:v>0</x:v>
      </x:c>
      <x:c r="L151" s="13" t="str"/>
    </x:row>
    <x:row r="152" ht="42" customHeight="1">
      <x:c r="A152" s="14" t="str">
        <x:v>NAV-145</x:v>
      </x:c>
      <x:c r="B152" s="6" t="str">
        <x:v>USER</x:v>
      </x:c>
      <x:c r="C152" s="6" t="n">
        <x:v>6</x:v>
      </x:c>
      <x:c r="D152" s="6" t="n">
        <x:v>20</x:v>
      </x:c>
      <x:c r="E152" s="6" t="str">
        <x:v>/app/strategy/financial-model-readiness</x:v>
      </x:c>
      <x:c r="F152" s="6" t="str">
        <x:v>Enterprise Strategy Manager &gt; Business Case &amp; Investment Development &gt; Economic &amp; Financial Model &gt; Readiness</x:v>
      </x:c>
      <x:c r="G152" s="6" t="str">
        <x:v>frontend/src/features/economic-financial-model/EconomicFinancialModelWorkspace.tsx</x:v>
      </x:c>
      <x:c r="H152" s="6" t="str">
        <x:v>USER_TRANSACTION</x:v>
      </x:c>
      <x:c r="I152" s="19" t="b">
        <x:v>1</x:v>
      </x:c>
      <x:c r="J152" s="6" t="str">
        <x:v>NONE</x:v>
      </x:c>
      <x:c r="K152" s="19" t="b">
        <x:v>0</x:v>
      </x:c>
      <x:c r="L152" s="6" t="str"/>
    </x:row>
    <x:row r="153" ht="42" customHeight="1">
      <x:c r="A153" s="15" t="str">
        <x:v>NAV-146</x:v>
      </x:c>
      <x:c r="B153" s="13" t="str">
        <x:v>USER</x:v>
      </x:c>
      <x:c r="C153" s="13" t="n">
        <x:v>6</x:v>
      </x:c>
      <x:c r="D153" s="13" t="n">
        <x:v>21</x:v>
      </x:c>
      <x:c r="E153" s="13" t="str">
        <x:v>/app/strategy/financial-model-source-lineage</x:v>
      </x:c>
      <x:c r="F153" s="13" t="str">
        <x:v>Enterprise Strategy Manager &gt; Business Case &amp; Investment Development &gt; Economic &amp; Financial Model &gt; Source Lineage</x:v>
      </x:c>
      <x:c r="G153" s="13" t="str">
        <x:v>frontend/src/features/economic-financial-model/EconomicFinancialModelWorkspace.tsx</x:v>
      </x:c>
      <x:c r="H153" s="13" t="str">
        <x:v>USER_TRANSACTION</x:v>
      </x:c>
      <x:c r="I153" s="20" t="b">
        <x:v>1</x:v>
      </x:c>
      <x:c r="J153" s="13" t="str">
        <x:v>NONE</x:v>
      </x:c>
      <x:c r="K153" s="20" t="b">
        <x:v>0</x:v>
      </x:c>
      <x:c r="L153" s="13" t="str"/>
    </x:row>
    <x:row r="154" ht="42" customHeight="1">
      <x:c r="A154" s="14" t="str">
        <x:v>NAV-147</x:v>
      </x:c>
      <x:c r="B154" s="6" t="str">
        <x:v>USER</x:v>
      </x:c>
      <x:c r="C154" s="6" t="n">
        <x:v>6</x:v>
      </x:c>
      <x:c r="D154" s="6" t="n">
        <x:v>22</x:v>
      </x:c>
      <x:c r="E154" s="6" t="str">
        <x:v>/app/strategy/financial-model-compare-versions</x:v>
      </x:c>
      <x:c r="F154" s="6" t="str">
        <x:v>Enterprise Strategy Manager &gt; Business Case &amp; Investment Development &gt; Economic &amp; Financial Model &gt; Compare Versions</x:v>
      </x:c>
      <x:c r="G154" s="6" t="str">
        <x:v>frontend/src/features/economic-financial-model/EconomicFinancialModelWorkspace.tsx</x:v>
      </x:c>
      <x:c r="H154" s="6" t="str">
        <x:v>USER_TRANSACTION</x:v>
      </x:c>
      <x:c r="I154" s="19" t="b">
        <x:v>1</x:v>
      </x:c>
      <x:c r="J154" s="6" t="str">
        <x:v>NONE</x:v>
      </x:c>
      <x:c r="K154" s="19" t="b">
        <x:v>0</x:v>
      </x:c>
      <x:c r="L154" s="6" t="str"/>
    </x:row>
    <x:row r="155" ht="42" customHeight="1">
      <x:c r="A155" s="15" t="str">
        <x:v>NAV-148</x:v>
      </x:c>
      <x:c r="B155" s="13" t="str">
        <x:v>USER</x:v>
      </x:c>
      <x:c r="C155" s="13" t="n">
        <x:v>6</x:v>
      </x:c>
      <x:c r="D155" s="13" t="n">
        <x:v>23</x:v>
      </x:c>
      <x:c r="E155" s="13" t="str">
        <x:v>/app/strategy/financial-model-history-audit</x:v>
      </x:c>
      <x:c r="F155" s="13" t="str">
        <x:v>Enterprise Strategy Manager &gt; Business Case &amp; Investment Development &gt; Economic &amp; Financial Model &gt; History / Audit</x:v>
      </x:c>
      <x:c r="G155" s="13" t="str">
        <x:v>frontend/src/features/economic-financial-model/EconomicFinancialModelWorkspace.tsx</x:v>
      </x:c>
      <x:c r="H155" s="13" t="str">
        <x:v>USER_TRANSACTION</x:v>
      </x:c>
      <x:c r="I155" s="20" t="b">
        <x:v>1</x:v>
      </x:c>
      <x:c r="J155" s="13" t="str">
        <x:v>NONE</x:v>
      </x:c>
      <x:c r="K155" s="20" t="b">
        <x:v>0</x:v>
      </x:c>
      <x:c r="L155" s="13" t="str"/>
    </x:row>
    <x:row r="156" ht="42" customHeight="1">
      <x:c r="A156" s="14" t="str">
        <x:v>NAV-149</x:v>
      </x:c>
      <x:c r="B156" s="6" t="str">
        <x:v>USER</x:v>
      </x:c>
      <x:c r="C156" s="6" t="n">
        <x:v>6</x:v>
      </x:c>
      <x:c r="D156" s="6" t="n">
        <x:v>1</x:v>
      </x:c>
      <x:c r="E156" s="6" t="str">
        <x:v>/app/strategy/risk-readiness-my</x:v>
      </x:c>
      <x:c r="F156" s="6" t="str">
        <x:v>Enterprise Strategy Manager &gt; Business Case &amp; Investment Development &gt; Risk Readiness &gt; My Risk Work</x:v>
      </x:c>
      <x:c r="G156" s="6" t="str">
        <x:v>frontend/src/features/risk-readiness/RiskReadinessWorkspace.tsx</x:v>
      </x:c>
      <x:c r="H156" s="6" t="str">
        <x:v>USER_TRANSACTION</x:v>
      </x:c>
      <x:c r="I156" s="19" t="b">
        <x:v>1</x:v>
      </x:c>
      <x:c r="J156" s="6" t="str">
        <x:v>ANCESTOR_LANDING_ALIAS_SAME_ROUTE</x:v>
      </x:c>
      <x:c r="K156" s="19" t="b">
        <x:v>0</x:v>
      </x:c>
      <x:c r="L156" s="6" t="str"/>
    </x:row>
    <x:row r="157" ht="42" customHeight="1">
      <x:c r="A157" s="15" t="str">
        <x:v>NAV-150</x:v>
      </x:c>
      <x:c r="B157" s="13" t="str">
        <x:v>USER</x:v>
      </x:c>
      <x:c r="C157" s="13" t="n">
        <x:v>6</x:v>
      </x:c>
      <x:c r="D157" s="13" t="n">
        <x:v>2</x:v>
      </x:c>
      <x:c r="E157" s="13" t="str">
        <x:v>/app/strategy/risk-readiness-portfolio</x:v>
      </x:c>
      <x:c r="F157" s="13" t="str">
        <x:v>Enterprise Strategy Manager &gt; Business Case &amp; Investment Development &gt; Risk Readiness &gt; Project Set Risk Readiness</x:v>
      </x:c>
      <x:c r="G157" s="13" t="str">
        <x:v>frontend/src/features/risk-readiness/RiskReadinessWorkspace.tsx</x:v>
      </x:c>
      <x:c r="H157" s="13" t="str">
        <x:v>USER_TRANSACTION</x:v>
      </x:c>
      <x:c r="I157" s="20" t="b">
        <x:v>1</x:v>
      </x:c>
      <x:c r="J157" s="13" t="str">
        <x:v>NONE</x:v>
      </x:c>
      <x:c r="K157" s="20" t="b">
        <x:v>0</x:v>
      </x:c>
      <x:c r="L157" s="13" t="str"/>
    </x:row>
    <x:row r="158" ht="42" customHeight="1">
      <x:c r="A158" s="14" t="str">
        <x:v>NAV-151</x:v>
      </x:c>
      <x:c r="B158" s="6" t="str">
        <x:v>USER</x:v>
      </x:c>
      <x:c r="C158" s="6" t="n">
        <x:v>6</x:v>
      </x:c>
      <x:c r="D158" s="6" t="n">
        <x:v>3</x:v>
      </x:c>
      <x:c r="E158" s="6" t="str">
        <x:v>/app/strategy/risk-readiness-register</x:v>
      </x:c>
      <x:c r="F158" s="6" t="str">
        <x:v>Enterprise Strategy Manager &gt; Business Case &amp; Investment Development &gt; Risk Readiness &gt; Project Risk Register</x:v>
      </x:c>
      <x:c r="G158" s="6" t="str">
        <x:v>frontend/src/features/risk-readiness/RiskReadinessWorkspace.tsx</x:v>
      </x:c>
      <x:c r="H158" s="6" t="str">
        <x:v>USER_TRANSACTION</x:v>
      </x:c>
      <x:c r="I158" s="19" t="b">
        <x:v>1</x:v>
      </x:c>
      <x:c r="J158" s="6" t="str">
        <x:v>NONE</x:v>
      </x:c>
      <x:c r="K158" s="19" t="b">
        <x:v>0</x:v>
      </x:c>
      <x:c r="L158" s="6" t="str"/>
    </x:row>
    <x:row r="159" ht="42" customHeight="1">
      <x:c r="A159" s="15" t="str">
        <x:v>NAV-152</x:v>
      </x:c>
      <x:c r="B159" s="13" t="str">
        <x:v>USER</x:v>
      </x:c>
      <x:c r="C159" s="13" t="n">
        <x:v>6</x:v>
      </x:c>
      <x:c r="D159" s="13" t="n">
        <x:v>4</x:v>
      </x:c>
      <x:c r="E159" s="13" t="str">
        <x:v>/app/strategy/risk-readiness-assessments</x:v>
      </x:c>
      <x:c r="F159" s="13" t="str">
        <x:v>Enterprise Strategy Manager &gt; Business Case &amp; Investment Development &gt; Risk Readiness &gt; Risk Assessments</x:v>
      </x:c>
      <x:c r="G159" s="13" t="str">
        <x:v>frontend/src/features/risk-readiness/RiskReadinessWorkspace.tsx</x:v>
      </x:c>
      <x:c r="H159" s="13" t="str">
        <x:v>USER_TRANSACTION</x:v>
      </x:c>
      <x:c r="I159" s="20" t="b">
        <x:v>1</x:v>
      </x:c>
      <x:c r="J159" s="13" t="str">
        <x:v>NONE</x:v>
      </x:c>
      <x:c r="K159" s="20" t="b">
        <x:v>0</x:v>
      </x:c>
      <x:c r="L159" s="13" t="str"/>
    </x:row>
    <x:row r="160" ht="42" customHeight="1">
      <x:c r="A160" s="14" t="str">
        <x:v>NAV-153</x:v>
      </x:c>
      <x:c r="B160" s="6" t="str">
        <x:v>USER</x:v>
      </x:c>
      <x:c r="C160" s="6" t="n">
        <x:v>6</x:v>
      </x:c>
      <x:c r="D160" s="6" t="n">
        <x:v>5</x:v>
      </x:c>
      <x:c r="E160" s="6" t="str">
        <x:v>/app/strategy/risk-readiness-treatments</x:v>
      </x:c>
      <x:c r="F160" s="6" t="str">
        <x:v>Enterprise Strategy Manager &gt; Business Case &amp; Investment Development &gt; Risk Readiness &gt; Treatments</x:v>
      </x:c>
      <x:c r="G160" s="6" t="str">
        <x:v>frontend/src/features/risk-readiness/RiskReadinessWorkspace.tsx</x:v>
      </x:c>
      <x:c r="H160" s="6" t="str">
        <x:v>USER_TRANSACTION</x:v>
      </x:c>
      <x:c r="I160" s="19" t="b">
        <x:v>1</x:v>
      </x:c>
      <x:c r="J160" s="6" t="str">
        <x:v>NONE</x:v>
      </x:c>
      <x:c r="K160" s="19" t="b">
        <x:v>0</x:v>
      </x:c>
      <x:c r="L160" s="6" t="str"/>
    </x:row>
    <x:row r="161" ht="42" customHeight="1">
      <x:c r="A161" s="15" t="str">
        <x:v>NAV-154</x:v>
      </x:c>
      <x:c r="B161" s="13" t="str">
        <x:v>USER</x:v>
      </x:c>
      <x:c r="C161" s="13" t="n">
        <x:v>6</x:v>
      </x:c>
      <x:c r="D161" s="13" t="n">
        <x:v>6</x:v>
      </x:c>
      <x:c r="E161" s="13" t="str">
        <x:v>/app/strategy/risk-readiness-residual</x:v>
      </x:c>
      <x:c r="F161" s="13" t="str">
        <x:v>Enterprise Strategy Manager &gt; Business Case &amp; Investment Development &gt; Risk Readiness &gt; Residual Risk &amp; Acceptance</x:v>
      </x:c>
      <x:c r="G161" s="13" t="str">
        <x:v>frontend/src/features/risk-readiness/RiskReadinessWorkspace.tsx</x:v>
      </x:c>
      <x:c r="H161" s="13" t="str">
        <x:v>USER_TRANSACTION</x:v>
      </x:c>
      <x:c r="I161" s="20" t="b">
        <x:v>1</x:v>
      </x:c>
      <x:c r="J161" s="13" t="str">
        <x:v>NONE</x:v>
      </x:c>
      <x:c r="K161" s="20" t="b">
        <x:v>0</x:v>
      </x:c>
      <x:c r="L161" s="13" t="str"/>
    </x:row>
    <x:row r="162" ht="42" customHeight="1">
      <x:c r="A162" s="14" t="str">
        <x:v>NAV-155</x:v>
      </x:c>
      <x:c r="B162" s="6" t="str">
        <x:v>USER</x:v>
      </x:c>
      <x:c r="C162" s="6" t="n">
        <x:v>6</x:v>
      </x:c>
      <x:c r="D162" s="6" t="n">
        <x:v>7</x:v>
      </x:c>
      <x:c r="E162" s="6" t="str">
        <x:v>/app/strategy/risk-readiness-dashboard</x:v>
      </x:c>
      <x:c r="F162" s="6" t="str">
        <x:v>Enterprise Strategy Manager &gt; Business Case &amp; Investment Development &gt; Risk Readiness &gt; Risk Readiness Dashboard</x:v>
      </x:c>
      <x:c r="G162" s="6" t="str">
        <x:v>frontend/src/features/risk-readiness/RiskReadinessWorkspace.tsx</x:v>
      </x:c>
      <x:c r="H162" s="6" t="str">
        <x:v>USER_TRANSACTION</x:v>
      </x:c>
      <x:c r="I162" s="19" t="b">
        <x:v>1</x:v>
      </x:c>
      <x:c r="J162" s="6" t="str">
        <x:v>NONE</x:v>
      </x:c>
      <x:c r="K162" s="19" t="b">
        <x:v>0</x:v>
      </x:c>
      <x:c r="L162" s="6" t="str"/>
    </x:row>
    <x:row r="163" ht="42" customHeight="1">
      <x:c r="A163" s="15" t="str">
        <x:v>NAV-156</x:v>
      </x:c>
      <x:c r="B163" s="13" t="str">
        <x:v>USER</x:v>
      </x:c>
      <x:c r="C163" s="13" t="n">
        <x:v>6</x:v>
      </x:c>
      <x:c r="D163" s="13" t="n">
        <x:v>8</x:v>
      </x:c>
      <x:c r="E163" s="13" t="str">
        <x:v>/app/strategy/risk-readiness-history</x:v>
      </x:c>
      <x:c r="F163" s="13" t="str">
        <x:v>Enterprise Strategy Manager &gt; Business Case &amp; Investment Development &gt; Risk Readiness &gt; History / Audit</x:v>
      </x:c>
      <x:c r="G163" s="13" t="str">
        <x:v>frontend/src/features/risk-readiness/RiskReadinessWorkspace.tsx</x:v>
      </x:c>
      <x:c r="H163" s="13" t="str">
        <x:v>USER_TRANSACTION</x:v>
      </x:c>
      <x:c r="I163" s="20" t="b">
        <x:v>1</x:v>
      </x:c>
      <x:c r="J163" s="13" t="str">
        <x:v>NONE</x:v>
      </x:c>
      <x:c r="K163" s="20" t="b">
        <x:v>0</x:v>
      </x:c>
      <x:c r="L163" s="13" t="str"/>
    </x:row>
    <x:row r="164" ht="42" customHeight="1">
      <x:c r="A164" s="14" t="str">
        <x:v>NAV-157</x:v>
      </x:c>
      <x:c r="B164" s="6" t="str">
        <x:v>USER</x:v>
      </x:c>
      <x:c r="C164" s="6" t="n">
        <x:v>6</x:v>
      </x:c>
      <x:c r="D164" s="6" t="n">
        <x:v>1</x:v>
      </x:c>
      <x:c r="E164" s="6" t="str">
        <x:v>/app/strategy/permit-readiness-my</x:v>
      </x:c>
      <x:c r="F164" s="6" t="str">
        <x:v>Enterprise Strategy Manager &gt; Business Case &amp; Investment Development &gt; Permit Readiness &gt; My Permit Work</x:v>
      </x:c>
      <x:c r="G164" s="6" t="str">
        <x:v>frontend/src/features/permit-readiness/PermitReadinessWorkspace.tsx</x:v>
      </x:c>
      <x:c r="H164" s="6" t="str">
        <x:v>USER_TRANSACTION</x:v>
      </x:c>
      <x:c r="I164" s="19" t="b">
        <x:v>1</x:v>
      </x:c>
      <x:c r="J164" s="6" t="str">
        <x:v>ANCESTOR_LANDING_ALIAS_SAME_ROUTE</x:v>
      </x:c>
      <x:c r="K164" s="19" t="b">
        <x:v>0</x:v>
      </x:c>
      <x:c r="L164" s="6" t="str"/>
    </x:row>
    <x:row r="165" ht="42" customHeight="1">
      <x:c r="A165" s="15" t="str">
        <x:v>NAV-158</x:v>
      </x:c>
      <x:c r="B165" s="13" t="str">
        <x:v>USER</x:v>
      </x:c>
      <x:c r="C165" s="13" t="n">
        <x:v>6</x:v>
      </x:c>
      <x:c r="D165" s="13" t="n">
        <x:v>2</x:v>
      </x:c>
      <x:c r="E165" s="13" t="str">
        <x:v>/app/strategy/permit-readiness-register</x:v>
      </x:c>
      <x:c r="F165" s="13" t="str">
        <x:v>Enterprise Strategy Manager &gt; Business Case &amp; Investment Development &gt; Permit Readiness &gt; Project Permit Register</x:v>
      </x:c>
      <x:c r="G165" s="13" t="str">
        <x:v>frontend/src/features/permit-readiness/PermitReadinessWorkspace.tsx</x:v>
      </x:c>
      <x:c r="H165" s="13" t="str">
        <x:v>USER_TRANSACTION</x:v>
      </x:c>
      <x:c r="I165" s="20" t="b">
        <x:v>1</x:v>
      </x:c>
      <x:c r="J165" s="13" t="str">
        <x:v>NONE</x:v>
      </x:c>
      <x:c r="K165" s="20" t="b">
        <x:v>0</x:v>
      </x:c>
      <x:c r="L165" s="13" t="str"/>
    </x:row>
    <x:row r="166" ht="42" customHeight="1">
      <x:c r="A166" s="14" t="str">
        <x:v>NAV-159</x:v>
      </x:c>
      <x:c r="B166" s="6" t="str">
        <x:v>USER</x:v>
      </x:c>
      <x:c r="C166" s="6" t="n">
        <x:v>6</x:v>
      </x:c>
      <x:c r="D166" s="6" t="n">
        <x:v>3</x:v>
      </x:c>
      <x:c r="E166" s="6" t="str">
        <x:v>/app/strategy/permit-readiness-requirements</x:v>
      </x:c>
      <x:c r="F166" s="6" t="str">
        <x:v>Enterprise Strategy Manager &gt; Business Case &amp; Investment Development &gt; Permit Readiness &gt; Permit Requirements</x:v>
      </x:c>
      <x:c r="G166" s="6" t="str">
        <x:v>frontend/src/features/permit-readiness/PermitReadinessWorkspace.tsx</x:v>
      </x:c>
      <x:c r="H166" s="6" t="str">
        <x:v>USER_TRANSACTION</x:v>
      </x:c>
      <x:c r="I166" s="19" t="b">
        <x:v>1</x:v>
      </x:c>
      <x:c r="J166" s="6" t="str">
        <x:v>NONE</x:v>
      </x:c>
      <x:c r="K166" s="19" t="b">
        <x:v>0</x:v>
      </x:c>
      <x:c r="L166" s="6" t="str"/>
    </x:row>
    <x:row r="167" ht="42" customHeight="1">
      <x:c r="A167" s="15" t="str">
        <x:v>NAV-160</x:v>
      </x:c>
      <x:c r="B167" s="13" t="str">
        <x:v>USER</x:v>
      </x:c>
      <x:c r="C167" s="13" t="n">
        <x:v>6</x:v>
      </x:c>
      <x:c r="D167" s="13" t="n">
        <x:v>4</x:v>
      </x:c>
      <x:c r="E167" s="13" t="str">
        <x:v>/app/strategy/permit-readiness-conditions</x:v>
      </x:c>
      <x:c r="F167" s="13" t="str">
        <x:v>Enterprise Strategy Manager &gt; Business Case &amp; Investment Development &gt; Permit Readiness &gt; Permit Conditions</x:v>
      </x:c>
      <x:c r="G167" s="13" t="str">
        <x:v>frontend/src/features/permit-readiness/PermitReadinessWorkspace.tsx</x:v>
      </x:c>
      <x:c r="H167" s="13" t="str">
        <x:v>USER_TRANSACTION</x:v>
      </x:c>
      <x:c r="I167" s="20" t="b">
        <x:v>1</x:v>
      </x:c>
      <x:c r="J167" s="13" t="str">
        <x:v>NONE</x:v>
      </x:c>
      <x:c r="K167" s="20" t="b">
        <x:v>0</x:v>
      </x:c>
      <x:c r="L167" s="13" t="str"/>
    </x:row>
    <x:row r="168" ht="42" customHeight="1">
      <x:c r="A168" s="14" t="str">
        <x:v>NAV-161</x:v>
      </x:c>
      <x:c r="B168" s="6" t="str">
        <x:v>USER</x:v>
      </x:c>
      <x:c r="C168" s="6" t="n">
        <x:v>6</x:v>
      </x:c>
      <x:c r="D168" s="6" t="n">
        <x:v>5</x:v>
      </x:c>
      <x:c r="E168" s="6" t="str">
        <x:v>/app/strategy/permit-readiness-project</x:v>
      </x:c>
      <x:c r="F168" s="6" t="str">
        <x:v>Enterprise Strategy Manager &gt; Business Case &amp; Investment Development &gt; Permit Readiness &gt; Project Permit Readiness</x:v>
      </x:c>
      <x:c r="G168" s="6" t="str">
        <x:v>frontend/src/features/permit-readiness/PermitReadinessWorkspace.tsx</x:v>
      </x:c>
      <x:c r="H168" s="6" t="str">
        <x:v>USER_TRANSACTION</x:v>
      </x:c>
      <x:c r="I168" s="19" t="b">
        <x:v>1</x:v>
      </x:c>
      <x:c r="J168" s="6" t="str">
        <x:v>NONE</x:v>
      </x:c>
      <x:c r="K168" s="19" t="b">
        <x:v>0</x:v>
      </x:c>
      <x:c r="L168" s="6" t="str"/>
    </x:row>
    <x:row r="169" ht="42" customHeight="1">
      <x:c r="A169" s="15" t="str">
        <x:v>NAV-162</x:v>
      </x:c>
      <x:c r="B169" s="13" t="str">
        <x:v>USER</x:v>
      </x:c>
      <x:c r="C169" s="13" t="n">
        <x:v>6</x:v>
      </x:c>
      <x:c r="D169" s="13" t="n">
        <x:v>6</x:v>
      </x:c>
      <x:c r="E169" s="13" t="str">
        <x:v>/app/strategy/permit-readiness-portfolio</x:v>
      </x:c>
      <x:c r="F169" s="13" t="str">
        <x:v>Enterprise Strategy Manager &gt; Business Case &amp; Investment Development &gt; Permit Readiness &gt; Project Set Permit Readiness</x:v>
      </x:c>
      <x:c r="G169" s="13" t="str">
        <x:v>frontend/src/features/permit-readiness/PermitReadinessWorkspace.tsx</x:v>
      </x:c>
      <x:c r="H169" s="13" t="str">
        <x:v>USER_TRANSACTION</x:v>
      </x:c>
      <x:c r="I169" s="20" t="b">
        <x:v>1</x:v>
      </x:c>
      <x:c r="J169" s="13" t="str">
        <x:v>NONE</x:v>
      </x:c>
      <x:c r="K169" s="20" t="b">
        <x:v>0</x:v>
      </x:c>
      <x:c r="L169" s="13" t="str"/>
    </x:row>
    <x:row r="170" ht="42" customHeight="1">
      <x:c r="A170" s="14" t="str">
        <x:v>NAV-163</x:v>
      </x:c>
      <x:c r="B170" s="6" t="str">
        <x:v>USER</x:v>
      </x:c>
      <x:c r="C170" s="6" t="n">
        <x:v>6</x:v>
      </x:c>
      <x:c r="D170" s="6" t="n">
        <x:v>7</x:v>
      </x:c>
      <x:c r="E170" s="6" t="str">
        <x:v>/app/strategy/permit-readiness-history</x:v>
      </x:c>
      <x:c r="F170" s="6" t="str">
        <x:v>Enterprise Strategy Manager &gt; Business Case &amp; Investment Development &gt; Permit Readiness &gt; Permit History / Audit</x:v>
      </x:c>
      <x:c r="G170" s="6" t="str">
        <x:v>frontend/src/features/permit-readiness/PermitReadinessWorkspace.tsx</x:v>
      </x:c>
      <x:c r="H170" s="6" t="str">
        <x:v>USER_TRANSACTION</x:v>
      </x:c>
      <x:c r="I170" s="19" t="b">
        <x:v>1</x:v>
      </x:c>
      <x:c r="J170" s="6" t="str">
        <x:v>NONE</x:v>
      </x:c>
      <x:c r="K170" s="19" t="b">
        <x:v>0</x:v>
      </x:c>
      <x:c r="L170" s="6" t="str"/>
    </x:row>
    <x:row r="171" ht="42" customHeight="1">
      <x:c r="A171" s="15" t="str">
        <x:v>NAV-164</x:v>
      </x:c>
      <x:c r="B171" s="13" t="str">
        <x:v>USER</x:v>
      </x:c>
      <x:c r="C171" s="13" t="n">
        <x:v>6</x:v>
      </x:c>
      <x:c r="D171" s="13" t="n">
        <x:v>9</x:v>
      </x:c>
      <x:c r="E171" s="13" t="str">
        <x:v>/app/strategy/basic-data-readiness</x:v>
      </x:c>
      <x:c r="F171" s="13" t="str">
        <x:v>Enterprise Strategy Manager &gt; Business Case &amp; Investment Development &gt; Basic Data Readiness</x:v>
      </x:c>
      <x:c r="G171" s="13" t="str">
        <x:v>frontend/src/features/basic-data/BasicDataWorkspace.tsx</x:v>
      </x:c>
      <x:c r="H171" s="13" t="str">
        <x:v>USER_TRANSACTION</x:v>
      </x:c>
      <x:c r="I171" s="20" t="b">
        <x:v>1</x:v>
      </x:c>
      <x:c r="J171" s="13" t="str">
        <x:v>NONE</x:v>
      </x:c>
      <x:c r="K171" s="20" t="b">
        <x:v>0</x:v>
      </x:c>
      <x:c r="L171" s="13" t="str">
        <x:v>phase-5-portfolio-scenario-planning</x:v>
      </x:c>
    </x:row>
    <x:row r="172" ht="42" customHeight="1">
      <x:c r="A172" s="14" t="str">
        <x:v>NAV-165</x:v>
      </x:c>
      <x:c r="B172" s="6" t="str">
        <x:v>USER</x:v>
      </x:c>
      <x:c r="C172" s="6" t="n">
        <x:v>6</x:v>
      </x:c>
      <x:c r="D172" s="6" t="n">
        <x:v>10</x:v>
      </x:c>
      <x:c r="E172" s="6" t="str">
        <x:v>/app/strategy/owner-capability-readiness</x:v>
      </x:c>
      <x:c r="F172" s="6" t="str">
        <x:v>Enterprise Strategy Manager &gt; Business Case &amp; Investment Development &gt; Owner Capability Readiness</x:v>
      </x:c>
      <x:c r="G172" s="6" t="str">
        <x:v>frontend/src/features/owner-capability/OwnerCapabilityWorkspace.tsx</x:v>
      </x:c>
      <x:c r="H172" s="6" t="str">
        <x:v>USER_TRANSACTION</x:v>
      </x:c>
      <x:c r="I172" s="19" t="b">
        <x:v>1</x:v>
      </x:c>
      <x:c r="J172" s="6" t="str">
        <x:v>NONE</x:v>
      </x:c>
      <x:c r="K172" s="19" t="b">
        <x:v>0</x:v>
      </x:c>
      <x:c r="L172" s="6" t="str">
        <x:v>phase-5-portfolio-scenario-planning</x:v>
      </x:c>
    </x:row>
    <x:row r="173" ht="42" customHeight="1">
      <x:c r="A173" s="15" t="str">
        <x:v>NAV-166</x:v>
      </x:c>
      <x:c r="B173" s="13" t="str">
        <x:v>USER</x:v>
      </x:c>
      <x:c r="C173" s="13" t="n">
        <x:v>6</x:v>
      </x:c>
      <x:c r="D173" s="13" t="n">
        <x:v>1</x:v>
      </x:c>
      <x:c r="E173" s="13" t="str">
        <x:v>/app/strategy/qra-foundation</x:v>
      </x:c>
      <x:c r="F173" s="13" t="str">
        <x:v>Enterprise Strategy Manager &gt; Business Case &amp; Investment Development &gt; QRA &gt; Cost Source Readiness</x:v>
      </x:c>
      <x:c r="G173" s="13" t="str">
        <x:v>frontend/src/features/qra-foundation/QraFoundationWorkspace.tsx</x:v>
      </x:c>
      <x:c r="H173" s="13" t="str">
        <x:v>USER_TRANSACTION</x:v>
      </x:c>
      <x:c r="I173" s="20" t="b">
        <x:v>1</x:v>
      </x:c>
      <x:c r="J173" s="13" t="str">
        <x:v>ANCESTOR_LANDING_ALIAS_SAME_ROUTE</x:v>
      </x:c>
      <x:c r="K173" s="20" t="b">
        <x:v>0</x:v>
      </x:c>
      <x:c r="L173" s="13" t="str"/>
    </x:row>
    <x:row r="174" ht="42" customHeight="1">
      <x:c r="A174" s="14" t="str">
        <x:v>NAV-167</x:v>
      </x:c>
      <x:c r="B174" s="6" t="str">
        <x:v>USER</x:v>
      </x:c>
      <x:c r="C174" s="6" t="n">
        <x:v>6</x:v>
      </x:c>
      <x:c r="D174" s="6" t="n">
        <x:v>2</x:v>
      </x:c>
      <x:c r="E174" s="6" t="str">
        <x:v>/app/strategy/qra-schedule-source-readiness</x:v>
      </x:c>
      <x:c r="F174" s="6" t="str">
        <x:v>Enterprise Strategy Manager &gt; Business Case &amp; Investment Development &gt; QRA &gt; Schedule Source Readiness</x:v>
      </x:c>
      <x:c r="G174" s="6" t="str">
        <x:v>frontend/src/features/qra-foundation/QraFoundationWorkspace.tsx</x:v>
      </x:c>
      <x:c r="H174" s="6" t="str">
        <x:v>USER_TRANSACTION</x:v>
      </x:c>
      <x:c r="I174" s="19" t="b">
        <x:v>1</x:v>
      </x:c>
      <x:c r="J174" s="6" t="str">
        <x:v>NONE</x:v>
      </x:c>
      <x:c r="K174" s="19" t="b">
        <x:v>0</x:v>
      </x:c>
      <x:c r="L174" s="6" t="str"/>
    </x:row>
    <x:row r="175" ht="42" customHeight="1">
      <x:c r="A175" s="15" t="str">
        <x:v>NAV-168</x:v>
      </x:c>
      <x:c r="B175" s="13" t="str">
        <x:v>USER</x:v>
      </x:c>
      <x:c r="C175" s="13" t="n">
        <x:v>6</x:v>
      </x:c>
      <x:c r="D175" s="13" t="n">
        <x:v>3</x:v>
      </x:c>
      <x:c r="E175" s="13" t="str">
        <x:v>/app/strategy/qra-model-definition</x:v>
      </x:c>
      <x:c r="F175" s="13" t="str">
        <x:v>Enterprise Strategy Manager &gt; Business Case &amp; Investment Development &gt; QRA &gt; Model Definition</x:v>
      </x:c>
      <x:c r="G175" s="13" t="str">
        <x:v>frontend/src/features/qra-foundation/QraFoundationWorkspace.tsx</x:v>
      </x:c>
      <x:c r="H175" s="13" t="str">
        <x:v>USER_TRANSACTION</x:v>
      </x:c>
      <x:c r="I175" s="20" t="b">
        <x:v>1</x:v>
      </x:c>
      <x:c r="J175" s="13" t="str">
        <x:v>NONE</x:v>
      </x:c>
      <x:c r="K175" s="20" t="b">
        <x:v>0</x:v>
      </x:c>
      <x:c r="L175" s="13" t="str"/>
    </x:row>
    <x:row r="176" ht="42" customHeight="1">
      <x:c r="A176" s="14" t="str">
        <x:v>NAV-169</x:v>
      </x:c>
      <x:c r="B176" s="6" t="str">
        <x:v>USER</x:v>
      </x:c>
      <x:c r="C176" s="6" t="n">
        <x:v>6</x:v>
      </x:c>
      <x:c r="D176" s="6" t="n">
        <x:v>4</x:v>
      </x:c>
      <x:c r="E176" s="6" t="str">
        <x:v>/app/strategy/qra-foundation-history</x:v>
      </x:c>
      <x:c r="F176" s="6" t="str">
        <x:v>Enterprise Strategy Manager &gt; Business Case &amp; Investment Development &gt; QRA &gt; Foundation History</x:v>
      </x:c>
      <x:c r="G176" s="6" t="str">
        <x:v>frontend/src/features/qra-foundation/QraFoundationWorkspace.tsx</x:v>
      </x:c>
      <x:c r="H176" s="6" t="str">
        <x:v>USER_TRANSACTION</x:v>
      </x:c>
      <x:c r="I176" s="19" t="b">
        <x:v>1</x:v>
      </x:c>
      <x:c r="J176" s="6" t="str">
        <x:v>NONE</x:v>
      </x:c>
      <x:c r="K176" s="19" t="b">
        <x:v>0</x:v>
      </x:c>
      <x:c r="L176" s="6" t="str"/>
    </x:row>
    <x:row r="177" ht="42" customHeight="1">
      <x:c r="A177" s="15" t="str">
        <x:v>NAV-170</x:v>
      </x:c>
      <x:c r="B177" s="13" t="str">
        <x:v>USER</x:v>
      </x:c>
      <x:c r="C177" s="13" t="n">
        <x:v>6</x:v>
      </x:c>
      <x:c r="D177" s="13" t="n">
        <x:v>5</x:v>
      </x:c>
      <x:c r="E177" s="13" t="str">
        <x:v>/app/strategy/qra-approved-models</x:v>
      </x:c>
      <x:c r="F177" s="13" t="str">
        <x:v>Enterprise Strategy Manager &gt; Business Case &amp; Investment Development &gt; QRA &gt; Approved Models</x:v>
      </x:c>
      <x:c r="G177" s="13" t="str">
        <x:v>frontend/src/features/qra-engine/QraEngineWorkspace.tsx</x:v>
      </x:c>
      <x:c r="H177" s="13" t="str">
        <x:v>USER_TRANSACTION</x:v>
      </x:c>
      <x:c r="I177" s="20" t="b">
        <x:v>1</x:v>
      </x:c>
      <x:c r="J177" s="13" t="str">
        <x:v>NONE</x:v>
      </x:c>
      <x:c r="K177" s="20" t="b">
        <x:v>0</x:v>
      </x:c>
      <x:c r="L177" s="13" t="str"/>
    </x:row>
    <x:row r="178" ht="42" customHeight="1">
      <x:c r="A178" s="14" t="str">
        <x:v>NAV-171</x:v>
      </x:c>
      <x:c r="B178" s="6" t="str">
        <x:v>USER</x:v>
      </x:c>
      <x:c r="C178" s="6" t="n">
        <x:v>6</x:v>
      </x:c>
      <x:c r="D178" s="6" t="n">
        <x:v>6</x:v>
      </x:c>
      <x:c r="E178" s="6" t="str">
        <x:v>/app/strategy/qra-runs</x:v>
      </x:c>
      <x:c r="F178" s="6" t="str">
        <x:v>Enterprise Strategy Manager &gt; Business Case &amp; Investment Development &gt; QRA &gt; Runs</x:v>
      </x:c>
      <x:c r="G178" s="6" t="str">
        <x:v>frontend/src/features/qra-engine/QraEngineWorkspace.tsx</x:v>
      </x:c>
      <x:c r="H178" s="6" t="str">
        <x:v>USER_TRANSACTION</x:v>
      </x:c>
      <x:c r="I178" s="19" t="b">
        <x:v>1</x:v>
      </x:c>
      <x:c r="J178" s="6" t="str">
        <x:v>NONE</x:v>
      </x:c>
      <x:c r="K178" s="19" t="b">
        <x:v>0</x:v>
      </x:c>
      <x:c r="L178" s="6" t="str"/>
    </x:row>
    <x:row r="179" ht="42" customHeight="1">
      <x:c r="A179" s="15" t="str">
        <x:v>NAV-172</x:v>
      </x:c>
      <x:c r="B179" s="13" t="str">
        <x:v>USER</x:v>
      </x:c>
      <x:c r="C179" s="13" t="n">
        <x:v>6</x:v>
      </x:c>
      <x:c r="D179" s="13" t="n">
        <x:v>7</x:v>
      </x:c>
      <x:c r="E179" s="13" t="str">
        <x:v>/app/strategy/qra-run-overview</x:v>
      </x:c>
      <x:c r="F179" s="13" t="str">
        <x:v>Enterprise Strategy Manager &gt; Business Case &amp; Investment Development &gt; QRA &gt; Run Overview</x:v>
      </x:c>
      <x:c r="G179" s="13" t="str">
        <x:v>frontend/src/features/qra-engine/QraEngineWorkspace.tsx</x:v>
      </x:c>
      <x:c r="H179" s="13" t="str">
        <x:v>USER_TRANSACTION</x:v>
      </x:c>
      <x:c r="I179" s="20" t="b">
        <x:v>1</x:v>
      </x:c>
      <x:c r="J179" s="13" t="str">
        <x:v>NONE</x:v>
      </x:c>
      <x:c r="K179" s="20" t="b">
        <x:v>0</x:v>
      </x:c>
      <x:c r="L179" s="13" t="str"/>
    </x:row>
    <x:row r="180" ht="42" customHeight="1">
      <x:c r="A180" s="14" t="str">
        <x:v>NAV-173</x:v>
      </x:c>
      <x:c r="B180" s="6" t="str">
        <x:v>USER</x:v>
      </x:c>
      <x:c r="C180" s="6" t="n">
        <x:v>6</x:v>
      </x:c>
      <x:c r="D180" s="6" t="n">
        <x:v>8</x:v>
      </x:c>
      <x:c r="E180" s="6" t="str">
        <x:v>/app/strategy/qra-cost-results</x:v>
      </x:c>
      <x:c r="F180" s="6" t="str">
        <x:v>Enterprise Strategy Manager &gt; Business Case &amp; Investment Development &gt; QRA &gt; Cost Results</x:v>
      </x:c>
      <x:c r="G180" s="6" t="str">
        <x:v>frontend/src/features/qra-engine/QraEngineWorkspace.tsx</x:v>
      </x:c>
      <x:c r="H180" s="6" t="str">
        <x:v>USER_TRANSACTION</x:v>
      </x:c>
      <x:c r="I180" s="19" t="b">
        <x:v>1</x:v>
      </x:c>
      <x:c r="J180" s="6" t="str">
        <x:v>NONE</x:v>
      </x:c>
      <x:c r="K180" s="19" t="b">
        <x:v>0</x:v>
      </x:c>
      <x:c r="L180" s="6" t="str"/>
    </x:row>
    <x:row r="181" ht="42" customHeight="1">
      <x:c r="A181" s="15" t="str">
        <x:v>NAV-174</x:v>
      </x:c>
      <x:c r="B181" s="13" t="str">
        <x:v>USER</x:v>
      </x:c>
      <x:c r="C181" s="13" t="n">
        <x:v>6</x:v>
      </x:c>
      <x:c r="D181" s="13" t="n">
        <x:v>9</x:v>
      </x:c>
      <x:c r="E181" s="13" t="str">
        <x:v>/app/strategy/qra-schedule-results</x:v>
      </x:c>
      <x:c r="F181" s="13" t="str">
        <x:v>Enterprise Strategy Manager &gt; Business Case &amp; Investment Development &gt; QRA &gt; Schedule Results</x:v>
      </x:c>
      <x:c r="G181" s="13" t="str">
        <x:v>frontend/src/features/qra-engine/QraEngineWorkspace.tsx</x:v>
      </x:c>
      <x:c r="H181" s="13" t="str">
        <x:v>USER_TRANSACTION</x:v>
      </x:c>
      <x:c r="I181" s="20" t="b">
        <x:v>1</x:v>
      </x:c>
      <x:c r="J181" s="13" t="str">
        <x:v>NONE</x:v>
      </x:c>
      <x:c r="K181" s="20" t="b">
        <x:v>0</x:v>
      </x:c>
      <x:c r="L181" s="13" t="str"/>
    </x:row>
    <x:row r="182" ht="42" customHeight="1">
      <x:c r="A182" s="14" t="str">
        <x:v>NAV-175</x:v>
      </x:c>
      <x:c r="B182" s="6" t="str">
        <x:v>USER</x:v>
      </x:c>
      <x:c r="C182" s="6" t="n">
        <x:v>6</x:v>
      </x:c>
      <x:c r="D182" s="6" t="n">
        <x:v>10</x:v>
      </x:c>
      <x:c r="E182" s="6" t="str">
        <x:v>/app/strategy/qra-percentiles</x:v>
      </x:c>
      <x:c r="F182" s="6" t="str">
        <x:v>Enterprise Strategy Manager &gt; Business Case &amp; Investment Development &gt; QRA &gt; Percentiles</x:v>
      </x:c>
      <x:c r="G182" s="6" t="str">
        <x:v>frontend/src/features/qra-engine/QraEngineWorkspace.tsx</x:v>
      </x:c>
      <x:c r="H182" s="6" t="str">
        <x:v>USER_TRANSACTION</x:v>
      </x:c>
      <x:c r="I182" s="19" t="b">
        <x:v>1</x:v>
      </x:c>
      <x:c r="J182" s="6" t="str">
        <x:v>NONE</x:v>
      </x:c>
      <x:c r="K182" s="19" t="b">
        <x:v>0</x:v>
      </x:c>
      <x:c r="L182" s="6" t="str"/>
    </x:row>
    <x:row r="183" ht="42" customHeight="1">
      <x:c r="A183" s="15" t="str">
        <x:v>NAV-176</x:v>
      </x:c>
      <x:c r="B183" s="13" t="str">
        <x:v>USER</x:v>
      </x:c>
      <x:c r="C183" s="13" t="n">
        <x:v>6</x:v>
      </x:c>
      <x:c r="D183" s="13" t="n">
        <x:v>11</x:v>
      </x:c>
      <x:c r="E183" s="13" t="str">
        <x:v>/app/strategy/qra-sensitivity</x:v>
      </x:c>
      <x:c r="F183" s="13" t="str">
        <x:v>Enterprise Strategy Manager &gt; Business Case &amp; Investment Development &gt; QRA &gt; Sensitivity / Drivers</x:v>
      </x:c>
      <x:c r="G183" s="13" t="str">
        <x:v>frontend/src/features/qra-engine/QraEngineWorkspace.tsx</x:v>
      </x:c>
      <x:c r="H183" s="13" t="str">
        <x:v>USER_TRANSACTION</x:v>
      </x:c>
      <x:c r="I183" s="20" t="b">
        <x:v>1</x:v>
      </x:c>
      <x:c r="J183" s="13" t="str">
        <x:v>NONE</x:v>
      </x:c>
      <x:c r="K183" s="20" t="b">
        <x:v>0</x:v>
      </x:c>
      <x:c r="L183" s="13" t="str"/>
    </x:row>
    <x:row r="184" ht="42" customHeight="1">
      <x:c r="A184" s="14" t="str">
        <x:v>NAV-177</x:v>
      </x:c>
      <x:c r="B184" s="6" t="str">
        <x:v>USER</x:v>
      </x:c>
      <x:c r="C184" s="6" t="n">
        <x:v>6</x:v>
      </x:c>
      <x:c r="D184" s="6" t="n">
        <x:v>12</x:v>
      </x:c>
      <x:c r="E184" s="6" t="str">
        <x:v>/app/strategy/qra-convergence</x:v>
      </x:c>
      <x:c r="F184" s="6" t="str">
        <x:v>Enterprise Strategy Manager &gt; Business Case &amp; Investment Development &gt; QRA &gt; Convergence</x:v>
      </x:c>
      <x:c r="G184" s="6" t="str">
        <x:v>frontend/src/features/qra-engine/QraEngineWorkspace.tsx</x:v>
      </x:c>
      <x:c r="H184" s="6" t="str">
        <x:v>USER_TRANSACTION</x:v>
      </x:c>
      <x:c r="I184" s="19" t="b">
        <x:v>1</x:v>
      </x:c>
      <x:c r="J184" s="6" t="str">
        <x:v>NONE</x:v>
      </x:c>
      <x:c r="K184" s="19" t="b">
        <x:v>0</x:v>
      </x:c>
      <x:c r="L184" s="6" t="str"/>
    </x:row>
    <x:row r="185" ht="42" customHeight="1">
      <x:c r="A185" s="15" t="str">
        <x:v>NAV-178</x:v>
      </x:c>
      <x:c r="B185" s="13" t="str">
        <x:v>USER</x:v>
      </x:c>
      <x:c r="C185" s="13" t="n">
        <x:v>6</x:v>
      </x:c>
      <x:c r="D185" s="13" t="n">
        <x:v>13</x:v>
      </x:c>
      <x:c r="E185" s="13" t="str">
        <x:v>/app/strategy/qra-run-evidence</x:v>
      </x:c>
      <x:c r="F185" s="13" t="str">
        <x:v>Enterprise Strategy Manager &gt; Business Case &amp; Investment Development &gt; QRA &gt; Evidence / Traceability</x:v>
      </x:c>
      <x:c r="G185" s="13" t="str">
        <x:v>frontend/src/features/qra-engine/QraEngineWorkspace.tsx</x:v>
      </x:c>
      <x:c r="H185" s="13" t="str">
        <x:v>USER_TRANSACTION</x:v>
      </x:c>
      <x:c r="I185" s="20" t="b">
        <x:v>1</x:v>
      </x:c>
      <x:c r="J185" s="13" t="str">
        <x:v>NONE</x:v>
      </x:c>
      <x:c r="K185" s="20" t="b">
        <x:v>0</x:v>
      </x:c>
      <x:c r="L185" s="13" t="str"/>
    </x:row>
    <x:row r="186" ht="42" customHeight="1">
      <x:c r="A186" s="14" t="str">
        <x:v>NAV-179</x:v>
      </x:c>
      <x:c r="B186" s="6" t="str">
        <x:v>USER</x:v>
      </x:c>
      <x:c r="C186" s="6" t="n">
        <x:v>6</x:v>
      </x:c>
      <x:c r="D186" s="6" t="n">
        <x:v>14</x:v>
      </x:c>
      <x:c r="E186" s="6" t="str">
        <x:v>/app/strategy/qra-run-comparison</x:v>
      </x:c>
      <x:c r="F186" s="6" t="str">
        <x:v>Enterprise Strategy Manager &gt; Business Case &amp; Investment Development &gt; QRA &gt; Run Comparison</x:v>
      </x:c>
      <x:c r="G186" s="6" t="str">
        <x:v>frontend/src/features/qra-engine/QraEngineWorkspace.tsx</x:v>
      </x:c>
      <x:c r="H186" s="6" t="str">
        <x:v>USER_TRANSACTION</x:v>
      </x:c>
      <x:c r="I186" s="19" t="b">
        <x:v>1</x:v>
      </x:c>
      <x:c r="J186" s="6" t="str">
        <x:v>NONE</x:v>
      </x:c>
      <x:c r="K186" s="19" t="b">
        <x:v>0</x:v>
      </x:c>
      <x:c r="L186" s="6" t="str"/>
    </x:row>
    <x:row r="187" ht="42" customHeight="1">
      <x:c r="A187" s="15" t="str">
        <x:v>NAV-180</x:v>
      </x:c>
      <x:c r="B187" s="13" t="str">
        <x:v>USER</x:v>
      </x:c>
      <x:c r="C187" s="13" t="n">
        <x:v>6</x:v>
      </x:c>
      <x:c r="D187" s="13" t="n">
        <x:v>15</x:v>
      </x:c>
      <x:c r="E187" s="13" t="str">
        <x:v>/app/strategy/qra-run-history</x:v>
      </x:c>
      <x:c r="F187" s="13" t="str">
        <x:v>Enterprise Strategy Manager &gt; Business Case &amp; Investment Development &gt; QRA &gt; Run History</x:v>
      </x:c>
      <x:c r="G187" s="13" t="str">
        <x:v>frontend/src/features/qra-engine/QraEngineWorkspace.tsx</x:v>
      </x:c>
      <x:c r="H187" s="13" t="str">
        <x:v>USER_TRANSACTION</x:v>
      </x:c>
      <x:c r="I187" s="20" t="b">
        <x:v>1</x:v>
      </x:c>
      <x:c r="J187" s="13" t="str">
        <x:v>NONE</x:v>
      </x:c>
      <x:c r="K187" s="20" t="b">
        <x:v>0</x:v>
      </x:c>
      <x:c r="L187" s="13" t="str"/>
    </x:row>
    <x:row r="188" ht="79" customHeight="1">
      <x:c r="A188" s="14" t="str">
        <x:v>NAV-181</x:v>
      </x:c>
      <x:c r="B188" s="6" t="str">
        <x:v>USER</x:v>
      </x:c>
      <x:c r="C188" s="6" t="n">
        <x:v>7</x:v>
      </x:c>
      <x:c r="D188" s="6" t="n">
        <x:v>1</x:v>
      </x:c>
      <x:c r="E188" s="6" t="str">
        <x:v>/app/strategy/investment-gate-preparation</x:v>
      </x:c>
      <x:c r="F188" s="6" t="str">
        <x:v>Enterprise Strategy Manager &gt; Investment Governance &gt; Investment Gate Preparation</x:v>
      </x:c>
      <x:c r="G188" s="6" t="str">
        <x:v>frontend/src/features/investment-gate-preparation/InvestmentGatePreparationWorkspace.tsx</x:v>
      </x:c>
      <x:c r="H188" s="6" t="str">
        <x:v>USER_TRANSACTION</x:v>
      </x:c>
      <x:c r="I188" s="19" t="b">
        <x:v>1</x:v>
      </x:c>
      <x:c r="J188" s="6" t="str">
        <x:v>ANCESTOR_LANDING_ALIAS_SAME_ROUTE</x:v>
      </x:c>
      <x:c r="K188" s="19" t="b">
        <x:v>0</x:v>
      </x:c>
      <x:c r="L188" s="6" t="str">
        <x:v>project-definition-fel; business-case-manager; strategic-benefits-plan; commercial-contracting-strategy; funds-funding-readiness; economic-financial-model; risk-readiness; permit-readiness; basic-data-readiness; owner-capability-readiness; qra-foundation</x:v>
      </x:c>
    </x:row>
    <x:row r="189" ht="42" customHeight="1">
      <x:c r="A189" s="15" t="str">
        <x:v>NAV-182</x:v>
      </x:c>
      <x:c r="B189" s="13" t="str">
        <x:v>USER</x:v>
      </x:c>
      <x:c r="C189" s="13" t="n">
        <x:v>7</x:v>
      </x:c>
      <x:c r="D189" s="13" t="n">
        <x:v>1</x:v>
      </x:c>
      <x:c r="E189" s="13" t="str">
        <x:v>/app/strategy/investment-decision-queue</x:v>
      </x:c>
      <x:c r="F189" s="13" t="str">
        <x:v>Enterprise Strategy Manager &gt; Investment Governance &gt; Investment Decision / FID &gt; Decision Queue</x:v>
      </x:c>
      <x:c r="G189" s="13" t="str">
        <x:v>frontend/src/features/investment-decision/InvestmentDecisionWorkspace.tsx</x:v>
      </x:c>
      <x:c r="H189" s="13" t="str">
        <x:v>USER_TRANSACTION</x:v>
      </x:c>
      <x:c r="I189" s="20" t="b">
        <x:v>1</x:v>
      </x:c>
      <x:c r="J189" s="13" t="str">
        <x:v>ANCESTOR_LANDING_ALIAS_SAME_ROUTE</x:v>
      </x:c>
      <x:c r="K189" s="20" t="b">
        <x:v>0</x:v>
      </x:c>
      <x:c r="L189" s="13" t="str"/>
    </x:row>
    <x:row r="190" ht="42" customHeight="1">
      <x:c r="A190" s="14" t="str">
        <x:v>NAV-183</x:v>
      </x:c>
      <x:c r="B190" s="6" t="str">
        <x:v>USER</x:v>
      </x:c>
      <x:c r="C190" s="6" t="n">
        <x:v>7</x:v>
      </x:c>
      <x:c r="D190" s="6" t="n">
        <x:v>2</x:v>
      </x:c>
      <x:c r="E190" s="6" t="str">
        <x:v>/app/strategy/investment-decision-mine</x:v>
      </x:c>
      <x:c r="F190" s="6" t="str">
        <x:v>Enterprise Strategy Manager &gt; Investment Governance &gt; Investment Decision / FID &gt; My Decisions</x:v>
      </x:c>
      <x:c r="G190" s="6" t="str">
        <x:v>frontend/src/features/investment-decision/InvestmentDecisionWorkspace.tsx</x:v>
      </x:c>
      <x:c r="H190" s="6" t="str">
        <x:v>USER_TRANSACTION</x:v>
      </x:c>
      <x:c r="I190" s="19" t="b">
        <x:v>1</x:v>
      </x:c>
      <x:c r="J190" s="6" t="str">
        <x:v>NONE</x:v>
      </x:c>
      <x:c r="K190" s="19" t="b">
        <x:v>0</x:v>
      </x:c>
      <x:c r="L190" s="6" t="str"/>
    </x:row>
    <x:row r="191" ht="42" customHeight="1">
      <x:c r="A191" s="15" t="str">
        <x:v>NAV-184</x:v>
      </x:c>
      <x:c r="B191" s="13" t="str">
        <x:v>USER</x:v>
      </x:c>
      <x:c r="C191" s="13" t="n">
        <x:v>7</x:v>
      </x:c>
      <x:c r="D191" s="13" t="n">
        <x:v>3</x:v>
      </x:c>
      <x:c r="E191" s="13" t="str">
        <x:v>/app/strategy/investment-decision-package</x:v>
      </x:c>
      <x:c r="F191" s="13" t="str">
        <x:v>Enterprise Strategy Manager &gt; Investment Governance &gt; Investment Decision / FID &gt; Investment Decision Package</x:v>
      </x:c>
      <x:c r="G191" s="13" t="str">
        <x:v>frontend/src/features/investment-decision/InvestmentDecisionWorkspace.tsx</x:v>
      </x:c>
      <x:c r="H191" s="13" t="str">
        <x:v>USER_TRANSACTION</x:v>
      </x:c>
      <x:c r="I191" s="20" t="b">
        <x:v>1</x:v>
      </x:c>
      <x:c r="J191" s="13" t="str">
        <x:v>NONE</x:v>
      </x:c>
      <x:c r="K191" s="20" t="b">
        <x:v>0</x:v>
      </x:c>
      <x:c r="L191" s="13" t="str"/>
    </x:row>
    <x:row r="192" ht="42" customHeight="1">
      <x:c r="A192" s="14" t="str">
        <x:v>NAV-185</x:v>
      </x:c>
      <x:c r="B192" s="6" t="str">
        <x:v>USER</x:v>
      </x:c>
      <x:c r="C192" s="6" t="n">
        <x:v>7</x:v>
      </x:c>
      <x:c r="D192" s="6" t="n">
        <x:v>4</x:v>
      </x:c>
      <x:c r="E192" s="6" t="str">
        <x:v>/app/strategy/investment-decision-evidence</x:v>
      </x:c>
      <x:c r="F192" s="6" t="str">
        <x:v>Enterprise Strategy Manager &gt; Investment Governance &gt; Investment Decision / FID &gt; Evidence Summary</x:v>
      </x:c>
      <x:c r="G192" s="6" t="str">
        <x:v>frontend/src/features/investment-decision/InvestmentDecisionWorkspace.tsx</x:v>
      </x:c>
      <x:c r="H192" s="6" t="str">
        <x:v>USER_TRANSACTION</x:v>
      </x:c>
      <x:c r="I192" s="19" t="b">
        <x:v>1</x:v>
      </x:c>
      <x:c r="J192" s="6" t="str">
        <x:v>NONE</x:v>
      </x:c>
      <x:c r="K192" s="19" t="b">
        <x:v>0</x:v>
      </x:c>
      <x:c r="L192" s="6" t="str"/>
    </x:row>
    <x:row r="193" ht="42" customHeight="1">
      <x:c r="A193" s="15" t="str">
        <x:v>NAV-186</x:v>
      </x:c>
      <x:c r="B193" s="13" t="str">
        <x:v>USER</x:v>
      </x:c>
      <x:c r="C193" s="13" t="n">
        <x:v>7</x:v>
      </x:c>
      <x:c r="D193" s="13" t="n">
        <x:v>5</x:v>
      </x:c>
      <x:c r="E193" s="13" t="str">
        <x:v>/app/strategy/investment-decision-checklist</x:v>
      </x:c>
      <x:c r="F193" s="13" t="str">
        <x:v>Enterprise Strategy Manager &gt; Investment Governance &gt; Investment Decision / FID &gt; Decision Checklist</x:v>
      </x:c>
      <x:c r="G193" s="13" t="str">
        <x:v>frontend/src/features/investment-decision/InvestmentDecisionWorkspace.tsx</x:v>
      </x:c>
      <x:c r="H193" s="13" t="str">
        <x:v>USER_TRANSACTION</x:v>
      </x:c>
      <x:c r="I193" s="20" t="b">
        <x:v>1</x:v>
      </x:c>
      <x:c r="J193" s="13" t="str">
        <x:v>NONE</x:v>
      </x:c>
      <x:c r="K193" s="20" t="b">
        <x:v>0</x:v>
      </x:c>
      <x:c r="L193" s="13" t="str"/>
    </x:row>
    <x:row r="194" ht="42" customHeight="1">
      <x:c r="A194" s="14" t="str">
        <x:v>NAV-187</x:v>
      </x:c>
      <x:c r="B194" s="6" t="str">
        <x:v>USER</x:v>
      </x:c>
      <x:c r="C194" s="6" t="n">
        <x:v>7</x:v>
      </x:c>
      <x:c r="D194" s="6" t="n">
        <x:v>6</x:v>
      </x:c>
      <x:c r="E194" s="6" t="str">
        <x:v>/app/strategy/investment-decision-conditions</x:v>
      </x:c>
      <x:c r="F194" s="6" t="str">
        <x:v>Enterprise Strategy Manager &gt; Investment Governance &gt; Investment Decision / FID &gt; Conditions</x:v>
      </x:c>
      <x:c r="G194" s="6" t="str">
        <x:v>frontend/src/features/investment-decision/InvestmentDecisionWorkspace.tsx</x:v>
      </x:c>
      <x:c r="H194" s="6" t="str">
        <x:v>USER_TRANSACTION</x:v>
      </x:c>
      <x:c r="I194" s="19" t="b">
        <x:v>1</x:v>
      </x:c>
      <x:c r="J194" s="6" t="str">
        <x:v>NONE</x:v>
      </x:c>
      <x:c r="K194" s="19" t="b">
        <x:v>0</x:v>
      </x:c>
      <x:c r="L194" s="6" t="str"/>
    </x:row>
    <x:row r="195" ht="42" customHeight="1">
      <x:c r="A195" s="15" t="str">
        <x:v>NAV-188</x:v>
      </x:c>
      <x:c r="B195" s="13" t="str">
        <x:v>USER</x:v>
      </x:c>
      <x:c r="C195" s="13" t="n">
        <x:v>7</x:v>
      </x:c>
      <x:c r="D195" s="13" t="n">
        <x:v>7</x:v>
      </x:c>
      <x:c r="E195" s="13" t="str">
        <x:v>/app/strategy/investment-decision-committee</x:v>
      </x:c>
      <x:c r="F195" s="13" t="str">
        <x:v>Enterprise Strategy Manager &gt; Investment Governance &gt; Investment Decision / FID &gt; Committee / Votes</x:v>
      </x:c>
      <x:c r="G195" s="13" t="str">
        <x:v>frontend/src/features/investment-decision/InvestmentDecisionWorkspace.tsx</x:v>
      </x:c>
      <x:c r="H195" s="13" t="str">
        <x:v>USER_TRANSACTION</x:v>
      </x:c>
      <x:c r="I195" s="20" t="b">
        <x:v>1</x:v>
      </x:c>
      <x:c r="J195" s="13" t="str">
        <x:v>NONE</x:v>
      </x:c>
      <x:c r="K195" s="20" t="b">
        <x:v>0</x:v>
      </x:c>
      <x:c r="L195" s="13" t="str"/>
    </x:row>
    <x:row r="196" ht="42" customHeight="1">
      <x:c r="A196" s="14" t="str">
        <x:v>NAV-189</x:v>
      </x:c>
      <x:c r="B196" s="6" t="str">
        <x:v>USER</x:v>
      </x:c>
      <x:c r="C196" s="6" t="n">
        <x:v>7</x:v>
      </x:c>
      <x:c r="D196" s="6" t="n">
        <x:v>8</x:v>
      </x:c>
      <x:c r="E196" s="6" t="str">
        <x:v>/app/strategy/investment-decision-history</x:v>
      </x:c>
      <x:c r="F196" s="6" t="str">
        <x:v>Enterprise Strategy Manager &gt; Investment Governance &gt; Investment Decision / FID &gt; Decision History</x:v>
      </x:c>
      <x:c r="G196" s="6" t="str">
        <x:v>frontend/src/features/investment-decision/InvestmentDecisionWorkspace.tsx</x:v>
      </x:c>
      <x:c r="H196" s="6" t="str">
        <x:v>USER_TRANSACTION</x:v>
      </x:c>
      <x:c r="I196" s="19" t="b">
        <x:v>1</x:v>
      </x:c>
      <x:c r="J196" s="6" t="str">
        <x:v>NONE</x:v>
      </x:c>
      <x:c r="K196" s="19" t="b">
        <x:v>0</x:v>
      </x:c>
      <x:c r="L196" s="6" t="str"/>
    </x:row>
    <x:row r="197" ht="42" customHeight="1">
      <x:c r="A197" s="15" t="str">
        <x:v>NAV-190</x:v>
      </x:c>
      <x:c r="B197" s="13" t="str">
        <x:v>USER</x:v>
      </x:c>
      <x:c r="C197" s="13" t="n">
        <x:v>7</x:v>
      </x:c>
      <x:c r="D197" s="13" t="n">
        <x:v>9</x:v>
      </x:c>
      <x:c r="E197" s="13" t="str">
        <x:v>/app/strategy/investment-decision-output</x:v>
      </x:c>
      <x:c r="F197" s="13" t="str">
        <x:v>Enterprise Strategy Manager &gt; Investment Governance &gt; Investment Decision / FID &gt; Authorization Output</x:v>
      </x:c>
      <x:c r="G197" s="13" t="str">
        <x:v>frontend/src/features/investment-decision/InvestmentDecisionWorkspace.tsx</x:v>
      </x:c>
      <x:c r="H197" s="13" t="str">
        <x:v>USER_TRANSACTION</x:v>
      </x:c>
      <x:c r="I197" s="20" t="b">
        <x:v>1</x:v>
      </x:c>
      <x:c r="J197" s="13" t="str">
        <x:v>NONE</x:v>
      </x:c>
      <x:c r="K197" s="20" t="b">
        <x:v>0</x:v>
      </x:c>
      <x:c r="L197" s="13" t="str"/>
    </x:row>
    <x:row r="198" ht="42" customHeight="1">
      <x:c r="A198" s="14" t="str">
        <x:v>NAV-191</x:v>
      </x:c>
      <x:c r="B198" s="6" t="str">
        <x:v>USER</x:v>
      </x:c>
      <x:c r="C198" s="6" t="n">
        <x:v>7</x:v>
      </x:c>
      <x:c r="D198" s="6" t="n">
        <x:v>1</x:v>
      </x:c>
      <x:c r="E198" s="6" t="str">
        <x:v>/app/strategy/post-fid-queue</x:v>
      </x:c>
      <x:c r="F198" s="6" t="str">
        <x:v>Enterprise Strategy Manager &gt; Investment Governance &gt; Post-FID Project Governance &gt; Post-FID Queue</x:v>
      </x:c>
      <x:c r="G198" s="6" t="str">
        <x:v>frontend/src/features/post-fid-governance/PostFIDGovernanceWorkspace.tsx</x:v>
      </x:c>
      <x:c r="H198" s="6" t="str">
        <x:v>USER_TRANSACTION</x:v>
      </x:c>
      <x:c r="I198" s="19" t="b">
        <x:v>1</x:v>
      </x:c>
      <x:c r="J198" s="6" t="str">
        <x:v>ANCESTOR_LANDING_ALIAS_SAME_ROUTE</x:v>
      </x:c>
      <x:c r="K198" s="19" t="b">
        <x:v>0</x:v>
      </x:c>
      <x:c r="L198" s="6" t="str"/>
    </x:row>
    <x:row r="199" ht="42" customHeight="1">
      <x:c r="A199" s="15" t="str">
        <x:v>NAV-192</x:v>
      </x:c>
      <x:c r="B199" s="13" t="str">
        <x:v>USER</x:v>
      </x:c>
      <x:c r="C199" s="13" t="n">
        <x:v>7</x:v>
      </x:c>
      <x:c r="D199" s="13" t="n">
        <x:v>2</x:v>
      </x:c>
      <x:c r="E199" s="13" t="str">
        <x:v>/app/strategy/post-fid-handoff</x:v>
      </x:c>
      <x:c r="F199" s="13" t="str">
        <x:v>Enterprise Strategy Manager &gt; Investment Governance &gt; Post-FID Project Governance &gt; FID Handoff</x:v>
      </x:c>
      <x:c r="G199" s="13" t="str">
        <x:v>frontend/src/features/post-fid-governance/PostFIDGovernanceWorkspace.tsx</x:v>
      </x:c>
      <x:c r="H199" s="13" t="str">
        <x:v>USER_TRANSACTION</x:v>
      </x:c>
      <x:c r="I199" s="20" t="b">
        <x:v>1</x:v>
      </x:c>
      <x:c r="J199" s="13" t="str">
        <x:v>NONE</x:v>
      </x:c>
      <x:c r="K199" s="20" t="b">
        <x:v>0</x:v>
      </x:c>
      <x:c r="L199" s="13" t="str"/>
    </x:row>
    <x:row r="200" ht="42" customHeight="1">
      <x:c r="A200" s="14" t="str">
        <x:v>NAV-193</x:v>
      </x:c>
      <x:c r="B200" s="6" t="str">
        <x:v>USER</x:v>
      </x:c>
      <x:c r="C200" s="6" t="n">
        <x:v>7</x:v>
      </x:c>
      <x:c r="D200" s="6" t="n">
        <x:v>3</x:v>
      </x:c>
      <x:c r="E200" s="6" t="str">
        <x:v>/app/strategy/post-fid-eligibility-matrix</x:v>
      </x:c>
      <x:c r="F200" s="6" t="str">
        <x:v>Enterprise Strategy Manager &gt; Investment Governance &gt; Post-FID Project Governance &gt; Project Eligibility Matrix</x:v>
      </x:c>
      <x:c r="G200" s="6" t="str">
        <x:v>frontend/src/features/post-fid-governance/PostFIDGovernanceWorkspace.tsx</x:v>
      </x:c>
      <x:c r="H200" s="6" t="str">
        <x:v>USER_TRANSACTION</x:v>
      </x:c>
      <x:c r="I200" s="19" t="b">
        <x:v>1</x:v>
      </x:c>
      <x:c r="J200" s="6" t="str">
        <x:v>NONE</x:v>
      </x:c>
      <x:c r="K200" s="19" t="b">
        <x:v>0</x:v>
      </x:c>
      <x:c r="L200" s="6" t="str"/>
    </x:row>
    <x:row r="201" ht="42" customHeight="1">
      <x:c r="A201" s="15" t="str">
        <x:v>NAV-194</x:v>
      </x:c>
      <x:c r="B201" s="13" t="str">
        <x:v>USER</x:v>
      </x:c>
      <x:c r="C201" s="13" t="n">
        <x:v>7</x:v>
      </x:c>
      <x:c r="D201" s="13" t="n">
        <x:v>4</x:v>
      </x:c>
      <x:c r="E201" s="13" t="str">
        <x:v>/app/strategy/post-fid-conditions</x:v>
      </x:c>
      <x:c r="F201" s="13" t="str">
        <x:v>Enterprise Strategy Manager &gt; Investment Governance &gt; Post-FID Project Governance &gt; Post-FID Conditions</x:v>
      </x:c>
      <x:c r="G201" s="13" t="str">
        <x:v>frontend/src/features/post-fid-governance/PostFIDGovernanceWorkspace.tsx</x:v>
      </x:c>
      <x:c r="H201" s="13" t="str">
        <x:v>USER_TRANSACTION</x:v>
      </x:c>
      <x:c r="I201" s="20" t="b">
        <x:v>1</x:v>
      </x:c>
      <x:c r="J201" s="13" t="str">
        <x:v>NONE</x:v>
      </x:c>
      <x:c r="K201" s="20" t="b">
        <x:v>0</x:v>
      </x:c>
      <x:c r="L201" s="13" t="str"/>
    </x:row>
    <x:row r="202" ht="42" customHeight="1">
      <x:c r="A202" s="14" t="str">
        <x:v>NAV-195</x:v>
      </x:c>
      <x:c r="B202" s="6" t="str">
        <x:v>USER</x:v>
      </x:c>
      <x:c r="C202" s="6" t="n">
        <x:v>7</x:v>
      </x:c>
      <x:c r="D202" s="6" t="n">
        <x:v>5</x:v>
      </x:c>
      <x:c r="E202" s="6" t="str">
        <x:v>/app/strategy/post-fid-initialization-handoff</x:v>
      </x:c>
      <x:c r="F202" s="6" t="str">
        <x:v>Enterprise Strategy Manager &gt; Investment Governance &gt; Post-FID Project Governance &gt; Initialization Handoff</x:v>
      </x:c>
      <x:c r="G202" s="6" t="str">
        <x:v>frontend/src/features/post-fid-governance/PostFIDGovernanceWorkspace.tsx</x:v>
      </x:c>
      <x:c r="H202" s="6" t="str">
        <x:v>USER_TRANSACTION</x:v>
      </x:c>
      <x:c r="I202" s="19" t="b">
        <x:v>1</x:v>
      </x:c>
      <x:c r="J202" s="6" t="str">
        <x:v>NONE</x:v>
      </x:c>
      <x:c r="K202" s="19" t="b">
        <x:v>0</x:v>
      </x:c>
      <x:c r="L202" s="6" t="str"/>
    </x:row>
    <x:row r="203" ht="42" customHeight="1">
      <x:c r="A203" s="15" t="str">
        <x:v>NAV-196</x:v>
      </x:c>
      <x:c r="B203" s="13" t="str">
        <x:v>USER</x:v>
      </x:c>
      <x:c r="C203" s="13" t="n">
        <x:v>7</x:v>
      </x:c>
      <x:c r="D203" s="13" t="n">
        <x:v>6</x:v>
      </x:c>
      <x:c r="E203" s="13" t="str">
        <x:v>/app/strategy/post-fid-activation-handoff</x:v>
      </x:c>
      <x:c r="F203" s="13" t="str">
        <x:v>Enterprise Strategy Manager &gt; Investment Governance &gt; Post-FID Project Governance &gt; Activation Handoff</x:v>
      </x:c>
      <x:c r="G203" s="13" t="str">
        <x:v>frontend/src/features/post-fid-governance/PostFIDGovernanceWorkspace.tsx</x:v>
      </x:c>
      <x:c r="H203" s="13" t="str">
        <x:v>USER_TRANSACTION</x:v>
      </x:c>
      <x:c r="I203" s="20" t="b">
        <x:v>1</x:v>
      </x:c>
      <x:c r="J203" s="13" t="str">
        <x:v>NONE</x:v>
      </x:c>
      <x:c r="K203" s="20" t="b">
        <x:v>0</x:v>
      </x:c>
      <x:c r="L203" s="13" t="str"/>
    </x:row>
    <x:row r="204" ht="42" customHeight="1">
      <x:c r="A204" s="14" t="str">
        <x:v>NAV-197</x:v>
      </x:c>
      <x:c r="B204" s="6" t="str">
        <x:v>USER</x:v>
      </x:c>
      <x:c r="C204" s="6" t="n">
        <x:v>7</x:v>
      </x:c>
      <x:c r="D204" s="6" t="n">
        <x:v>7</x:v>
      </x:c>
      <x:c r="E204" s="6" t="str">
        <x:v>/app/strategy/post-fid-history</x:v>
      </x:c>
      <x:c r="F204" s="6" t="str">
        <x:v>Enterprise Strategy Manager &gt; Investment Governance &gt; Post-FID Project Governance &gt; Post-FID History / Audit</x:v>
      </x:c>
      <x:c r="G204" s="6" t="str">
        <x:v>frontend/src/features/post-fid-governance/PostFIDGovernanceWorkspace.tsx</x:v>
      </x:c>
      <x:c r="H204" s="6" t="str">
        <x:v>USER_TRANSACTION</x:v>
      </x:c>
      <x:c r="I204" s="19" t="b">
        <x:v>1</x:v>
      </x:c>
      <x:c r="J204" s="6" t="str">
        <x:v>NONE</x:v>
      </x:c>
      <x:c r="K204" s="19" t="b">
        <x:v>0</x:v>
      </x:c>
      <x:c r="L204" s="6" t="str"/>
    </x:row>
  </x:sheetData>
  <x:pageMargins left="0.7" right="0.7" top="0.75" bottom="0.75" header="0.3" footer="0.3"/>
  <x:tableParts count="1">
    <x:tablePart xmlns:r="http://schemas.openxmlformats.org/officeDocument/2006/relationships" r:id="R3c852e5e41d94b1d"/>
  </x:tableParts>
</x:worksheet>
</file>

<file path=xl/worksheets/sheet5.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3" hidden="0" customWidth="1"/>
    <x:col min="2" max="2" width="88" hidden="0" customWidth="1"/>
    <x:col min="3" max="3" width="90" hidden="0" customWidth="1"/>
    <x:col min="4" max="4" width="70" hidden="0" customWidth="1"/>
  </x:cols>
  <x:sheetData>
    <x:row r="2" ht="26" customHeight="1">
      <x:c r="A2" s="1" t="str">
        <x:v>Reglas implementadas y referencias de evidencia</x:v>
      </x:c>
    </x:row>
    <x:row r="3">
      <x:c r="A3" s="2"/>
      <x:c r="B3" s="2"/>
      <x:c r="C3" s="2"/>
      <x:c r="D3" s="2"/>
    </x:row>
    <x:row r="4">
      <x:c r="A4" s="3" t="str">
        <x:v>Corte 14 octubre 2026</x:v>
      </x:c>
      <x:c r="B4" s="3"/>
      <x:c r="C4" s="3"/>
      <x:c r="D4" s="3" t="str">
        <x:v>Fuente del registro</x:v>
      </x:c>
      <x:c r="E4" t="str">
        <x:v>Catálogo de 26 reglas. Inspección de fuente separada del resultado ejecutado por caso.</x:v>
      </x:c>
    </x:row>
    <x:row r="5">
      <x:c r="A5" s="3" t="str">
        <x:v>Registros</x:v>
      </x:c>
      <x:c r="B5" s="3" t="n">
        <x:f>COUNTA(A8:A33)</x:f>
        <x:v>26</x:v>
      </x:c>
      <x:c r="C5" s="3"/>
      <x:c r="D5" s="3"/>
    </x:row>
    <x:row r="7" ht="34" customHeight="1">
      <x:c r="A7" s="10" t="str">
        <x:v>Regla ID</x:v>
      </x:c>
      <x:c r="B7" s="11" t="str">
        <x:v>Regla de negocio</x:v>
      </x:c>
      <x:c r="C7" s="11" t="str">
        <x:v>Implementación o prueba de referencia</x:v>
      </x:c>
      <x:c r="D7" s="12" t="str">
        <x:v>Tipo de evidencia</x:v>
      </x:c>
    </x:row>
    <x:row r="8" ht="42" customHeight="1">
      <x:c r="A8" s="14" t="str">
        <x:v>BR01</x:v>
      </x:c>
      <x:c r="B8" s="6" t="str">
        <x:v>ADMIN configures reusable policy; USER executes live records.</x:v>
      </x:c>
      <x:c r="C8" s="6" t="str">
        <x:v>backend/tests/test_capital_allocation_wave2a.py::test_wave2a_admin_user_rbac_separates_bucket_configuration_from_live_allocation</x:v>
      </x:c>
      <x:c r="D8" s="6" t="str">
        <x:v>SOURCE_CONFIRMED; execution status follows mapped case; no authorized business sign-off inferred</x:v>
      </x:c>
    </x:row>
    <x:row r="9" ht="42" customHeight="1">
      <x:c r="A9" s="15" t="str">
        <x:v>BR02</x:v>
      </x:c>
      <x:c r="B9" s="13" t="str">
        <x:v>Idea belongs to eligible enterprise/business-unit/portfolio and is a strategic record, not a Workspace.</x:v>
      </x:c>
      <x:c r="C9" s="13" t="str">
        <x:v>backend/app/modules/idea_demand/service.py::OWNING_TYPES</x:v>
      </x:c>
      <x:c r="D9" s="13" t="str">
        <x:v>SOURCE_CONFIRMED; execution status follows mapped case; no authorized business sign-off inferred</x:v>
      </x:c>
    </x:row>
    <x:row r="10" ht="42" customHeight="1">
      <x:c r="A10" s="14" t="str">
        <x:v>BR03</x:v>
      </x:c>
      <x:c r="B10" s="6" t="str">
        <x:v>Fresh CAPITAL_OWNER Idea may require independently completed Business Analysis before Proposal; do not silently use grandfathered snapshots.</x:v>
      </x:c>
      <x:c r="C10" s="6" t="str">
        <x:v>backend/tests/test_business_analysis_gate07a_ba.py::test_gate07a_ba_full_path_sod_lineage_and_immutable_snapshots</x:v>
      </x:c>
      <x:c r="D10" s="6" t="str">
        <x:v>SOURCE_CONFIRMED; execution status follows mapped case; no authorized business sign-off inferred</x:v>
      </x:c>
    </x:row>
    <x:row r="11" ht="42" customHeight="1">
      <x:c r="A11" s="15" t="str">
        <x:v>BR04</x:v>
      </x:c>
      <x:c r="B11" s="13" t="str">
        <x:v>Project identity is enterprise_workspaces with workspace_type_code=project; materialization is single shared engine.</x:v>
      </x:c>
      <x:c r="C11" s="13" t="str">
        <x:v>backend/tests/test_project_creation_process.py::test_32_no_legacy_project_row_is_created</x:v>
      </x:c>
      <x:c r="D11" s="13" t="str">
        <x:v>SOURCE_CONFIRMED; execution status follows mapped case; no authorized business sign-off inferred</x:v>
      </x:c>
    </x:row>
    <x:row r="12" ht="42" customHeight="1">
      <x:c r="A12" s="14" t="str">
        <x:v>BR05</x:v>
      </x:c>
      <x:c r="B12" s="6" t="str">
        <x:v>Governance model and project_type are independent dimensions.</x:v>
      </x:c>
      <x:c r="C12" s="6" t="str">
        <x:v>backend/tests/test_project_creation_process.py::test_44_direct_internal_and_project_type_are_separate_dimensions</x:v>
      </x:c>
      <x:c r="D12" s="6" t="str">
        <x:v>SOURCE_CONFIRMED; execution status follows mapped case; no authorized business sign-off inferred</x:v>
      </x:c>
    </x:row>
    <x:row r="13" ht="42" customHeight="1">
      <x:c r="A13" s="15" t="str">
        <x:v>BR06</x:v>
      </x:c>
      <x:c r="B13" s="13" t="str">
        <x:v>Strategic Gate APPROVE authorizes Portfolio Intake, not Project creation, FID or activation; governed planning entry and materializer create identity.</x:v>
      </x:c>
      <x:c r="C13" s="13" t="str">
        <x:v>backend/tests/test_strategic_gate_gate07c.py::test_gate07c_approve_produces_portfolio_intake_readiness_only</x:v>
      </x:c>
      <x:c r="D13" s="13" t="str">
        <x:v>SOURCE_CONFIRMED; execution status follows mapped case; no authorized business sign-off inferred</x:v>
      </x:c>
    </x:row>
    <x:row r="14" ht="42" customHeight="1">
      <x:c r="A14" s="14" t="str">
        <x:v>BR07</x:v>
      </x:c>
      <x:c r="B14" s="6" t="str">
        <x:v>Every materialized Project starts pending; initialization and independent activation are separate.</x:v>
      </x:c>
      <x:c r="C14" s="6" t="str">
        <x:v>backend/tests/test_strategic_final_uat_routes.py::test_compact_governance_source_to_independent_activation</x:v>
      </x:c>
      <x:c r="D14" s="6" t="str">
        <x:v>SOURCE_CONFIRMED; execution status follows mapped case; no authorized business sign-off inferred</x:v>
      </x:c>
    </x:row>
    <x:row r="15" ht="42" customHeight="1">
      <x:c r="A15" s="15" t="str">
        <x:v>BR08</x:v>
      </x:c>
      <x:c r="B15" s="13" t="str">
        <x:v>Portfolio Rank is contextual to membership/evaluation, not global per Project.</x:v>
      </x:c>
      <x:c r="C15" s="13" t="str">
        <x:v>backend/tests/test_portfolio_evaluation_gate07e.py::test_same_project_can_have_independent_evaluation_and_rank_in_two_portfolios</x:v>
      </x:c>
      <x:c r="D15" s="13" t="str">
        <x:v>SOURCE_CONFIRMED; execution status follows mapped case; no authorized business sign-off inferred</x:v>
      </x:c>
    </x:row>
    <x:row r="16" ht="42" customHeight="1">
      <x:c r="A16" s="14" t="str">
        <x:v>BR09</x:v>
      </x:c>
      <x:c r="B16" s="6" t="str">
        <x:v>Mixed monetary currencies without governed FX cannot be silently aggregated/comparable.</x:v>
      </x:c>
      <x:c r="C16" s="6" t="str">
        <x:v>backend/tests/test_portfolio_analysis_gate07f.py::test_currency_guardrail_disables_monetary_size_and_budget_branch_only</x:v>
      </x:c>
      <x:c r="D16" s="6" t="str">
        <x:v>SOURCE_CONFIRMED; execution status follows mapped case; no authorized business sign-off inferred</x:v>
      </x:c>
    </x:row>
    <x:row r="17" ht="42" customHeight="1">
      <x:c r="A17" s="15" t="str">
        <x:v>BR10</x:v>
      </x:c>
      <x:c r="B17" s="13" t="str">
        <x:v>Budget FROZEN is analytical immutability, not approved investment authority.</x:v>
      </x:c>
      <x:c r="C17" s="13" t="str">
        <x:v>backend/tests/test_portfolio_budget_gate07g.py::test_happy_path_target_scenarios_comparison_and_final_contract</x:v>
      </x:c>
      <x:c r="D17" s="13" t="str">
        <x:v>SOURCE_CONFIRMED; execution status follows mapped case; no authorized business sign-off inferred</x:v>
      </x:c>
    </x:row>
    <x:row r="18" ht="42" customHeight="1">
      <x:c r="A18" s="14" t="str">
        <x:v>BR11</x:v>
      </x:c>
      <x:c r="B18" s="6" t="str">
        <x:v>Strategic Resource Scenario does not change Project dates, assign named staff or perform P6 leveling.</x:v>
      </x:c>
      <x:c r="C18" s="6" t="str">
        <x:v>backend/tests/test_portfolio_resource_gate07h.py::test_gate07h_happy_path_overload_timing_comparison_and_final_output</x:v>
      </x:c>
      <x:c r="D18" s="6" t="str">
        <x:v>SOURCE_CONFIRMED; execution status follows mapped case; no authorized business sign-off inferred</x:v>
      </x:c>
    </x:row>
    <x:row r="19" ht="42" customHeight="1">
      <x:c r="A19" s="15" t="str">
        <x:v>BR12</x:v>
      </x:c>
      <x:c r="B19" s="13" t="str">
        <x:v>Portfolio recommendation is not FID; infeasible/misaligned alternative cannot be recommended.</x:v>
      </x:c>
      <x:c r="C19" s="13" t="str">
        <x:v>backend/tests/test_portfolio_convergence_gate07i.py::test_misaligned_and_forced_conflict_alternative_is_not_recommendable</x:v>
      </x:c>
      <x:c r="D19" s="13" t="str">
        <x:v>SOURCE_CONFIRMED; execution status follows mapped case; no authorized business sign-off inferred</x:v>
      </x:c>
    </x:row>
    <x:row r="20" ht="42" customHeight="1">
      <x:c r="A20" s="14" t="str">
        <x:v>BR13</x:v>
      </x:c>
      <x:c r="B20" s="6" t="str">
        <x:v>HOLD_FOR_CAPACITY is a portfolio governance request, not Gate07K HOLD or automatic source write-back.</x:v>
      </x:c>
      <x:c r="C20" s="6" t="str">
        <x:v>backend/tests/test_portfolio_review_wave3a.py::test_wave3a_action_semantics_are_request_only_without_source_mutations</x:v>
      </x:c>
      <x:c r="D20" s="6" t="str">
        <x:v>SOURCE_CONFIRMED; execution status follows mapped case; no authorized business sign-off inferred</x:v>
      </x:c>
    </x:row>
    <x:row r="21" ht="66" customHeight="1">
      <x:c r="A21" s="15" t="str">
        <x:v>BR14</x:v>
      </x:c>
      <x:c r="B21" s="13" t="str">
        <x:v>FEL Stage is not Definition Maturity/PDRI; score cannot hide blocking gaps; Basic Data is separate.</x:v>
      </x:c>
      <x:c r="C21" s="13" t="str">
        <x:v>backend/tests/test_project_definition_gate07j_fel.py::test_below_threshold_blocking_element_and_action_prevent_score_only_readiness; backend/tests/test_basic_data_wave2b.py::test_basic_data_mining_happy_path_exact_denominator_provider_and_authority_independence</x:v>
      </x:c>
      <x:c r="D21" s="13" t="str">
        <x:v>SOURCE_CONFIRMED; execution status follows mapped case; no authorized business sign-off inferred</x:v>
      </x:c>
    </x:row>
    <x:row r="22" ht="42" customHeight="1">
      <x:c r="A22" s="14" t="str">
        <x:v>BR15</x:v>
      </x:c>
      <x:c r="B22" s="6" t="str">
        <x:v>Owner Capability is not Resource Planning, Contractor Capability or Operational Readiness; maturity is not quality/confidence.</x:v>
      </x:c>
      <x:c r="C22" s="6" t="str">
        <x:v>backend/tests/test_owner_capability_wave3b.py::test_quality_confidence_semantics_are_distinct_and_scale_configurable</x:v>
      </x:c>
      <x:c r="D22" s="6" t="str">
        <x:v>SOURCE_CONFIRMED; execution status follows mapped case; no authorized business sign-off inferred</x:v>
      </x:c>
    </x:row>
    <x:row r="23" ht="42" customHeight="1">
      <x:c r="A23" s="15" t="str">
        <x:v>BR16</x:v>
      </x:c>
      <x:c r="B23" s="13" t="str">
        <x:v>Funding is not Budget; current confirmed coverage can stale when authority changes without rewriting frozen FIN/BC/Gate/FID.</x:v>
      </x:c>
      <x:c r="C23" s="13" t="str">
        <x:v>backend/tests/test_gate07m_fid_e2e.py::test_new_pyp_ffa_fid_path_full_stack_revalidation</x:v>
      </x:c>
      <x:c r="D23" s="13" t="str">
        <x:v>SOURCE_CONFIRMED; execution status follows mapped case; no authorized business sign-off inferred</x:v>
      </x:c>
    </x:row>
    <x:row r="24" ht="42" customHeight="1">
      <x:c r="A24" s="14" t="str">
        <x:v>BR17</x:v>
      </x:c>
      <x:c r="B24" s="6" t="str">
        <x:v>Completed immutable content may transition to SUPERSEDED only under controlled lifecycle; history must not be rewritten.</x:v>
      </x:c>
      <x:c r="C24" s="6" t="str">
        <x:v>backend/app/modules/strategic_benefits/models.py; backend/app/modules/commercial_strategy/models.py</x:v>
      </x:c>
      <x:c r="D24" s="6" t="str">
        <x:v>SOURCE_CONFIRMED; execution status follows mapped case; no authorized business sign-off inferred</x:v>
      </x:c>
    </x:row>
    <x:row r="25" ht="53" customHeight="1">
      <x:c r="A25" s="15" t="str">
        <x:v>BR18</x:v>
      </x:c>
      <x:c r="B25" s="13" t="str">
        <x:v>QRA provider AVAILABLE is not a universal QRA mandate; effective policy controls model/project/type/value/stage applicability.</x:v>
      </x:c>
      <x:c r="C25" s="13" t="str">
        <x:v>backend/tests/test_qra_evidence_policy.py::test_one_provider_two_qualified_rows_and_no_default_requirement; backend/tests/test_qra_evidence_policy.py::test_qra_not_forced_on_other_governance</x:v>
      </x:c>
      <x:c r="D25" s="13" t="str">
        <x:v>SOURCE_CONFIRMED; execution status follows mapped case; no authorized business sign-off inferred</x:v>
      </x:c>
    </x:row>
    <x:row r="26" ht="42" customHeight="1">
      <x:c r="A26" s="14" t="str">
        <x:v>BR19</x:v>
      </x:c>
      <x:c r="B26" s="6" t="str">
        <x:v>Only accepted current QRA with matching analysis/scope/capability can satisfy required QRA evidence.</x:v>
      </x:c>
      <x:c r="C26" s="6" t="str">
        <x:v>backend/tests/test_qra_evidence_policy.py::test_result_qualifiers_and_freshness</x:v>
      </x:c>
      <x:c r="D26" s="6" t="str">
        <x:v>SOURCE_CONFIRMED; execution status follows mapped case; no authorized business sign-off inferred</x:v>
      </x:c>
    </x:row>
    <x:row r="27" ht="42" customHeight="1">
      <x:c r="A27" s="15" t="str">
        <x:v>BR20</x:v>
      </x:c>
      <x:c r="B27" s="13" t="str">
        <x:v>Class A native provider requirement cannot be replaced by manual attachment.</x:v>
      </x:c>
      <x:c r="C27" s="13" t="str">
        <x:v>backend/tests/test_qra_evidence_stack.py::test_class_a_manual_qra_fallback_remains_forbidden</x:v>
      </x:c>
      <x:c r="D27" s="13" t="str">
        <x:v>SOURCE_CONFIRMED; execution status follows mapped case; no authorized business sign-off inferred</x:v>
      </x:c>
    </x:row>
    <x:row r="28" ht="42" customHeight="1">
      <x:c r="A28" s="14" t="str">
        <x:v>BR21</x:v>
      </x:c>
      <x:c r="B28" s="6" t="str">
        <x:v>Consumer Gate/BC/FID never creates or executes QRA; no automatic contingency approval/Budget/schedule write-back.</x:v>
      </x:c>
      <x:c r="C28" s="6" t="str">
        <x:v>backend/tests/test_qra_evidence_stack.py::test_actual_cost_schedule_policy_bc_gate_and_fid_path</x:v>
      </x:c>
      <x:c r="D28" s="6" t="str">
        <x:v>SOURCE_CONFIRMED; execution status follows mapped case; no authorized business sign-off inferred</x:v>
      </x:c>
    </x:row>
    <x:row r="29" ht="42" customHeight="1">
      <x:c r="A29" s="15" t="str">
        <x:v>BR22</x:v>
      </x:c>
      <x:c r="B29" s="13" t="str">
        <x:v>Gate07J prepares/freezes evidence and can hand off to decision, but has no FID authority; Gate07K sole formal investment decision authority.</x:v>
      </x:c>
      <x:c r="C29" s="13" t="str">
        <x:v>backend/tests/test_investment_gate_preparation_gate07j.py::test_happy_path_freezes_decision_ready_package_without_fid_authority</x:v>
      </x:c>
      <x:c r="D29" s="13" t="str">
        <x:v>SOURCE_CONFIRMED; execution status follows mapped case; no authorized business sign-off inferred</x:v>
      </x:c>
    </x:row>
    <x:row r="30" ht="53" customHeight="1">
      <x:c r="A30" s="14" t="str">
        <x:v>BR23</x:v>
      </x:c>
      <x:c r="B30" s="6" t="str">
        <x:v>PYP-FFA+GO sets formal FID/full funds/investment authorization; GO selection is not FID and no decision auto-activates Project.</x:v>
      </x:c>
      <x:c r="C30" s="6" t="str">
        <x:v>backend/tests/test_investment_decision_gate07k.py::test_pyp_ffa_go_is_single_fid_and_duplicate_decide_is_idempotent; backend/tests/test_investment_decision_gate07k.py::test_investment_selection_go_is_not_fid_and_has_no_project_activation</x:v>
      </x:c>
      <x:c r="D30" s="6" t="str">
        <x:v>SOURCE_CONFIRMED; execution status follows mapped case; no authorized business sign-off inferred</x:v>
      </x:c>
    </x:row>
    <x:row r="31" ht="42" customHeight="1">
      <x:c r="A31" s="15" t="str">
        <x:v>BR24</x:v>
      </x:c>
      <x:c r="B31" s="13" t="str">
        <x:v>Post-FID eligibility is not operational execution; existing active Project not reactivated.</x:v>
      </x:c>
      <x:c r="C31" s="13" t="str">
        <x:v>backend/tests/test_post_fid_governance_gate07l.py::test_project_state_routes_reuse_existing_initialization_state</x:v>
      </x:c>
      <x:c r="D31" s="13" t="str">
        <x:v>SOURCE_CONFIRMED; execution status follows mapped case; no authorized business sign-off inferred</x:v>
      </x:c>
    </x:row>
    <x:row r="32" ht="53" customHeight="1">
      <x:c r="A32" s="14" t="str">
        <x:v>BR25</x:v>
      </x:c>
      <x:c r="B32" s="6" t="str">
        <x:v>Contractor source authorization is mobilization_authorized or notice_to_proceed_date; Direct source authorization is authorization_approved; Capital Owner source activation requires execution_authorized.</x:v>
      </x:c>
      <x:c r="C32" s="6" t="str">
        <x:v>backend/app/modules/project_creation/governance.py::activation_authorization_status</x:v>
      </x:c>
      <x:c r="D32" s="6" t="str">
        <x:v>SOURCE_CONFIRMED; execution status follows mapped case; no authorized business sign-off inferred</x:v>
      </x:c>
    </x:row>
    <x:row r="33" ht="53" customHeight="1">
      <x:c r="A33" s="15" t="str">
        <x:v>BR26</x:v>
      </x:c>
      <x:c r="B33" s="13" t="str">
        <x:v>Contractor/Direct default route does not impose Idea/Portfolio/FEL/PDRI/FID; explicit opt-in policy can add context.</x:v>
      </x:c>
      <x:c r="C33" s="13" t="str">
        <x:v>backend/app/modules/project_creation/governance.py::DEFAULT_GOVERNANCE_POLICIES; backend/tests/test_strategic_final_uat_routes.py::test_compact_governance_source_to_independent_activation</x:v>
      </x:c>
      <x:c r="D33" s="13" t="str">
        <x:v>SOURCE_CONFIRMED; execution status follows mapped case; no authorized business sign-off inferred</x:v>
      </x:c>
    </x:row>
  </x:sheetData>
  <x:pageMargins left="0.7" right="0.7" top="0.75" bottom="0.75" header="0.3" footer="0.3"/>
  <x:tableParts count="1">
    <x:tablePart xmlns:r="http://schemas.openxmlformats.org/officeDocument/2006/relationships" r:id="R327529e203f44616"/>
  </x:tableParts>
</x:worksheet>
</file>

<file path=xl/worksheets/sheet6.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21" hidden="0" customWidth="1"/>
    <x:col min="2" max="2" width="30" hidden="0" customWidth="1"/>
    <x:col min="3" max="3" width="21" hidden="0" customWidth="1"/>
    <x:col min="4" max="4" width="55" hidden="0" customWidth="1"/>
    <x:col min="5" max="5" width="70" hidden="0" customWidth="1"/>
    <x:col min="6" max="6" width="34" hidden="0" customWidth="1"/>
    <x:col min="7" max="7" width="68" hidden="0" customWidth="1"/>
    <x:col min="8" max="8" width="25" hidden="0" customWidth="1"/>
    <x:col min="9" max="9" width="78" hidden="0" customWidth="1"/>
    <x:col min="16" max="16" width="80" hidden="0" customWidth="1"/>
    <x:col min="17" max="17" width="80" hidden="0" customWidth="1"/>
  </x:cols>
  <x:sheetData>
    <x:row r="2" ht="26" customHeight="1">
      <x:c r="A2" s="1" t="str">
        <x:v>Defectos y acciones del cierre estratégico</x:v>
      </x:c>
    </x:row>
    <x:row r="3">
      <x:c r="A3" s="2"/>
      <x:c r="B3" s="2"/>
      <x:c r="C3" s="2"/>
      <x:c r="D3" s="2"/>
      <x:c r="E3" s="2"/>
      <x:c r="F3" s="2"/>
      <x:c r="G3" s="2"/>
      <x:c r="H3" s="2"/>
      <x:c r="I3" s="2"/>
    </x:row>
    <x:row r="4">
      <x:c r="A4" s="3" t="str">
        <x:v>Corte 14 octubre 2026</x:v>
      </x:c>
      <x:c r="B4" s="3"/>
      <x:c r="C4" s="3"/>
      <x:c r="D4" s="3" t="str">
        <x:v>Fuente del registro</x:v>
      </x:c>
      <x:c r="E4" s="3" t="str">
        <x:v>Hallazgos consolidados por Root. No se reclasifica un defecto como deuda técnica para ocultarlo.</x:v>
      </x:c>
      <x:c r="F4" s="3"/>
      <x:c r="G4" s="3"/>
      <x:c r="H4" s="3"/>
      <x:c r="I4" s="3"/>
    </x:row>
    <x:row r="5">
      <x:c r="A5" s="3" t="str">
        <x:v>Registros</x:v>
      </x:c>
      <x:c r="B5" s="3" t="n">
        <x:f>COUNTA(A8:A23)</x:f>
        <x:v>16</x:v>
      </x:c>
      <x:c r="C5" s="3"/>
      <x:c r="D5" s="3"/>
      <x:c r="E5" s="3"/>
      <x:c r="F5" s="3"/>
      <x:c r="G5" s="3"/>
      <x:c r="H5" s="3"/>
      <x:c r="I5" s="3"/>
    </x:row>
    <x:row r="7" ht="34" customHeight="1">
      <x:c r="A7" s="10" t="str">
        <x:v>Defecto ID</x:v>
      </x:c>
      <x:c r="B7" s="11" t="str">
        <x:v>Clasificación</x:v>
      </x:c>
      <x:c r="C7" s="11" t="str">
        <x:v>Severidad</x:v>
      </x:c>
      <x:c r="D7" s="11" t="str">
        <x:v>Título</x:v>
      </x:c>
      <x:c r="E7" s="11" t="str">
        <x:v>Resultado o impacto</x:v>
      </x:c>
      <x:c r="F7" s="11" t="str">
        <x:v>Estado</x:v>
      </x:c>
      <x:c r="G7" s="11" t="str">
        <x:v>Acción o workaround</x:v>
      </x:c>
      <x:c r="H7" s="11" t="str">
        <x:v>Responsable</x:v>
      </x:c>
      <x:c r="I7" s="12" t="str">
        <x:v>Evidencia</x:v>
      </x:c>
      <x:c r="P7" s="10" t="str">
        <x:v>Historial anterior 14 octubre</x:v>
      </x:c>
      <x:c r="Q7" s="10" t="str">
        <x:v>Disposición previa al preflight</x:v>
      </x:c>
    </x:row>
    <x:row r="8" ht="42" customHeight="1">
      <x:c r="A8" s="14" t="str">
        <x:v>UAT-S2-001</x:v>
      </x:c>
      <x:c r="B8" s="6" t="str">
        <x:v>DEFECT</x:v>
      </x:c>
      <x:c r="C8" s="6" t="str">
        <x:v>S2 CRITICAL</x:v>
      </x:c>
      <x:c r="D8" s="6" t="str">
        <x:v>Project creado o activado por comandos ADMIN genéricos</x:v>
      </x:c>
      <x:c r="E8" s="6" t="str">
        <x:v>Se rechazó PROJECT con 409 antes de DML y se preservaron las actualizaciones legítimas sin cambio de lifecycle.</x:v>
      </x:c>
      <x:c r="F8" s="6" t="str">
        <x:v>CLOSED_SCOPED_TESTS_PASS</x:v>
      </x:c>
      <x:c r="G8" s="6" t="str">
        <x:v>Usar Project Creation Process USER y lifecycle existente</x:v>
      </x:c>
      <x:c r="H8" s="6" t="str">
        <x:v>Equipo de desarrollo</x:v>
      </x:c>
      <x:c r="I8" s="6" t="str">
        <x:v>backend-authority-guard-final.xml; browser-final.xml negativo: tres Workspaces antes y tres después</x:v>
      </x:c>
      <x:c r="P8" s="25" t="str">
        <x:v>Anterior CLOSED_SCOPED_TESTS_PASS. ["UAT-S2-001","DEFECT","S2 CRITICAL","Project creado o activado por comandos ADMIN genéricos","Se rechazó PROJECT con 409 antes de DML y se preservaron las actualizaciones legítimas sin cambio de lifecycle.","CLOSED_SCOPED_TESTS_PASS","Usar Project Creation Process USER y lifecycle existente","Equipo de desarrollo","backend-authority-guard-final.xml; browser-final.xml negativo: tres Workspaces antes y tres después",null,null,null,null,null,null]</x:v>
      </x:c>
    </x:row>
    <x:row r="9" ht="53" customHeight="1">
      <x:c r="A9" s="15" t="str">
        <x:v>UAT-S2-002</x:v>
      </x:c>
      <x:c r="B9" s="13" t="str">
        <x:v>DEFECT</x:v>
      </x:c>
      <x:c r="C9" s="13" t="str">
        <x:v>S2 CRITICAL</x:v>
      </x:c>
      <x:c r="D9" s="13" t="str">
        <x:v>Revisión CORE materializa Project nuevo activo o cambia estado fuera del lifecycle</x:v>
      </x:c>
      <x:c r="E9" s="13" t="str">
        <x:v>Preflight rechaza nueva identidad, conversión, omisión que archivaría y cambio de estado antes de materializar. La adopción existente requiere identidad tenant scoped.</x:v>
      </x:c>
      <x:c r="F9" s="13" t="str">
        <x:v>CLOSED_SCOPED_TESTS_PASS</x:v>
      </x:c>
      <x:c r="G9" s="13" t="str">
        <x:v>Adoptar solo identidades históricas existentes sin cambios de lifecycle</x:v>
      </x:c>
      <x:c r="H9" s="13" t="str">
        <x:v>Equipo de desarrollo</x:v>
      </x:c>
      <x:c r="I9" s="13" t="str">
        <x:v>backend-authority-guard-final.xml y tests CORE de identidad; reproducción anterior conservada</x:v>
      </x:c>
      <x:c r="P9" s="25" t="str">
        <x:v>Anterior CLOSED_SCOPED_TESTS_PASS. ["UAT-S2-002","DEFECT","S2 CRITICAL","Revisión CORE materializa Project nuevo activo o cambia estado fuera del lifecycle","Preflight rechaza nueva identidad, conversión, omisión que archivaría y cambio de estado antes de materializar. La adopción existente requiere identidad tenant scoped.","CLOSED_SCOPED_TESTS_PASS","Adoptar solo identidades históricas existentes sin cambios de lifecycle","Equipo de desarrollo","backend-authority-guard-final.xml y tests CORE de identidad; reproducción anterior conservada",null,null,null,null,null,null]</x:v>
      </x:c>
    </x:row>
    <x:row r="10" ht="190" customHeight="1">
      <x:c r="A10" s="14" t="str">
        <x:v>UAT-S2-003</x:v>
      </x:c>
      <x:c r="B10" s="6" t="str">
        <x:v>CONFIGURATION GAP</x:v>
      </x:c>
      <x:c r="C10" s="6" t="str">
        <x:v>S2 CRITICAL</x:v>
      </x:c>
      <x:c r="D10" s="6" t="str">
        <x:v>Capital Owner completo no acreditado y fixture FID sin fuentes Five Case requeridas</x:v>
      </x:c>
      <x:c r="E10" s="6" t="str">
        <x:v>OPEN. El cierre Capital Owner A0–A31 sigue sin acreditarse. Esta continuación está bloqueada antes de comandos de negocio por pérdida de la base UAT tmpfs. No se rebajó política ni se reconstruyó upstream</x:v>
      </x:c>
      <x:c r="F10" s="6" t="str">
        <x:v>OPEN</x:v>
      </x:c>
      <x:c r="G10" s="6" t="str">
        <x:v>Recuperar el respaldo PostgreSQL exacto de la cadena UAT seleccionada. Si no existe, obtener autorización humana explícita para reconstruir por lifecycles gobernados en almacenamiento aislado persistente. No reconstruir ni repetir la cadena sin esa autorización</x:v>
      </x:c>
      <x:c r="H10" s="6" t="str">
        <x:v>Responsables UAT y administradores de dominios por designar</x:v>
      </x:c>
      <x:c r="I10" s="6" t="str">
        <x:v>preflight.json. BLOCKED_UAT_DATABASE_NOT_AVAILABLE. Fuentes y ensayos previos son históricos. Pruebas y navegador NOT_RUN</x:v>
      </x:c>
      <x:c r="P10" s="25" t="str">
        <x:v>Anterior OPEN. ["UAT-S2-003","CONFIGURATION GAP","S2 CRITICAL","Capital Owner completo no acreditado y fixture FID sin fuentes Five Case requeridas","Una base nueva reproduce BUSINESS_CASE_NOT_READY. El ensayo viejo no prepara las fuentes requeridas por Five Case vigente; no demuestra ausencia de módulos productivos.","OPEN","No liberar. Preparar fuentes BA Benefits Commercial Permit FEL y FIN por sus ciclos reales y repetir una sola cadena fresca","Responsables UAT y administradores de dominios por designar","backend-full-fid-isolated-final.xml; no rebajar requisitos",null,null,null,null,null,null]</x:v>
      </x:c>
      <x:c r="Q10" s="5" t="str">
        <x:v>{"actual":"La cadena nueva está registrada por etapas; no se acredita A0 a A31 completo hasta cumplir fuentes actuales, FID, Post FID, regresión y Chromium sobre la misma identidad","status":"OPEN","evidence":"fresh-capital-owner-chain.json","workaround":"No liberar. Preparar fuentes BA Benefits Commercial Permit FEL y FIN por sus ciclos reales y repetir una sola cadena fresca"}</x:v>
      </x:c>
    </x:row>
    <x:row r="11" ht="42" customHeight="1">
      <x:c r="A11" s="15" t="str">
        <x:v>UAT-S3-001</x:v>
      </x:c>
      <x:c r="B11" s="13" t="str">
        <x:v>UX/NAVIGATION GAP</x:v>
      </x:c>
      <x:c r="C11" s="13" t="str">
        <x:v>S3 MAJOR</x:v>
      </x:c>
      <x:c r="D11" s="13" t="str">
        <x:v>Review aparecía antes de Convergence</x:v>
      </x:c>
      <x:c r="E11" s="13" t="str">
        <x:v>El blueprint único sitúa Review después de Convergence, conservando rutas y configuración ADMIN; orden y teclado comprobados.</x:v>
      </x:c>
      <x:c r="F11" s="13" t="str">
        <x:v>CLOSED_SCOPED_TESTS_PASS</x:v>
      </x:c>
      <x:c r="G11" s="13" t="str">
        <x:v>Orden del blueprint corregido con mismas rutas y nombres</x:v>
      </x:c>
      <x:c r="H11" s="13" t="str">
        <x:v>Equipo frontend</x:v>
      </x:c>
      <x:c r="I11" s="13" t="str">
        <x:v>44 pruebas frontend enfocadas; browser-final.xml</x:v>
      </x:c>
      <x:c r="P11" s="25" t="str">
        <x:v>Anterior CLOSED_SCOPED_TESTS_PASS. ["UAT-S3-001","UX/NAVIGATION GAP","S3 MAJOR","Review aparecía antes de Convergence","El blueprint único sitúa Review después de Convergence, conservando rutas y configuración ADMIN; orden y teclado comprobados.","CLOSED_SCOPED_TESTS_PASS","Orden del blueprint corregido con mismas rutas y nombres","Equipo frontend","44 pruebas frontend enfocadas; browser-final.xml",null,null,null,null,null,null]</x:v>
      </x:c>
    </x:row>
    <x:row r="12" ht="53" customHeight="1">
      <x:c r="A12" s="14" t="str">
        <x:v>UAT-S3-002</x:v>
      </x:c>
      <x:c r="B12" s="6" t="str">
        <x:v>CODE/TECHNICAL DEBT</x:v>
      </x:c>
      <x:c r="C12" s="6" t="str">
        <x:v>S3 MAJOR</x:v>
      </x:c>
      <x:c r="D12" s="6" t="str">
        <x:v>Fixtures de regresión comparten estado e identificadores entre módulos</x:v>
      </x:c>
      <x:c r="E12" s="6" t="str">
        <x:v>Aislamiento cerrado en alcance acotado: misma invocación original de 61 módulos y 914 casos únicos, 898 PASS, 1 FAIL, 0 ERROR, 15 SKIP. Cinco antiguos FAIL y tres ERROR por estado compartido ahora PASS; el FID legado sigue fallando con BUSINESS_CASE_NOT_READY. No existe global green</x:v>
      </x:c>
      <x:c r="F12" s="6" t="str">
        <x:v>CLOSED_ISOLATION_SCOPED</x:v>
      </x:c>
      <x:c r="G12" s="6" t="str">
        <x:v>Importer con 12 casos, Enterprise con ocho, Portfolio Preview con dos y rutas con tres aprobaron en bases independientes. No afirmar global verde ni workaround ya aceptado</x:v>
      </x:c>
      <x:c r="H12" s="6" t="str">
        <x:v>Equipo de pruebas</x:v>
      </x:c>
      <x:c r="I12" s="6" t="str">
        <x:v>backend-strategic-regression-global-resume.xml</x:v>
      </x:c>
      <x:c r="P12" s="25" t="str">
        <x:v>Anterior OPEN_WORKAROUND_NOT_BUSINESS_APPROVED. ["UAT-S3-002","CODE/TECHNICAL DEBT","S3 MAJOR","Fixtures de regresión comparten estado e identificadores entre módulos","El global conserva 6 FAIL y 3 ERROR. Reruns en DB independientes separan contaminación del único fallo FID confirmado. Falta integrar aislamiento estable en la suite.","OPEN_WORKAROUND_NOT_BUSINESS_APPROVED","Importer con 12 casos, Enterprise con ocho, Portfolio Preview con dos y rutas con tres aprobaron en bases independientes. No afirmar global verde ni workaround ya aceptado","Equipo de pruebas","backend-reconciled-final.json y regression-reconciliation-notes.md; resultado original conservado",null,null,null,null,null,null]</x:v>
      </x:c>
    </x:row>
    <x:row r="13" ht="42" customHeight="1">
      <x:c r="A13" s="15" t="str">
        <x:v>UAT-S4-001</x:v>
      </x:c>
      <x:c r="B13" s="13" t="str">
        <x:v>CODE/TECHNICAL DEBT</x:v>
      </x:c>
      <x:c r="C13" s="13" t="str">
        <x:v>S4 MINOR</x:v>
      </x:c>
      <x:c r="D13" s="13" t="str">
        <x:v>Aplicabilidad de gobernanza de navegación es metadata y no filtro runtime</x:v>
      </x:c>
      <x:c r="E13" s="13" t="str">
        <x:v>El menú puede mostrar rutas no aplicables; las acciones siguen sujetas a elegibilidad y permisos backend.</x:v>
      </x:c>
      <x:c r="F13" s="13" t="str">
        <x:v>OPEN</x:v>
      </x:c>
      <x:c r="G13" s="13" t="str">
        <x:v>Usar allowed_actions y elegibilidad backend; el menú no otorga autoridad</x:v>
      </x:c>
      <x:c r="H13" s="13" t="str">
        <x:v>Responsable frontend por designar</x:v>
      </x:c>
      <x:c r="I13" s="13" t="str">
        <x:v>frontend_findings.json FE-S4-001</x:v>
      </x:c>
      <x:c r="P13" s="25" t="str">
        <x:v>Anterior OPEN. ["UAT-S4-001","CODE/TECHNICAL DEBT","S4 MINOR","Aplicabilidad de gobernanza de navegación es metadata y no filtro runtime","El menú puede mostrar rutas no aplicables; las acciones siguen sujetas a elegibilidad y permisos backend.","OPEN","Usar allowed_actions y elegibilidad backend; el menú no otorga autoridad","Responsable frontend por designar","frontend_findings.json FE-S4-001",null,null,null,null,null,null]</x:v>
      </x:c>
    </x:row>
    <x:row r="14" ht="42" customHeight="1">
      <x:c r="A14" s="14" t="str">
        <x:v>UAT-S4-002</x:v>
      </x:c>
      <x:c r="B14" s="6" t="str">
        <x:v>CODE/TECHNICAL DEBT</x:v>
      </x:c>
      <x:c r="C14" s="6" t="str">
        <x:v>S4 MINOR</x:v>
      </x:c>
      <x:c r="D14" s="6" t="str">
        <x:v>Renderers BC legacy requieren decisión de deprecación</x:v>
      </x:c>
      <x:c r="E14" s="6" t="str">
        <x:v>Once renderers fuera del registro canónico podrían tener consumidores externos. No hay prueba suficiente de retiro seguro.</x:v>
      </x:c>
      <x:c r="F14" s="6" t="str">
        <x:v>OPEN</x:v>
      </x:c>
      <x:c r="G14" s="6" t="str">
        <x:v>Usar rutas canónicas Five Case; conservar históricos y enlaces externos hasta confirmar consumidores</x:v>
      </x:c>
      <x:c r="H14" s="6" t="str">
        <x:v>Responsable de compatibilidad por designar</x:v>
      </x:c>
      <x:c r="I14" s="6" t="str">
        <x:v>frontend_legacy_renderers.json</x:v>
      </x:c>
      <x:c r="P14" s="25" t="str">
        <x:v>Anterior OPEN. ["UAT-S4-002","CODE/TECHNICAL DEBT","S4 MINOR","Renderers BC legacy requieren decisión de deprecación","Once renderers fuera del registro canónico podrían tener consumidores externos. No hay prueba suficiente de retiro seguro.","OPEN","Usar rutas canónicas Five Case; conservar históricos y enlaces externos hasta confirmar consumidores","Responsable de compatibilidad por designar","frontend_legacy_renderers.json",null,null,null,null,null,null]</x:v>
      </x:c>
    </x:row>
    <x:row r="15" ht="53" customHeight="1">
      <x:c r="A15" s="15" t="str">
        <x:v>UAT-S4-003</x:v>
      </x:c>
      <x:c r="B15" s="13" t="str">
        <x:v>DOCUMENTATION GAP</x:v>
      </x:c>
      <x:c r="C15" s="13" t="str">
        <x:v>S4 MINOR</x:v>
      </x:c>
      <x:c r="D15" s="13" t="str">
        <x:v>Explorer compartido también contiene acciones USER y su etiqueta metadata es incompleta</x:v>
      </x:c>
      <x:c r="E15" s="13" t="str">
        <x:v>La clasificación READ_ONLY_SHARED no describe sus transacciones USER protegidas; no se usa la etiqueta como control de seguridad.</x:v>
      </x:c>
      <x:c r="F15" s="13" t="str">
        <x:v>OPEN</x:v>
      </x:c>
      <x:c r="G15" s="13" t="str">
        <x:v>Guías distinguen lectura compartida de transacciones USER protegidas</x:v>
      </x:c>
      <x:c r="H15" s="13" t="str">
        <x:v>Responsable de documentación por designar</x:v>
      </x:c>
      <x:c r="I15" s="13" t="str">
        <x:v>frontend_findings.json FE-S4-003</x:v>
      </x:c>
      <x:c r="P15" s="25" t="str">
        <x:v>Anterior OPEN. ["UAT-S4-003","DOCUMENTATION GAP","S4 MINOR","Explorer compartido también contiene acciones USER y su etiqueta metadata es incompleta","La clasificación READ_ONLY_SHARED no describe sus transacciones USER protegidas; no se usa la etiqueta como control de seguridad.","OPEN","Guías distinguen lectura compartida de transacciones USER protegidas","Responsable de documentación por designar","frontend_findings.json FE-S4-003",null,null,null,null,null,null]</x:v>
      </x:c>
    </x:row>
    <x:row r="16" ht="42" customHeight="1">
      <x:c r="A16" s="14" t="str">
        <x:v>UAT-S4-004</x:v>
      </x:c>
      <x:c r="B16" s="6" t="str">
        <x:v>UX/NAVIGATION GAP</x:v>
      </x:c>
      <x:c r="C16" s="6" t="str">
        <x:v>S4 MINOR</x:v>
      </x:c>
      <x:c r="D16" s="6" t="str">
        <x:v>Texto largo y badges desbordan tarjetas Gate</x:v>
      </x:c>
      <x:c r="E16" s="6" t="str">
        <x:v>La captura Gate muestra FROZEN_HISTORICAL_SOURCE_PRESERVED cruzando tarjeta y etiqueta Decision Package recortada.</x:v>
      </x:c>
      <x:c r="F16" s="6" t="str">
        <x:v>OPEN</x:v>
      </x:c>
      <x:c r="G16" s="6" t="str">
        <x:v>Consultar evidencia histórica API y usar viewport amplio; corregir wrap/min-width antes de aceptación visual final</x:v>
      </x:c>
      <x:c r="H16" s="6" t="str">
        <x:v>Equipo frontend</x:v>
      </x:c>
      <x:c r="I16" s="6" t="str">
        <x:v>performance/browser-evidence-audit.json y gate-frozen-historical-read.png</x:v>
      </x:c>
      <x:c r="P16" s="25" t="str">
        <x:v>Anterior OPEN. ["UAT-S4-004","UX/NAVIGATION GAP","S4 MINOR","Texto largo y badges desbordan tarjetas Gate","La captura Gate muestra FROZEN_HISTORICAL_SOURCE_PRESERVED cruzando tarjeta y etiqueta Decision Package recortada.","OPEN","Consultar evidencia histórica API y usar viewport amplio; corregir wrap/min-width antes de aceptación visual final","Equipo frontend","performance/browser-evidence-audit.json y gate-frozen-historical-read.png",null,null,null,null,null,null]</x:v>
      </x:c>
    </x:row>
    <x:row r="17" ht="42" customHeight="1">
      <x:c r="A17" s="15" t="str">
        <x:v>UAT-S4-005</x:v>
      </x:c>
      <x:c r="B17" s="13" t="str">
        <x:v>UX/NAVIGATION GAP</x:v>
      </x:c>
      <x:c r="C17" s="13" t="str">
        <x:v>S4 MINOR</x:v>
      </x:c>
      <x:c r="D17" s="13" t="str">
        <x:v>Navegación expandida mobile demasiado extensa y orden visual confuso</x:v>
      </x:c>
      <x:c r="E17" s="13" t="str">
        <x:v>A 390 px la navegación ocupa aproximadamente 3700 px antes del contenido y las columnas muestran fase 5 por encima de fase 4.</x:v>
      </x:c>
      <x:c r="F17" s="13" t="str">
        <x:v>OPEN</x:v>
      </x:c>
      <x:c r="G17" s="13" t="str">
        <x:v>Colapsar navegación o usar escritorio; revisar una sola columna y acceso directo al contenido</x:v>
      </x:c>
      <x:c r="H17" s="13" t="str">
        <x:v>Equipo frontend</x:v>
      </x:c>
      <x:c r="I17" s="13" t="str">
        <x:v>performance/browser-evidence-audit.json y user-review-mobile.png</x:v>
      </x:c>
      <x:c r="P17" s="25" t="str">
        <x:v>Anterior OPEN. ["UAT-S4-005","UX/NAVIGATION GAP","S4 MINOR","Navegación expandida mobile demasiado extensa y orden visual confuso","A 390 px la navegación ocupa aproximadamente 3700 px antes del contenido y las columnas muestran fase 5 por encima de fase 4.","OPEN","Colapsar navegación o usar escritorio; revisar una sola columna y acceso directo al contenido","Equipo frontend","performance/browser-evidence-audit.json y user-review-mobile.png",null,null,null,null,null,null]</x:v>
      </x:c>
    </x:row>
    <x:row r="18" ht="66" customHeight="1">
      <x:c r="A18" s="14" t="str">
        <x:v>UAT-S3-003</x:v>
      </x:c>
      <x:c r="B18" s="6" t="str">
        <x:v>CONFIGURATION GAP</x:v>
      </x:c>
      <x:c r="C18" s="6" t="str">
        <x:v>S3 MAJOR</x:v>
      </x:c>
      <x:c r="D18" s="6" t="str">
        <x:v>Adopción de Project exige padre live representado en CORE</x:v>
      </x:c>
      <x:c r="E18" s="6" t="str">
        <x:v>Ruta explícita de reconciliación de padres existentes, ETag/RBAC y protección concurrente acreditadas con 72 pruebas enfocadas; no equivale a regresión PostgreSQL completa</x:v>
      </x:c>
      <x:c r="F18" s="6" t="str">
        <x:v>CLOSED_SCOPED_TECHNICAL</x:v>
      </x:c>
      <x:c r="G18" s="6" t="str">
        <x:v>Conservar el snapshot y detener publicación. Preparar reconciliación controlada de padres existentes sin inventar identidades ni modificar historia; no omitir el guard</x:v>
      </x:c>
      <x:c r="H18" s="6" t="str">
        <x:v>Responsables de Enterprise Structure y UAT</x:v>
      </x:c>
      <x:c r="I18" s="6" t="str">
        <x:v>core-parent-focused-current.xml</x:v>
      </x:c>
      <x:c r="P18" s="25" t="str">
        <x:v>Anterior OPEN. ["UAT-S3-003","CONFIGURATION GAP","S3 MAJOR","Adopción de Project exige padre live representado en CORE","Si el padre de un Project posterior no existe en el snapshot con ID exacto, clone devuelve 409 PROJECT_PARENT_RECONCILIATION_REQUIRED antes de DML. No hay un flujo de reconciliación completa de ancestros acreditado en esta UAT.","OPEN","Conservar el snapshot y detener publicación. Preparar reconciliación controlada de padres existentes sin inventar identidades ni modificar historia; no omitir el guard","Responsables de Enterprise Structure y UAT","test_project_with_missing_core_parent_requires_reconciliation_before_any_draft_dml; backend-authority-guard-final.xml",null,null,null,null,null,null]</x:v>
      </x:c>
    </x:row>
    <x:row r="19">
      <x:c r="A19" s="14" t="str">
        <x:v>UAT-S2-004</x:v>
      </x:c>
      <x:c r="B19" s="6" t="str">
        <x:v>UX/ARCHITECTURE</x:v>
      </x:c>
      <x:c r="C19" s="6" t="str">
        <x:v>S2 CRITICAL</x:v>
      </x:c>
      <x:c r="D19" s="6" t="str">
        <x:v>Las pantallas estratégicas nuevas dependen del dashboard Project heredado</x:v>
      </x:c>
      <x:c r="E19" s="6" t="str">
        <x:v>El usuario autorizó expresamente el ajuste mínimo de App.tsx. El fallback USER reutiliza StrategicWorkspaceShell, WorkspaceNavigation y StrategicViewOutlet sin Project operacional ficticio y con canConfigure=false. Shell 29 PASS; Chromium abrió 8 vistas de registros reales. No equivale a E2E ni valida freeze/FID/Post-FID</x:v>
      </x:c>
      <x:c r="F19" s="6" t="str">
        <x:v>CLOSED_SCOPED_UI</x:v>
      </x:c>
      <x:c r="G19" s="6" t="str">
        <x:v>No se creó Project operacional heredado ficticio; no se habilita configuración ADMIN desde el fallback USER</x:v>
      </x:c>
      <x:c r="H19" s="6" t="str">
        <x:v>Frontend estratégico</x:v>
      </x:c>
      <x:c r="I19" s="6" t="str">
        <x:v>strategic-shell-focused.xml; browser/strategic-capital-current.xml; browser-current-validation.json</x:v>
      </x:c>
      <x:c r="P19" s="25" t="str">
        <x:v>Nuevo hallazgo; sin disposición anterior</x:v>
      </x:c>
    </x:row>
    <x:row r="20">
      <x:c r="A20" s="14" t="str">
        <x:v>UAT-S3-004</x:v>
      </x:c>
      <x:c r="B20" s="6" t="str">
        <x:v>CODE</x:v>
      </x:c>
      <x:c r="C20" s="6" t="str">
        <x:v>S3 MAJOR</x:v>
      </x:c>
      <x:c r="D20" s="6" t="str">
        <x:v>La entrada Portfolio omitía la moneda capturada en Proposal</x:v>
      </x:c>
      <x:c r="E20" s="6" t="str">
        <x:v>Snapshots nuevos conservan currency y currency_code de Proposal. Cuatro pruebas cubren USD, ausencia de moneda y ausencia de backfill; el avance de la cadena seleccionada se registra por separado sin extrapolar un Budget anterior</x:v>
      </x:c>
      <x:c r="F20" s="6" t="str">
        <x:v>CLOSED_NEW_ENTRIES_SCOPED</x:v>
      </x:c>
      <x:c r="G20" s="6" t="str">
        <x:v>Los snapshots históricos no se reescriben; la carencia anterior permanece explícita</x:v>
      </x:c>
      <x:c r="H20" s="6" t="str">
        <x:v>Portfolio Planning</x:v>
      </x:c>
      <x:c r="I20" s="6" t="str">
        <x:v>currency-projection-focused.xml; fresh-capital-owner-chain-project4-currency-blocker.json; fresh-capital-owner-chain.json</x:v>
      </x:c>
      <x:c r="P20" s="25" t="str">
        <x:v>Nuevo hallazgo; sin disposición anterior</x:v>
      </x:c>
    </x:row>
    <x:row r="21" ht="190" customHeight="1">
      <x:c r="A21" s="14" t="str">
        <x:v>UAT-S3-005</x:v>
      </x:c>
      <x:c r="B21" s="6" t="str">
        <x:v>UX/DATA_PRESENTATION</x:v>
      </x:c>
      <x:c r="C21" s="6" t="str">
        <x:v>S3 MAJOR</x:v>
      </x:c>
      <x:c r="D21" s="6" t="str">
        <x:v>La tabla de fuentes Five Case no refleja algunos valores serializados</x:v>
      </x:c>
      <x:c r="E21" s="6" t="str">
        <x:v>Chromium muestra NOT_AVAILABLE y Funding STALE en la tabla informativa, aunque BC4/revisión n.º2 (ID6) es READY/current y los providers gobernados del Gate están vigentes. Es un hallazgo de presentación; no se afirma Funding realmente STALE</x:v>
      </x:c>
      <x:c r="F21" s="6" t="str">
        <x:v>OPEN_SCOPED_PRESENTATION</x:v>
      </x:c>
      <x:c r="G21" s="6" t="str">
        <x:v>Contrastar la revisión capturada y readiness/provider API; no interpretar esa etiqueta de tabla como estado live de Funding</x:v>
      </x:c>
      <x:c r="H21" s="6" t="str">
        <x:v>Frontend Business Case</x:v>
      </x:c>
      <x:c r="I21" s="6" t="str">
        <x:v>browser-current-validation.json; screenshot 06-fresh-completed-five-case-current-sources.png; normalizedSources y _five_case_contract. Hallazgo histórico abierto. Sin fix ni revalidación en esta continuación: preflight.json, pruebas y navegador NOT_RUN</x:v>
      </x:c>
      <x:c r="P21" s="25" t="str">
        <x:v>Nuevo hallazgo; sin disposición anterior</x:v>
      </x:c>
      <x:c r="Q21" s="5" t="str">
        <x:v>{"actual":"Chromium muestra NOT_AVAILABLE y Funding STALE en la tabla informativa, aunque BC4/revisión n.º2 (ID6) es READY/current y los providers gobernados del Gate están vigentes. Es un hallazgo de presentación; no se afirma Funding realmente STALE","status":"OPEN_SCOPED_PRESENTATION","evidence":"browser-current-validation.json; screenshot 06-fresh-completed-five-case-current-sources.png; normalizedSources y _five_case_contract"}</x:v>
      </x:c>
    </x:row>
    <x:row r="22" ht="190" customHeight="1">
      <x:c r="A22" s="14" t="str">
        <x:v>UAT-S4-006</x:v>
      </x:c>
      <x:c r="B22" s="6" t="str">
        <x:v>UX/LIFECYCLE_LABEL</x:v>
      </x:c>
      <x:c r="C22" s="6" t="str">
        <x:v>S4 MINOR</x:v>
      </x:c>
      <x:c r="D22" s="6" t="str">
        <x:v>La etiqueta de elegibilidad posterior a APPROVE requiere contexto de lifecycle</x:v>
      </x:c>
      <x:c r="E22" s="6" t="str">
        <x:v>Proposal4 conserva STRATEGIC_GATE_APPROVED e historia DECIDED APPROVE, pero su elegibilidad de entrada posterior muestra GATE07B_REWORK_REQUIRED / PROPOSAL_NOT_EVALUATED. No se borra la aprobación histórica ni se infiere otro bloqueo FID</x:v>
      </x:c>
      <x:c r="F22" s="6" t="str">
        <x:v>OPEN_SCOPED_LIFECYCLE_LABEL</x:v>
      </x:c>
      <x:c r="G22" s="6" t="str">
        <x:v>Consultar el snapshot y la decisión aprobada; distinguir elegibilidad para una nueva entrada de la historia de APPROVE</x:v>
      </x:c>
      <x:c r="H22" s="6" t="str">
        <x:v>Project Proposal y frontend estratégico</x:v>
      </x:c>
      <x:c r="I22" s="6" t="str">
        <x:v>browser-current-validation.json; screenshot 03-fresh-proposal.png; _gate_readiness y proposalReadiness. Hallazgo histórico abierto. Sin fix ni revalidación en esta continuación: preflight.json, pruebas y navegador NOT_RUN</x:v>
      </x:c>
      <x:c r="P22" s="25" t="str">
        <x:v>Nuevo hallazgo; sin disposición anterior</x:v>
      </x:c>
      <x:c r="Q22" s="5" t="str">
        <x:v>{"actual":"Proposal4 conserva STRATEGIC_GATE_APPROVED e historia DECIDED APPROVE, pero su elegibilidad de entrada posterior muestra GATE07B_REWORK_REQUIRED / PROPOSAL_NOT_EVALUATED. No se borra la aprobación histórica ni se infiere otro bloqueo FID","status":"OPEN_SCOPED_LIFECYCLE_LABEL","evidence":"browser-current-validation.json; screenshot 03-fresh-proposal.png; _gate_readiness y proposalReadiness"}</x:v>
      </x:c>
    </x:row>
    <x:row r="23" ht="125" customHeight="1">
      <x:c r="A23" s="14" t="str">
        <x:v>UAT-ENV-001</x:v>
      </x:c>
      <x:c r="B23" s="6" t="str">
        <x:v>VALIDATION_ENVIRONMENT</x:v>
      </x:c>
      <x:c r="C23" s="6" t="str">
        <x:v>ENVIRONMENT BLOCKER</x:v>
      </x:c>
      <x:c r="D23" s="6" t="str">
        <x:v>La base PostgreSQL aislada de la cadena seleccionada no está disponible</x:v>
      </x:c>
      <x:c r="E23" s="6" t="str">
        <x:v>BLOCKED_UAT_DATABASE_NOT_AVAILABLE. Contenedor detenido con almacenamiento tmpfs, sin PG_VERSION ni montaje persistente. No se encontró backup coincidente en la búsqueda registrada. No se confirma un defecto de producto S1/S2</x:v>
      </x:c>
      <x:c r="F23" s="6" t="str">
        <x:v>OPEN_VALIDATION_ENVIRONMENT</x:v>
      </x:c>
      <x:c r="G23" s="6" t="str">
        <x:v>Aportar backup PostgreSQL de esta misma cadena o autorización humana explícita para reconstruir por lifecycles reales con almacenamiento aislado persistente. No restaurar snapshots JSON ni iniciar el tmpfs vacío</x:v>
      </x:c>
      <x:c r="H23" s="6" t="str">
        <x:v>Responsable del entorno UAT y aprobador de la continuidad</x:v>
      </x:c>
      <x:c r="I23" s="6" t="str">
        <x:v>preflight.json. selected_chain_verification NOT_VERIFIABLE. Cero comandos contra la cadena. Pruebas y navegador NOT_RUN</x:v>
      </x:c>
      <x:c r="P23" s="25"/>
      <x:c r="Q23" s="5" t="str">
        <x:v>Nuevo bloqueo del entorno de validación. No sustituye ni cierra defectos de producto previos</x:v>
      </x:c>
    </x:row>
    <x:row r="24">
      <x:c r="P24" s="25"/>
    </x:row>
    <x:row r="25">
      <x:c r="P25" s="25"/>
    </x:row>
    <x:row r="26">
      <x:c r="P26" s="25"/>
    </x:row>
    <x:row r="27">
      <x:c r="P27" s="25"/>
    </x:row>
    <x:row r="28">
      <x:c r="P28" s="25"/>
    </x:row>
    <x:row r="29">
      <x:c r="P29" s="25"/>
    </x:row>
    <x:row r="30">
      <x:c r="P30" s="25"/>
    </x:row>
    <x:row r="31">
      <x:c r="P31" s="25"/>
    </x:row>
    <x:row r="32">
      <x:c r="P32" s="25"/>
    </x:row>
    <x:row r="33">
      <x:c r="P33" s="25"/>
    </x:row>
    <x:row r="34">
      <x:c r="P34" s="25"/>
    </x:row>
    <x:row r="35">
      <x:c r="P35" s="25"/>
    </x:row>
    <x:row r="36">
      <x:c r="P36" s="25"/>
    </x:row>
    <x:row r="37">
      <x:c r="P37" s="25"/>
    </x:row>
    <x:row r="38">
      <x:c r="P38" s="25"/>
    </x:row>
    <x:row r="39">
      <x:c r="P39" s="25"/>
    </x:row>
    <x:row r="40">
      <x:c r="P40" s="25"/>
    </x:row>
  </x:sheetData>
  <x:pageMargins left="0.7" right="0.7" top="0.75" bottom="0.75" header="0.3" footer="0.3"/>
  <x:tableParts count="1">
    <x:tablePart xmlns:r="http://schemas.openxmlformats.org/officeDocument/2006/relationships" r:id="R5cf4213bc343442c"/>
  </x:tableParts>
</x:worksheet>
</file>

<file path=xl/worksheets/sheet7.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6" hidden="0" customWidth="1"/>
    <x:col min="2" max="2" width="15" hidden="0" customWidth="1"/>
    <x:col min="3" max="3" width="72" hidden="0" customWidth="1"/>
    <x:col min="4" max="4" width="37" hidden="0" customWidth="1"/>
    <x:col min="5" max="5" width="80" hidden="0" customWidth="1"/>
    <x:col min="6" max="6" width="82" hidden="0" customWidth="1"/>
    <x:col min="7" max="7" width="14" hidden="0" customWidth="1"/>
    <x:col min="8" max="8" width="52" hidden="0" customWidth="1"/>
  </x:cols>
  <x:sheetData>
    <x:row r="2" ht="26" customHeight="1">
      <x:c r="A2" s="1" t="str">
        <x:v>Candidatos de limpieza y disposición segura</x:v>
      </x:c>
    </x:row>
    <x:row r="3">
      <x:c r="A3" s="2"/>
      <x:c r="B3" s="2"/>
      <x:c r="C3" s="2"/>
      <x:c r="D3" s="2"/>
      <x:c r="E3" s="2"/>
      <x:c r="F3" s="2"/>
      <x:c r="G3" s="2"/>
      <x:c r="H3" s="2"/>
    </x:row>
    <x:row r="4">
      <x:c r="A4" s="3" t="str">
        <x:v>Corte 14 octubre 2026</x:v>
      </x:c>
      <x:c r="B4" s="3"/>
      <x:c r="C4" s="3"/>
      <x:c r="D4" s="3" t="str">
        <x:v>Fuente del registro</x:v>
      </x:c>
      <x:c r="E4" s="3" t="str">
        <x:v>Inventario estático. Solo SAFE_TO_REMOVE con regresión y autorización admite retiro.</x:v>
      </x:c>
      <x:c r="F4" s="3"/>
      <x:c r="G4" s="3"/>
      <x:c r="H4" s="3"/>
    </x:row>
    <x:row r="5">
      <x:c r="A5" s="3" t="str">
        <x:v>Registros</x:v>
      </x:c>
      <x:c r="B5" s="3" t="n">
        <x:f>COUNTA(A8:A102)</x:f>
        <x:v>95</x:v>
      </x:c>
      <x:c r="C5" s="3"/>
      <x:c r="D5" s="3"/>
      <x:c r="E5" s="3"/>
      <x:c r="F5" s="3"/>
      <x:c r="G5" s="3"/>
      <x:c r="H5" s="3"/>
    </x:row>
    <x:row r="7" ht="34" customHeight="1">
      <x:c r="A7" s="10" t="str">
        <x:v>ID</x:v>
      </x:c>
      <x:c r="B7" s="11" t="str">
        <x:v>Área</x:v>
      </x:c>
      <x:c r="C7" s="11" t="str">
        <x:v>Candidato</x:v>
      </x:c>
      <x:c r="D7" s="11" t="str">
        <x:v>Clasificación</x:v>
      </x:c>
      <x:c r="E7" s="11" t="str">
        <x:v>Evidencia</x:v>
      </x:c>
      <x:c r="F7" s="11" t="str">
        <x:v>Acción o fundamento</x:v>
      </x:c>
      <x:c r="G7" s="11" t="str">
        <x:v>Eliminado</x:v>
      </x:c>
      <x:c r="H7" s="12" t="str">
        <x:v>Regresión de retiro</x:v>
      </x:c>
    </x:row>
    <x:row r="8" ht="42" customHeight="1">
      <x:c r="A8" s="14" t="str">
        <x:v>CL-BE-01</x:v>
      </x:c>
      <x:c r="B8" s="6" t="str">
        <x:v>BACKEND</x:v>
      </x:c>
      <x:c r="C8" s="6" t="str">
        <x:v>Legacy ADMIN Workspace creation/status API</x:v>
      </x:c>
      <x:c r="D8" s="6" t="str">
        <x:v>REQUIRES_DEPRECATION</x:v>
      </x:c>
      <x:c r="E8" s="6" t="str">
        <x:v>backend/app/api/v1/routers/admin_configuration.py; frontend/src/api/adminConfiguration.ts</x:v>
      </x:c>
      <x:c r="F8" s="6" t="str">
        <x:v>Live consumer exists. PROJECT guard fixed; retain other types and configuration until explicit compatibility deprecation.</x:v>
      </x:c>
      <x:c r="G8" s="19" t="b">
        <x:v>0</x:v>
      </x:c>
      <x:c r="H8" s="19" t="b">
        <x:v>0</x:v>
      </x:c>
    </x:row>
    <x:row r="9" ht="42" customHeight="1">
      <x:c r="A9" s="15" t="str">
        <x:v>CL-BE-02</x:v>
      </x:c>
      <x:c r="B9" s="13" t="str">
        <x:v>BACKEND</x:v>
      </x:c>
      <x:c r="C9" s="13" t="str">
        <x:v>EnterpriseStructureService create/update/archive live nodes</x:v>
      </x:c>
      <x:c r="D9" s="13" t="str">
        <x:v>STILL_REFERENCED</x:v>
      </x:c>
      <x:c r="E9" s="13" t="str">
        <x:v>backend/app/modules/enterprise_structure/router_admin.py; service.py</x:v>
      </x:c>
      <x:c r="F9" s="13" t="str">
        <x:v>Used by foundation and history regression. PROJECT lifecycle guards added; not dead code.</x:v>
      </x:c>
      <x:c r="G9" s="20" t="b">
        <x:v>0</x:v>
      </x:c>
      <x:c r="H9" s="20" t="b">
        <x:v>0</x:v>
      </x:c>
    </x:row>
    <x:row r="10" ht="66" customHeight="1">
      <x:c r="A10" s="14" t="str">
        <x:v>CL-BE-03</x:v>
      </x:c>
      <x:c r="B10" s="6" t="str">
        <x:v>BACKEND</x:v>
      </x:c>
      <x:c r="C10" s="6" t="str">
        <x:v>CORE revisions add_workspace / materialize snapshot</x:v>
      </x:c>
      <x:c r="D10" s="6" t="str">
        <x:v>STILL_REFERENCED</x:v>
      </x:c>
      <x:c r="E10" s="6" t="str">
        <x:v>backend/app/modules/enterprise_structure/revisions.py</x:v>
      </x:c>
      <x:c r="F10" s="6" t="str">
        <x:v>Reproduced S2 live authority defect was guarded at mutation and shared pre-DML materialization boundaries; targeted execution evidence is separate from full release UAT. Preserve historical identity adoption and CORE revision functionality; not removable dead code.</x:v>
      </x:c>
      <x:c r="G10" s="19" t="b">
        <x:v>0</x:v>
      </x:c>
      <x:c r="H10" s="19" t="b">
        <x:v>0</x:v>
      </x:c>
    </x:row>
    <x:row r="11" ht="42" customHeight="1">
      <x:c r="A11" s="15" t="str">
        <x:v>CL-BE-04</x:v>
      </x:c>
      <x:c r="B11" s="13" t="str">
        <x:v>BACKEND</x:v>
      </x:c>
      <x:c r="C11" s="13" t="str">
        <x:v>Approved CORE YAML apply/publish</x:v>
      </x:c>
      <x:c r="D11" s="13" t="str">
        <x:v>HISTORICAL_COMPATIBILITY_REQUIRED</x:v>
      </x:c>
      <x:c r="E11" s="13" t="str">
        <x:v>backend/app/modules/enterprise_structure/importer/apply.py; publish.py</x:v>
      </x:c>
      <x:c r="F11" s="13" t="str">
        <x:v>Exact reconciliation/count/hash/tenant release checks and protected historical identities; no generic removal or operational execution authorized.</x:v>
      </x:c>
      <x:c r="G11" s="20" t="b">
        <x:v>0</x:v>
      </x:c>
      <x:c r="H11" s="20" t="b">
        <x:v>0</x:v>
      </x:c>
    </x:row>
    <x:row r="12" ht="42" customHeight="1">
      <x:c r="A12" s="14" t="str">
        <x:v>CL-BE-05</x:v>
      </x:c>
      <x:c r="B12" s="6" t="str">
        <x:v>BACKEND</x:v>
      </x:c>
      <x:c r="C12" s="6" t="str">
        <x:v>Operational Project ORM/table</x:v>
      </x:c>
      <x:c r="D12" s="6" t="str">
        <x:v>HISTORICAL_COMPATIBILITY_REQUIRED</x:v>
      </x:c>
      <x:c r="E12" s="6" t="str">
        <x:v>backend/app/domain/models.py:79; strategic provider adapters</x:v>
      </x:c>
      <x:c r="F12" s="6" t="str">
        <x:v>projects is used by operational controls and QRA source refs. Strategic identity is enterprise_workspaces. Do not drop or merge in UAT.</x:v>
      </x:c>
      <x:c r="G12" s="19" t="b">
        <x:v>0</x:v>
      </x:c>
      <x:c r="H12" s="19" t="b">
        <x:v>0</x:v>
      </x:c>
    </x:row>
    <x:row r="13" ht="42" customHeight="1">
      <x:c r="A13" s="15" t="str">
        <x:v>CL-BE-06</x:v>
      </x:c>
      <x:c r="B13" s="13" t="str">
        <x:v>BACKEND</x:v>
      </x:c>
      <x:c r="C13" s="13" t="str">
        <x:v>Per-router ETag / If-Match helpers</x:v>
      </x:c>
      <x:c r="D13" s="13" t="str">
        <x:v>STILL_REFERENCED</x:v>
      </x:c>
      <x:c r="E13" s="13" t="str">
        <x:v>backend/app/modules/portfolio_budget/router.py; investment_decision/router.py; project_definition/router.py</x:v>
      </x:c>
      <x:c r="F13" s="13" t="str">
        <x:v>Repeated active contract with slight historical error-envelope differences. Consolidation needs targeted HTTP compatibility regression.</x:v>
      </x:c>
      <x:c r="G13" s="20" t="b">
        <x:v>0</x:v>
      </x:c>
      <x:c r="H13" s="20" t="b">
        <x:v>0</x:v>
      </x:c>
    </x:row>
    <x:row r="14" ht="42" customHeight="1">
      <x:c r="A14" s="14" t="str">
        <x:v>CL-BE-07</x:v>
      </x:c>
      <x:c r="B14" s="6" t="str">
        <x:v>BACKEND</x:v>
      </x:c>
      <x:c r="C14" s="6" t="str">
        <x:v>Per-domain _hash functions</x:v>
      </x:c>
      <x:c r="D14" s="6" t="str">
        <x:v>STILL_REFERENCED</x:v>
      </x:c>
      <x:c r="E14" s="6" t="str">
        <x:v>backend/app/modules/business_case/service.py; investment_decision/service.py; investment_gate_preparation/service.py</x:v>
      </x:c>
      <x:c r="F14" s="6" t="str">
        <x:v>Same hashing primitive does not imply same semantic hash authority; preserve frozen canonicalization and historical payloads.</x:v>
      </x:c>
      <x:c r="G14" s="19" t="b">
        <x:v>0</x:v>
      </x:c>
      <x:c r="H14" s="19" t="b">
        <x:v>0</x:v>
      </x:c>
    </x:row>
    <x:row r="15" ht="42" customHeight="1">
      <x:c r="A15" s="15" t="str">
        <x:v>CL-BE-08</x:v>
      </x:c>
      <x:c r="B15" s="13" t="str">
        <x:v>BACKEND</x:v>
      </x:c>
      <x:c r="C15" s="13" t="str">
        <x:v>QRA provider currentness and policy adapter</x:v>
      </x:c>
      <x:c r="D15" s="13" t="str">
        <x:v>STILL_REFERENCED</x:v>
      </x:c>
      <x:c r="E15" s="13" t="str">
        <x:v>backend/app/modules/qra_engine/service.py; investment_evidence_policy/qra_evidence.py</x:v>
      </x:c>
      <x:c r="F15" s="13" t="str">
        <x:v>Engine proves run/model validity; adapter proves policy applicability/quality. Different authorities, not duplicate decision logic.</x:v>
      </x:c>
      <x:c r="G15" s="20" t="b">
        <x:v>0</x:v>
      </x:c>
      <x:c r="H15" s="20" t="b">
        <x:v>0</x:v>
      </x:c>
    </x:row>
    <x:row r="16" ht="42" customHeight="1">
      <x:c r="A16" s="14" t="str">
        <x:v>CL-BE-09</x:v>
      </x:c>
      <x:c r="B16" s="6" t="str">
        <x:v>BACKEND</x:v>
      </x:c>
      <x:c r="C16" s="6" t="str">
        <x:v>Business Case source resolver vs Gate bundle</x:v>
      </x:c>
      <x:c r="D16" s="6" t="str">
        <x:v>STILL_REFERENCED</x:v>
      </x:c>
      <x:c r="E16" s="6" t="str">
        <x:v>backend/app/modules/business_case/service.py; investment_gate_preparation/service.py</x:v>
      </x:c>
      <x:c r="F16" s="6" t="str">
        <x:v>Separate longitudinal BC and as-of Gate consumers; source/hash consistency is policy-governed, not interchangeable snapshots.</x:v>
      </x:c>
      <x:c r="G16" s="19" t="b">
        <x:v>0</x:v>
      </x:c>
      <x:c r="H16" s="19" t="b">
        <x:v>0</x:v>
      </x:c>
    </x:row>
    <x:row r="17" ht="42" customHeight="1">
      <x:c r="A17" s="15" t="str">
        <x:v>CL-BE-10</x:v>
      </x:c>
      <x:c r="B17" s="13" t="str">
        <x:v>BACKEND</x:v>
      </x:c>
      <x:c r="C17" s="13" t="str">
        <x:v>QRA result section dynamic routes</x:v>
      </x:c>
      <x:c r="D17" s="13" t="str">
        <x:v>STILL_REFERENCED</x:v>
      </x:c>
      <x:c r="E17" s="13" t="str">
        <x:v>backend/app/modules/qra_engine/router.py:_result_route; frontend/src/features/qra-engine/api.ts</x:v>
      </x:c>
      <x:c r="F17" s="13" t="str">
        <x:v>Registered dynamically for summary/percentiles/convergence/etc.; missing literal consumer is not proof unused.</x:v>
      </x:c>
      <x:c r="G17" s="20" t="b">
        <x:v>0</x:v>
      </x:c>
      <x:c r="H17" s="20" t="b">
        <x:v>0</x:v>
      </x:c>
    </x:row>
    <x:row r="18" ht="42" customHeight="1">
      <x:c r="A18" s="14" t="str">
        <x:v>CL-BE-11</x:v>
      </x:c>
      <x:c r="B18" s="6" t="str">
        <x:v>BACKEND</x:v>
      </x:c>
      <x:c r="C18" s="6" t="str">
        <x:v>Domain schemas without direct frontend type match</x:v>
      </x:c>
      <x:c r="D18" s="6" t="str">
        <x:v>UNKNOWN</x:v>
      </x:c>
      <x:c r="E18" s="6" t="str">
        <x:v>backend/app/modules/*/schemas.py; backend-api-inventory.json</x:v>
      </x:c>
      <x:c r="F18" s="6" t="str">
        <x:v>FastAPI response schemas, nested DTOs and API consumers require symbol/contract reachability. No deletion supported by the literal inventory.</x:v>
      </x:c>
      <x:c r="G18" s="19" t="b">
        <x:v>0</x:v>
      </x:c>
      <x:c r="H18" s="19" t="b">
        <x:v>0</x:v>
      </x:c>
    </x:row>
    <x:row r="19" ht="42" customHeight="1">
      <x:c r="A19" s="15" t="str">
        <x:v>CL-BE-12</x:v>
      </x:c>
      <x:c r="B19" s="13" t="str">
        <x:v>BACKEND</x:v>
      </x:c>
      <x:c r="C19" s="13" t="str">
        <x:v>LEGACY_UNCLASSIFIED governance branches</x:v>
      </x:c>
      <x:c r="D19" s="13" t="str">
        <x:v>HISTORICAL_COMPATIBILITY_REQUIRED</x:v>
      </x:c>
      <x:c r="E19" s="13" t="str">
        <x:v>backend/app/modules/project_creation/governance.py; frontend strategicNavigationBlueprint.ts</x:v>
      </x:c>
      <x:c r="F19" s="13" t="str">
        <x:v>Needed to read unreconciled historical records; must not silently force CAPITAL_OWNER.</x:v>
      </x:c>
      <x:c r="G19" s="20" t="b">
        <x:v>0</x:v>
      </x:c>
      <x:c r="H19" s="20" t="b">
        <x:v>0</x:v>
      </x:c>
    </x:row>
    <x:row r="20" ht="42" customHeight="1">
      <x:c r="A20" s="14" t="str">
        <x:v>CL-BE-13</x:v>
      </x:c>
      <x:c r="B20" s="6" t="str">
        <x:v>BACKEND</x:v>
      </x:c>
      <x:c r="C20" s="6" t="str">
        <x:v>Manual references for Class B legacy evidence</x:v>
      </x:c>
      <x:c r="D20" s="6" t="str">
        <x:v>HISTORICAL_COMPATIBILITY_REQUIRED</x:v>
      </x:c>
      <x:c r="E20" s="6" t="str">
        <x:v>backend/app/modules/investment_gate_preparation/service.py</x:v>
      </x:c>
      <x:c r="F20" s="6" t="str">
        <x:v>Class A forbidden; Class B behavior depends on effective historical policy and must not be deleted as universally obsolete.</x:v>
      </x:c>
      <x:c r="G20" s="19" t="b">
        <x:v>0</x:v>
      </x:c>
      <x:c r="H20" s="19" t="b">
        <x:v>0</x:v>
      </x:c>
    </x:row>
    <x:row r="21" ht="42" customHeight="1">
      <x:c r="A21" s="15" t="str">
        <x:v>CL-BE-14</x:v>
      </x:c>
      <x:c r="B21" s="13" t="str">
        <x:v>BACKEND</x:v>
      </x:c>
      <x:c r="C21" s="13" t="str">
        <x:v>QRA methodology legacy generic guard</x:v>
      </x:c>
      <x:c r="D21" s="13" t="str">
        <x:v>STILL_REFERENCED</x:v>
      </x:c>
      <x:c r="E21" s="13" t="str">
        <x:v>backend/app/api/v1/routers/admin_configuration.py:GOVERNED_CONFIGURATION_APIS</x:v>
      </x:c>
      <x:c r="F21" s="13" t="str">
        <x:v>Explicit rejection protects dedicated policy authority; removing guard would reintroduce bypass.</x:v>
      </x:c>
      <x:c r="G21" s="20" t="b">
        <x:v>0</x:v>
      </x:c>
      <x:c r="H21" s="20" t="b">
        <x:v>0</x:v>
      </x:c>
    </x:row>
    <x:row r="22" ht="42" customHeight="1">
      <x:c r="A22" s="14" t="str">
        <x:v>CL-BE-15</x:v>
      </x:c>
      <x:c r="B22" s="6" t="str">
        <x:v>BACKEND</x:v>
      </x:c>
      <x:c r="C22" s="6" t="str">
        <x:v>Known strategic hotspots</x:v>
      </x:c>
      <x:c r="D22" s="6" t="str">
        <x:v>STILL_REFERENCED</x:v>
      </x:c>
      <x:c r="E22" s="6" t="str">
        <x:v>backend/app/api/v1/router.py; backend/app/domain/models.py; backend/app/domain/schemas.py</x:v>
      </x:c>
      <x:c r="F22" s="6" t="str">
        <x:v>No big-bang refactor, migration rewrite or added strategic module in closeout.</x:v>
      </x:c>
      <x:c r="G22" s="19" t="b">
        <x:v>0</x:v>
      </x:c>
      <x:c r="H22" s="19" t="b">
        <x:v>0</x:v>
      </x:c>
    </x:row>
    <x:row r="23" ht="42" customHeight="1">
      <x:c r="A23" s="15" t="str">
        <x:v>CL-BE-16</x:v>
      </x:c>
      <x:c r="B23" s="13" t="str">
        <x:v>BACKEND</x:v>
      </x:c>
      <x:c r="C23" s="13" t="str">
        <x:v>Development-only fixture imports in production</x:v>
      </x:c>
      <x:c r="D23" s="13" t="str">
        <x:v>UNKNOWN</x:v>
      </x:c>
      <x:c r="E23" s="13" t="str">
        <x:v>backend/app/modules and backend/tests directory separation</x:v>
      </x:c>
      <x:c r="F23" s="13" t="str">
        <x:v>No demonstrated production import established by this review; absence of a quick match is not full import-graph proof.</x:v>
      </x:c>
      <x:c r="G23" s="20" t="b">
        <x:v>0</x:v>
      </x:c>
      <x:c r="H23" s="20" t="b">
        <x:v>0</x:v>
      </x:c>
    </x:row>
    <x:row r="24" ht="42" customHeight="1">
      <x:c r="A24" s="14" t="str">
        <x:v>CL-BE-17</x:v>
      </x:c>
      <x:c r="B24" s="6" t="str">
        <x:v>BACKEND</x:v>
      </x:c>
      <x:c r="C24" s="6" t="str">
        <x:v>Dead feature flags</x:v>
      </x:c>
      <x:c r="D24" s="6" t="str">
        <x:v>UNKNOWN</x:v>
      </x:c>
      <x:c r="E24" s="6" t="str">
        <x:v>backend/app/core/config.py; backend/app/modules</x:v>
      </x:c>
      <x:c r="F24" s="6" t="str">
        <x:v>No strategic flag is proven dead by source-only endpoint inventory; require deployed config and branch coverage.</x:v>
      </x:c>
      <x:c r="G24" s="19" t="b">
        <x:v>0</x:v>
      </x:c>
      <x:c r="H24" s="19" t="b">
        <x:v>0</x:v>
      </x:c>
    </x:row>
    <x:row r="25" ht="42" customHeight="1">
      <x:c r="A25" s="15" t="str">
        <x:v>CL-BE-18</x:v>
      </x:c>
      <x:c r="B25" s="13" t="str">
        <x:v>BACKEND</x:v>
      </x:c>
      <x:c r="C25" s="13" t="str">
        <x:v>Duplicate constants/enums across frontend/backend</x:v>
      </x:c>
      <x:c r="D25" s="13" t="str">
        <x:v>STILL_REFERENCED</x:v>
      </x:c>
      <x:c r="E25" s="13" t="str">
        <x:v>backend/app/modules/*/schemas.py; frontend/src/features/*/types.ts</x:v>
      </x:c>
      <x:c r="F25" s="13" t="str">
        <x:v>Cross-language contract copies are not automatically removable; validate schema generation strategy separately.</x:v>
      </x:c>
      <x:c r="G25" s="20" t="b">
        <x:v>0</x:v>
      </x:c>
      <x:c r="H25" s="20" t="b">
        <x:v>0</x:v>
      </x:c>
    </x:row>
    <x:row r="26" ht="42" customHeight="1">
      <x:c r="A26" s="14" t="str">
        <x:v>FE-1</x:v>
      </x:c>
      <x:c r="B26" s="6" t="str">
        <x:v>FRONTEND</x:v>
      </x:c>
      <x:c r="C26" s="6" t="str">
        <x:v>business-case-current-revision</x:v>
      </x:c>
      <x:c r="D26" s="6" t="str">
        <x:v>REQUIRES_DEPRECATION</x:v>
      </x:c>
      <x:c r="E26" s="6" t="str">
        <x:v>Renderer registered but strategicNodeForView has no canonical node in either mode; outlet returns null before renderer invocation.</x:v>
      </x:c>
      <x:c r="F26" s="6" t="str">
        <x:v>Document migration/redirect intent; do not delete in validation.</x:v>
      </x:c>
      <x:c r="G26" s="19" t="b">
        <x:v>0</x:v>
      </x:c>
      <x:c r="H26" s="6" t="str">
        <x:v>No retiro autorizado por ausencia de referencia directa</x:v>
      </x:c>
    </x:row>
    <x:row r="27" ht="42" customHeight="1">
      <x:c r="A27" s="15" t="str">
        <x:v>FE-2</x:v>
      </x:c>
      <x:c r="B27" s="13" t="str">
        <x:v>FRONTEND</x:v>
      </x:c>
      <x:c r="C27" s="13" t="str">
        <x:v>business-case-alternatives</x:v>
      </x:c>
      <x:c r="D27" s="13" t="str">
        <x:v>REQUIRES_DEPRECATION</x:v>
      </x:c>
      <x:c r="E27" s="13" t="str">
        <x:v>Renderer registered but strategicNodeForView has no canonical node in either mode; outlet returns null before renderer invocation.</x:v>
      </x:c>
      <x:c r="F27" s="13" t="str">
        <x:v>Document migration/redirect intent; do not delete in validation.</x:v>
      </x:c>
      <x:c r="G27" s="20" t="b">
        <x:v>0</x:v>
      </x:c>
      <x:c r="H27" s="13" t="str">
        <x:v>No retiro autorizado por ausencia de referencia directa</x:v>
      </x:c>
    </x:row>
    <x:row r="28" ht="42" customHeight="1">
      <x:c r="A28" s="14" t="str">
        <x:v>FE-3</x:v>
      </x:c>
      <x:c r="B28" s="6" t="str">
        <x:v>FRONTEND</x:v>
      </x:c>
      <x:c r="C28" s="6" t="str">
        <x:v>business-case-benefits</x:v>
      </x:c>
      <x:c r="D28" s="6" t="str">
        <x:v>REQUIRES_DEPRECATION</x:v>
      </x:c>
      <x:c r="E28" s="6" t="str">
        <x:v>Renderer registered but strategicNodeForView has no canonical node in either mode; outlet returns null before renderer invocation.</x:v>
      </x:c>
      <x:c r="F28" s="6" t="str">
        <x:v>Document migration/redirect intent; do not delete in validation.</x:v>
      </x:c>
      <x:c r="G28" s="19" t="b">
        <x:v>0</x:v>
      </x:c>
      <x:c r="H28" s="6" t="str">
        <x:v>No retiro autorizado por ausencia de referencia directa</x:v>
      </x:c>
    </x:row>
    <x:row r="29" ht="42" customHeight="1">
      <x:c r="A29" s="15" t="str">
        <x:v>FE-4</x:v>
      </x:c>
      <x:c r="B29" s="13" t="str">
        <x:v>FRONTEND</x:v>
      </x:c>
      <x:c r="C29" s="13" t="str">
        <x:v>business-case-project-definition</x:v>
      </x:c>
      <x:c r="D29" s="13" t="str">
        <x:v>REQUIRES_DEPRECATION</x:v>
      </x:c>
      <x:c r="E29" s="13" t="str">
        <x:v>Renderer registered but strategicNodeForView has no canonical node in either mode; outlet returns null before renderer invocation.</x:v>
      </x:c>
      <x:c r="F29" s="13" t="str">
        <x:v>Document migration/redirect intent; do not delete in validation.</x:v>
      </x:c>
      <x:c r="G29" s="20" t="b">
        <x:v>0</x:v>
      </x:c>
      <x:c r="H29" s="13" t="str">
        <x:v>No retiro autorizado por ausencia de referencia directa</x:v>
      </x:c>
    </x:row>
    <x:row r="30" ht="42" customHeight="1">
      <x:c r="A30" s="14" t="str">
        <x:v>FE-5</x:v>
      </x:c>
      <x:c r="B30" s="6" t="str">
        <x:v>FRONTEND</x:v>
      </x:c>
      <x:c r="C30" s="6" t="str">
        <x:v>business-case-budget-resources</x:v>
      </x:c>
      <x:c r="D30" s="6" t="str">
        <x:v>REQUIRES_DEPRECATION</x:v>
      </x:c>
      <x:c r="E30" s="6" t="str">
        <x:v>Renderer registered but strategicNodeForView has no canonical node in either mode; outlet returns null before renderer invocation.</x:v>
      </x:c>
      <x:c r="F30" s="6" t="str">
        <x:v>Document migration/redirect intent; do not delete in validation.</x:v>
      </x:c>
      <x:c r="G30" s="19" t="b">
        <x:v>0</x:v>
      </x:c>
      <x:c r="H30" s="6" t="str">
        <x:v>No retiro autorizado por ausencia de referencia directa</x:v>
      </x:c>
    </x:row>
    <x:row r="31" ht="42" customHeight="1">
      <x:c r="A31" s="15" t="str">
        <x:v>FE-6</x:v>
      </x:c>
      <x:c r="B31" s="13" t="str">
        <x:v>FRONTEND</x:v>
      </x:c>
      <x:c r="C31" s="13" t="str">
        <x:v>business-case-funding</x:v>
      </x:c>
      <x:c r="D31" s="13" t="str">
        <x:v>REQUIRES_DEPRECATION</x:v>
      </x:c>
      <x:c r="E31" s="13" t="str">
        <x:v>Renderer registered but strategicNodeForView has no canonical node in either mode; outlet returns null before renderer invocation.</x:v>
      </x:c>
      <x:c r="F31" s="13" t="str">
        <x:v>Document migration/redirect intent; do not delete in validation.</x:v>
      </x:c>
      <x:c r="G31" s="20" t="b">
        <x:v>0</x:v>
      </x:c>
      <x:c r="H31" s="13" t="str">
        <x:v>No retiro autorizado por ausencia de referencia directa</x:v>
      </x:c>
    </x:row>
    <x:row r="32" ht="42" customHeight="1">
      <x:c r="A32" s="14" t="str">
        <x:v>FE-7</x:v>
      </x:c>
      <x:c r="B32" s="6" t="str">
        <x:v>FRONTEND</x:v>
      </x:c>
      <x:c r="C32" s="6" t="str">
        <x:v>business-case-risk-permits</x:v>
      </x:c>
      <x:c r="D32" s="6" t="str">
        <x:v>REQUIRES_DEPRECATION</x:v>
      </x:c>
      <x:c r="E32" s="6" t="str">
        <x:v>Renderer registered but strategicNodeForView has no canonical node in either mode; outlet returns null before renderer invocation.</x:v>
      </x:c>
      <x:c r="F32" s="6" t="str">
        <x:v>Document migration/redirect intent; do not delete in validation.</x:v>
      </x:c>
      <x:c r="G32" s="19" t="b">
        <x:v>0</x:v>
      </x:c>
      <x:c r="H32" s="6" t="str">
        <x:v>No retiro autorizado por ausencia de referencia directa</x:v>
      </x:c>
    </x:row>
    <x:row r="33" ht="42" customHeight="1">
      <x:c r="A33" s="15" t="str">
        <x:v>FE-8</x:v>
      </x:c>
      <x:c r="B33" s="13" t="str">
        <x:v>FRONTEND</x:v>
      </x:c>
      <x:c r="C33" s="13" t="str">
        <x:v>business-case-execution</x:v>
      </x:c>
      <x:c r="D33" s="13" t="str">
        <x:v>REQUIRES_DEPRECATION</x:v>
      </x:c>
      <x:c r="E33" s="13" t="str">
        <x:v>Renderer registered but strategicNodeForView has no canonical node in either mode; outlet returns null before renderer invocation.</x:v>
      </x:c>
      <x:c r="F33" s="13" t="str">
        <x:v>Document migration/redirect intent; do not delete in validation.</x:v>
      </x:c>
      <x:c r="G33" s="20" t="b">
        <x:v>0</x:v>
      </x:c>
      <x:c r="H33" s="13" t="str">
        <x:v>No retiro autorizado por ausencia de referencia directa</x:v>
      </x:c>
    </x:row>
    <x:row r="34" ht="42" customHeight="1">
      <x:c r="A34" s="14" t="str">
        <x:v>FE-9</x:v>
      </x:c>
      <x:c r="B34" s="6" t="str">
        <x:v>FRONTEND</x:v>
      </x:c>
      <x:c r="C34" s="6" t="str">
        <x:v>business-case-assumptions</x:v>
      </x:c>
      <x:c r="D34" s="6" t="str">
        <x:v>REQUIRES_DEPRECATION</x:v>
      </x:c>
      <x:c r="E34" s="6" t="str">
        <x:v>Renderer registered but strategicNodeForView has no canonical node in either mode; outlet returns null before renderer invocation.</x:v>
      </x:c>
      <x:c r="F34" s="6" t="str">
        <x:v>Document migration/redirect intent; do not delete in validation.</x:v>
      </x:c>
      <x:c r="G34" s="19" t="b">
        <x:v>0</x:v>
      </x:c>
      <x:c r="H34" s="6" t="str">
        <x:v>No retiro autorizado por ausencia de referencia directa</x:v>
      </x:c>
    </x:row>
    <x:row r="35" ht="42" customHeight="1">
      <x:c r="A35" s="15" t="str">
        <x:v>FE-10</x:v>
      </x:c>
      <x:c r="B35" s="13" t="str">
        <x:v>FRONTEND</x:v>
      </x:c>
      <x:c r="C35" s="13" t="str">
        <x:v>business-case-recommendation</x:v>
      </x:c>
      <x:c r="D35" s="13" t="str">
        <x:v>REQUIRES_DEPRECATION</x:v>
      </x:c>
      <x:c r="E35" s="13" t="str">
        <x:v>Renderer registered but strategicNodeForView has no canonical node in either mode; outlet returns null before renderer invocation.</x:v>
      </x:c>
      <x:c r="F35" s="13" t="str">
        <x:v>Document migration/redirect intent; do not delete in validation.</x:v>
      </x:c>
      <x:c r="G35" s="20" t="b">
        <x:v>0</x:v>
      </x:c>
      <x:c r="H35" s="13" t="str">
        <x:v>No retiro autorizado por ausencia de referencia directa</x:v>
      </x:c>
    </x:row>
    <x:row r="36" ht="42" customHeight="1">
      <x:c r="A36" s="14" t="str">
        <x:v>FE-11</x:v>
      </x:c>
      <x:c r="B36" s="6" t="str">
        <x:v>FRONTEND</x:v>
      </x:c>
      <x:c r="C36" s="6" t="str">
        <x:v>business-case-material-changes</x:v>
      </x:c>
      <x:c r="D36" s="6" t="str">
        <x:v>REQUIRES_DEPRECATION</x:v>
      </x:c>
      <x:c r="E36" s="6" t="str">
        <x:v>Renderer registered but strategicNodeForView has no canonical node in either mode; outlet returns null before renderer invocation.</x:v>
      </x:c>
      <x:c r="F36" s="6" t="str">
        <x:v>Document migration/redirect intent; do not delete in validation.</x:v>
      </x:c>
      <x:c r="G36" s="19" t="b">
        <x:v>0</x:v>
      </x:c>
      <x:c r="H36" s="6" t="str">
        <x:v>No retiro autorizado por ausencia de referencia directa</x:v>
      </x:c>
    </x:row>
    <x:row r="37" ht="42" customHeight="1">
      <x:c r="A37" s="15" t="str">
        <x:v>FE-12</x:v>
      </x:c>
      <x:c r="B37" s="13" t="str">
        <x:v>FRONTEND</x:v>
      </x:c>
      <x:c r="C37" s="13" t="str">
        <x:v>BusinessCaseWorkspace initialViewRenderers group overridden by dedicated loop</x:v>
      </x:c>
      <x:c r="D37" s="13" t="str">
        <x:v>STILL_REFERENCED</x:v>
      </x:c>
      <x:c r="E37" s="13" t="str">
        <x:v>StrategicViewOutlet.tsx initialViewRenderers includes BC group; later loop overwrites all BC entries to add onNavigate.</x:v>
      </x:c>
      <x:c r="F37" s="13" t="str">
        <x:v>Small cleanup possible after dedicated equivalence regression; no deletion performed.</x:v>
      </x:c>
      <x:c r="G37" s="20" t="b">
        <x:v>0</x:v>
      </x:c>
      <x:c r="H37" s="13" t="str">
        <x:v>No retiro autorizado por ausencia de referencia directa</x:v>
      </x:c>
    </x:row>
    <x:row r="38" ht="42" customHeight="1">
      <x:c r="A38" s="14" t="str">
        <x:v>FE-13</x:v>
      </x:c>
      <x:c r="B38" s="6" t="str">
        <x:v>FRONTEND</x:v>
      </x:c>
      <x:c r="C38" s="6" t="str">
        <x:v>Ancestor and leaf nodes sharing one route</x:v>
      </x:c>
      <x:c r="D38" s="6" t="str">
        <x:v>STILL_REFERENCED</x:v>
      </x:c>
      <x:c r="E38" s="6" t="str">
        <x:v>30 repeated node-to-route representations; strategicNodeForView canonicalizes registry.</x:v>
      </x:c>
      <x:c r="F38" s="6" t="str">
        <x:v>Keep; not duplicate screens or competing authorities.</x:v>
      </x:c>
      <x:c r="G38" s="19" t="b">
        <x:v>0</x:v>
      </x:c>
      <x:c r="H38" s="6" t="str">
        <x:v>No retiro autorizado por ausencia de referencia directa</x:v>
      </x:c>
    </x:row>
    <x:row r="39" ht="42" customHeight="1">
      <x:c r="A39" s="15" t="str">
        <x:v>FE-14</x:v>
      </x:c>
      <x:c r="B39" s="13" t="str">
        <x:v>FRONTEND</x:v>
      </x:c>
      <x:c r="C39" s="13" t="str">
        <x:v>ENTERPRISE_WORKSPACE_ORDER / PROJECT_WORKSPACE_ORDER</x:v>
      </x:c>
      <x:c r="D39" s="13" t="str">
        <x:v>STILL_REFERENCED</x:v>
      </x:c>
      <x:c r="E39" s="13" t="str">
        <x:v>WorkspaceOperationalPage.tsx imports orderStrategicWorkspaceNavigator; backend module codes differ from ControlFlowView.</x:v>
      </x:c>
      <x:c r="F39" s="13" t="str">
        <x:v>Compatibility adapter; do not create new navigation arrays.</x:v>
      </x:c>
      <x:c r="G39" s="20" t="b">
        <x:v>0</x:v>
      </x:c>
      <x:c r="H39" s="13" t="str">
        <x:v>No retiro autorizado por ausencia de referencia directa</x:v>
      </x:c>
    </x:row>
    <x:row r="40" ht="42" customHeight="1">
      <x:c r="A40" s="14" t="str">
        <x:v>FE-15</x:v>
      </x:c>
      <x:c r="B40" s="6" t="str">
        <x:v>FRONTEND</x:v>
      </x:c>
      <x:c r="C40" s="6" t="str">
        <x:v>strategicNodeApplies</x:v>
      </x:c>
      <x:c r="D40" s="6" t="str">
        <x:v>UNKNOWN</x:v>
      </x:c>
      <x:c r="E40" s="6" t="str">
        <x:v>Exported from canonical blueprint; direct production references absent, tests call applicability metadata only.</x:v>
      </x:c>
      <x:c r="F40" s="6" t="str">
        <x:v>Determine intended UI applicability contract before removing; tests are not runtime enforcement.</x:v>
      </x:c>
      <x:c r="G40" s="19" t="b">
        <x:v>0</x:v>
      </x:c>
      <x:c r="H40" s="6" t="str">
        <x:v>No retiro autorizado por ausencia de referencia directa</x:v>
      </x:c>
    </x:row>
    <x:row r="41" ht="53" customHeight="1">
      <x:c r="A41" s="15" t="str">
        <x:v>FE-16</x:v>
      </x:c>
      <x:c r="B41" s="13" t="str">
        <x:v>FRONTEND</x:v>
      </x:c>
      <x:c r="C41" s="13" t="str">
        <x:v>/app/admin/strategy/enterprise-workspace-structure</x:v>
      </x:c>
      <x:c r="D41" s="13" t="str">
        <x:v>REQUIRES_DEPRECATION</x:v>
      </x:c>
      <x:c r="E41" s="13" t="str">
        <x:v>Canonical route now resolves AdminEnterpriseStructurePage rules; legacy AdminConfigurationView creation branch remains in source but is not a strategic renderer.</x:v>
      </x:c>
      <x:c r="F41" s="13" t="str">
        <x:v>Retain history; deprecated route intent documented. Backend must deny live PROJECT bypass. Do not delete historical API or data.</x:v>
      </x:c>
      <x:c r="G41" s="20" t="b">
        <x:v>0</x:v>
      </x:c>
      <x:c r="H41" s="13" t="str">
        <x:v>No retiro autorizado por ausencia de referencia directa</x:v>
      </x:c>
    </x:row>
    <x:row r="42" ht="42" customHeight="1">
      <x:c r="A42" s="14" t="str">
        <x:v>FE-17</x:v>
      </x:c>
      <x:c r="B42" s="6" t="str">
        <x:v>FRONTEND</x:v>
      </x:c>
      <x:c r="C42" s="6" t="str">
        <x:v>basicDataApi.configurations</x:v>
      </x:c>
      <x:c r="D42" s="6" t="str">
        <x:v>UNKNOWN</x:v>
      </x:c>
      <x:c r="E42" s="6" t="str">
        <x:v>frontend/src/features/risk-governance/policyApi.ts:24</x:v>
      </x:c>
      <x:c r="F42" s="6" t="str">
        <x:v>Check dynamic member access, external clients, server and historical compatibility; absence of client reference is insufficient for deletion.</x:v>
      </x:c>
      <x:c r="G42" s="19" t="b">
        <x:v>0</x:v>
      </x:c>
      <x:c r="H42" s="6" t="str">
        <x:v>No retiro autorizado por ausencia de referencia directa</x:v>
      </x:c>
    </x:row>
    <x:row r="43" ht="42" customHeight="1">
      <x:c r="A43" s="15" t="str">
        <x:v>FE-18</x:v>
      </x:c>
      <x:c r="B43" s="13" t="str">
        <x:v>FRONTEND</x:v>
      </x:c>
      <x:c r="C43" s="13" t="str">
        <x:v>basicDataApi.clone</x:v>
      </x:c>
      <x:c r="D43" s="13" t="str">
        <x:v>UNKNOWN</x:v>
      </x:c>
      <x:c r="E43" s="13" t="str">
        <x:v>frontend/src/features/risk-governance/policyApi.ts:25</x:v>
      </x:c>
      <x:c r="F43" s="13" t="str">
        <x:v>Check dynamic member access, external clients, server and historical compatibility; absence of client reference is insufficient for deletion.</x:v>
      </x:c>
      <x:c r="G43" s="20" t="b">
        <x:v>0</x:v>
      </x:c>
      <x:c r="H43" s="13" t="str">
        <x:v>No retiro autorizado por ausencia de referencia directa</x:v>
      </x:c>
    </x:row>
    <x:row r="44" ht="42" customHeight="1">
      <x:c r="A44" s="14" t="str">
        <x:v>FE-19</x:v>
      </x:c>
      <x:c r="B44" s="6" t="str">
        <x:v>FRONTEND</x:v>
      </x:c>
      <x:c r="C44" s="6" t="str">
        <x:v>basicDataApi.update</x:v>
      </x:c>
      <x:c r="D44" s="6" t="str">
        <x:v>UNKNOWN</x:v>
      </x:c>
      <x:c r="E44" s="6" t="str">
        <x:v>frontend/src/features/risk-governance/policyApi.ts:32</x:v>
      </x:c>
      <x:c r="F44" s="6" t="str">
        <x:v>Check dynamic member access, external clients, server and historical compatibility; absence of client reference is insufficient for deletion.</x:v>
      </x:c>
      <x:c r="G44" s="19" t="b">
        <x:v>0</x:v>
      </x:c>
      <x:c r="H44" s="6" t="str">
        <x:v>No retiro autorizado por ausencia de referencia directa</x:v>
      </x:c>
    </x:row>
    <x:row r="45" ht="42" customHeight="1">
      <x:c r="A45" s="15" t="str">
        <x:v>FE-20</x:v>
      </x:c>
      <x:c r="B45" s="13" t="str">
        <x:v>FRONTEND</x:v>
      </x:c>
      <x:c r="C45" s="13" t="str">
        <x:v>basicDataApi.publish</x:v>
      </x:c>
      <x:c r="D45" s="13" t="str">
        <x:v>UNKNOWN</x:v>
      </x:c>
      <x:c r="E45" s="13" t="str">
        <x:v>frontend/src/features/risk-governance/policyApi.ts:39</x:v>
      </x:c>
      <x:c r="F45" s="13" t="str">
        <x:v>Check dynamic member access, external clients, server and historical compatibility; absence of client reference is insufficient for deletion.</x:v>
      </x:c>
      <x:c r="G45" s="20" t="b">
        <x:v>0</x:v>
      </x:c>
      <x:c r="H45" s="13" t="str">
        <x:v>No retiro autorizado por ausencia de referencia directa</x:v>
      </x:c>
    </x:row>
    <x:row r="46" ht="42" customHeight="1">
      <x:c r="A46" s="14" t="str">
        <x:v>FE-21</x:v>
      </x:c>
      <x:c r="B46" s="6" t="str">
        <x:v>FRONTEND</x:v>
      </x:c>
      <x:c r="C46" s="6" t="str">
        <x:v>basicDataApi.archive</x:v>
      </x:c>
      <x:c r="D46" s="6" t="str">
        <x:v>UNKNOWN</x:v>
      </x:c>
      <x:c r="E46" s="6" t="str">
        <x:v>frontend/src/features/risk-governance/policyApi.ts:45</x:v>
      </x:c>
      <x:c r="F46" s="6" t="str">
        <x:v>Check dynamic member access, external clients, server and historical compatibility; absence of client reference is insufficient for deletion.</x:v>
      </x:c>
      <x:c r="G46" s="19" t="b">
        <x:v>0</x:v>
      </x:c>
      <x:c r="H46" s="6" t="str">
        <x:v>No retiro autorizado por ausencia de referencia directa</x:v>
      </x:c>
    </x:row>
    <x:row r="47" ht="42" customHeight="1">
      <x:c r="A47" s="15" t="str">
        <x:v>FE-22</x:v>
      </x:c>
      <x:c r="B47" s="13" t="str">
        <x:v>FRONTEND</x:v>
      </x:c>
      <x:c r="C47" s="13" t="str">
        <x:v>basicDataApi.preview</x:v>
      </x:c>
      <x:c r="D47" s="13" t="str">
        <x:v>UNKNOWN</x:v>
      </x:c>
      <x:c r="E47" s="13" t="str">
        <x:v>frontend/src/features/risk-governance/policyApi.ts:51</x:v>
      </x:c>
      <x:c r="F47" s="13" t="str">
        <x:v>Check dynamic member access, external clients, server and historical compatibility; absence of client reference is insufficient for deletion.</x:v>
      </x:c>
      <x:c r="G47" s="20" t="b">
        <x:v>0</x:v>
      </x:c>
      <x:c r="H47" s="13" t="str">
        <x:v>No retiro autorizado por ausencia de referencia directa</x:v>
      </x:c>
    </x:row>
    <x:row r="48" ht="42" customHeight="1">
      <x:c r="A48" s="14" t="str">
        <x:v>FE-23</x:v>
      </x:c>
      <x:c r="B48" s="6" t="str">
        <x:v>FRONTEND</x:v>
      </x:c>
      <x:c r="C48" s="6" t="str">
        <x:v>basicDataApi.assessment</x:v>
      </x:c>
      <x:c r="D48" s="6" t="str">
        <x:v>UNKNOWN</x:v>
      </x:c>
      <x:c r="E48" s="6" t="str">
        <x:v>frontend/src/features/basic-data/api.ts:91</x:v>
      </x:c>
      <x:c r="F48" s="6" t="str">
        <x:v>Check dynamic member access, external clients, server and historical compatibility; absence of client reference is insufficient for deletion.</x:v>
      </x:c>
      <x:c r="G48" s="19" t="b">
        <x:v>0</x:v>
      </x:c>
      <x:c r="H48" s="6" t="str">
        <x:v>No retiro autorizado por ausencia de referencia directa</x:v>
      </x:c>
    </x:row>
    <x:row r="49" ht="42" customHeight="1">
      <x:c r="A49" s="15" t="str">
        <x:v>FE-24</x:v>
      </x:c>
      <x:c r="B49" s="13" t="str">
        <x:v>FRONTEND</x:v>
      </x:c>
      <x:c r="C49" s="13" t="str">
        <x:v>businessAnalysisApi.list</x:v>
      </x:c>
      <x:c r="D49" s="13" t="str">
        <x:v>UNKNOWN</x:v>
      </x:c>
      <x:c r="E49" s="13" t="str">
        <x:v>frontend/src/features/business-analysis/api.ts:19</x:v>
      </x:c>
      <x:c r="F49" s="13" t="str">
        <x:v>Check dynamic member access, external clients, server and historical compatibility; absence of client reference is insufficient for deletion.</x:v>
      </x:c>
      <x:c r="G49" s="20" t="b">
        <x:v>0</x:v>
      </x:c>
      <x:c r="H49" s="13" t="str">
        <x:v>No retiro autorizado por ausencia de referencia directa</x:v>
      </x:c>
    </x:row>
    <x:row r="50" ht="42" customHeight="1">
      <x:c r="A50" s="14" t="str">
        <x:v>FE-25</x:v>
      </x:c>
      <x:c r="B50" s="6" t="str">
        <x:v>FRONTEND</x:v>
      </x:c>
      <x:c r="C50" s="6" t="str">
        <x:v>businessAnalysisApi.configurations</x:v>
      </x:c>
      <x:c r="D50" s="6" t="str">
        <x:v>UNKNOWN</x:v>
      </x:c>
      <x:c r="E50" s="6" t="str">
        <x:v>frontend/src/features/business-analysis/api.ts:58</x:v>
      </x:c>
      <x:c r="F50" s="6" t="str">
        <x:v>Check dynamic member access, external clients, server and historical compatibility; absence of client reference is insufficient for deletion.</x:v>
      </x:c>
      <x:c r="G50" s="19" t="b">
        <x:v>0</x:v>
      </x:c>
      <x:c r="H50" s="6" t="str">
        <x:v>No retiro autorizado por ausencia de referencia directa</x:v>
      </x:c>
    </x:row>
    <x:row r="51" ht="42" customHeight="1">
      <x:c r="A51" s="15" t="str">
        <x:v>FE-26</x:v>
      </x:c>
      <x:c r="B51" s="13" t="str">
        <x:v>FRONTEND</x:v>
      </x:c>
      <x:c r="C51" s="13" t="str">
        <x:v>businessAnalysisApi.previewConfiguration</x:v>
      </x:c>
      <x:c r="D51" s="13" t="str">
        <x:v>UNKNOWN</x:v>
      </x:c>
      <x:c r="E51" s="13" t="str">
        <x:v>frontend/src/features/business-analysis/api.ts:60</x:v>
      </x:c>
      <x:c r="F51" s="13" t="str">
        <x:v>Check dynamic member access, external clients, server and historical compatibility; absence of client reference is insufficient for deletion.</x:v>
      </x:c>
      <x:c r="G51" s="20" t="b">
        <x:v>0</x:v>
      </x:c>
      <x:c r="H51" s="13" t="str">
        <x:v>No retiro autorizado por ausencia de referencia directa</x:v>
      </x:c>
    </x:row>
    <x:row r="52" ht="42" customHeight="1">
      <x:c r="A52" s="14" t="str">
        <x:v>FE-27</x:v>
      </x:c>
      <x:c r="B52" s="6" t="str">
        <x:v>FRONTEND</x:v>
      </x:c>
      <x:c r="C52" s="6" t="str">
        <x:v>businessAnalysisApi.cloneConfiguration</x:v>
      </x:c>
      <x:c r="D52" s="6" t="str">
        <x:v>UNKNOWN</x:v>
      </x:c>
      <x:c r="E52" s="6" t="str">
        <x:v>frontend/src/features/business-analysis/api.ts:66</x:v>
      </x:c>
      <x:c r="F52" s="6" t="str">
        <x:v>Check dynamic member access, external clients, server and historical compatibility; absence of client reference is insufficient for deletion.</x:v>
      </x:c>
      <x:c r="G52" s="19" t="b">
        <x:v>0</x:v>
      </x:c>
      <x:c r="H52" s="6" t="str">
        <x:v>No retiro autorizado por ausencia de referencia directa</x:v>
      </x:c>
    </x:row>
    <x:row r="53" ht="42" customHeight="1">
      <x:c r="A53" s="15" t="str">
        <x:v>FE-28</x:v>
      </x:c>
      <x:c r="B53" s="13" t="str">
        <x:v>FRONTEND</x:v>
      </x:c>
      <x:c r="C53" s="13" t="str">
        <x:v>businessAnalysisApi.updateConfiguration</x:v>
      </x:c>
      <x:c r="D53" s="13" t="str">
        <x:v>UNKNOWN</x:v>
      </x:c>
      <x:c r="E53" s="13" t="str">
        <x:v>frontend/src/features/business-analysis/api.ts:72</x:v>
      </x:c>
      <x:c r="F53" s="13" t="str">
        <x:v>Check dynamic member access, external clients, server and historical compatibility; absence of client reference is insufficient for deletion.</x:v>
      </x:c>
      <x:c r="G53" s="20" t="b">
        <x:v>0</x:v>
      </x:c>
      <x:c r="H53" s="13" t="str">
        <x:v>No retiro autorizado por ausencia de referencia directa</x:v>
      </x:c>
    </x:row>
    <x:row r="54" ht="42" customHeight="1">
      <x:c r="A54" s="14" t="str">
        <x:v>FE-29</x:v>
      </x:c>
      <x:c r="B54" s="6" t="str">
        <x:v>FRONTEND</x:v>
      </x:c>
      <x:c r="C54" s="6" t="str">
        <x:v>businessAnalysisApi.publishConfiguration</x:v>
      </x:c>
      <x:c r="D54" s="6" t="str">
        <x:v>UNKNOWN</x:v>
      </x:c>
      <x:c r="E54" s="6" t="str">
        <x:v>frontend/src/features/business-analysis/api.ts:83</x:v>
      </x:c>
      <x:c r="F54" s="6" t="str">
        <x:v>Check dynamic member access, external clients, server and historical compatibility; absence of client reference is insufficient for deletion.</x:v>
      </x:c>
      <x:c r="G54" s="19" t="b">
        <x:v>0</x:v>
      </x:c>
      <x:c r="H54" s="6" t="str">
        <x:v>No retiro autorizado por ausencia de referencia directa</x:v>
      </x:c>
    </x:row>
    <x:row r="55" ht="42" customHeight="1">
      <x:c r="A55" s="15" t="str">
        <x:v>FE-30</x:v>
      </x:c>
      <x:c r="B55" s="13" t="str">
        <x:v>FRONTEND</x:v>
      </x:c>
      <x:c r="C55" s="13" t="str">
        <x:v>strategicAllocationApi.updatePlan</x:v>
      </x:c>
      <x:c r="D55" s="13" t="str">
        <x:v>UNKNOWN</x:v>
      </x:c>
      <x:c r="E55" s="13" t="str">
        <x:v>frontend/src/features/capital-allocation/api.ts:320</x:v>
      </x:c>
      <x:c r="F55" s="13" t="str">
        <x:v>Check dynamic member access, external clients, server and historical compatibility; absence of client reference is insufficient for deletion.</x:v>
      </x:c>
      <x:c r="G55" s="20" t="b">
        <x:v>0</x:v>
      </x:c>
      <x:c r="H55" s="13" t="str">
        <x:v>No retiro autorizado por ausencia de referencia directa</x:v>
      </x:c>
    </x:row>
    <x:row r="56" ht="42" customHeight="1">
      <x:c r="A56" s="14" t="str">
        <x:v>FE-31</x:v>
      </x:c>
      <x:c r="B56" s="6" t="str">
        <x:v>FRONTEND</x:v>
      </x:c>
      <x:c r="C56" s="6" t="str">
        <x:v>capitalPlanningApi.updateCycle</x:v>
      </x:c>
      <x:c r="D56" s="6" t="str">
        <x:v>UNKNOWN</x:v>
      </x:c>
      <x:c r="E56" s="6" t="str">
        <x:v>frontend/src/features/capital-planning/api.ts:100</x:v>
      </x:c>
      <x:c r="F56" s="6" t="str">
        <x:v>Check dynamic member access, external clients, server and historical compatibility; absence of client reference is insufficient for deletion.</x:v>
      </x:c>
      <x:c r="G56" s="19" t="b">
        <x:v>0</x:v>
      </x:c>
      <x:c r="H56" s="6" t="str">
        <x:v>No retiro autorizado por ausencia de referencia directa</x:v>
      </x:c>
    </x:row>
    <x:row r="57" ht="42" customHeight="1">
      <x:c r="A57" s="15" t="str">
        <x:v>FE-32</x:v>
      </x:c>
      <x:c r="B57" s="13" t="str">
        <x:v>FRONTEND</x:v>
      </x:c>
      <x:c r="C57" s="13" t="str">
        <x:v>capitalPlanningApi.cycleSummary</x:v>
      </x:c>
      <x:c r="D57" s="13" t="str">
        <x:v>UNKNOWN</x:v>
      </x:c>
      <x:c r="E57" s="13" t="str">
        <x:v>frontend/src/features/capital-planning/api.ts:125</x:v>
      </x:c>
      <x:c r="F57" s="13" t="str">
        <x:v>Check dynamic member access, external clients, server and historical compatibility; absence of client reference is insufficient for deletion.</x:v>
      </x:c>
      <x:c r="G57" s="20" t="b">
        <x:v>0</x:v>
      </x:c>
      <x:c r="H57" s="13" t="str">
        <x:v>No retiro autorizado por ausencia de referencia directa</x:v>
      </x:c>
    </x:row>
    <x:row r="58" ht="42" customHeight="1">
      <x:c r="A58" s="14" t="str">
        <x:v>FE-33</x:v>
      </x:c>
      <x:c r="B58" s="6" t="str">
        <x:v>FRONTEND</x:v>
      </x:c>
      <x:c r="C58" s="6" t="str">
        <x:v>commercialStrategyApi.detail</x:v>
      </x:c>
      <x:c r="D58" s="6" t="str">
        <x:v>UNKNOWN</x:v>
      </x:c>
      <x:c r="E58" s="6" t="str">
        <x:v>frontend/src/features/commercial-strategy/api.ts:65</x:v>
      </x:c>
      <x:c r="F58" s="6" t="str">
        <x:v>Check dynamic member access, external clients, server and historical compatibility; absence of client reference is insufficient for deletion.</x:v>
      </x:c>
      <x:c r="G58" s="19" t="b">
        <x:v>0</x:v>
      </x:c>
      <x:c r="H58" s="6" t="str">
        <x:v>No retiro autorizado por ausencia de referencia directa</x:v>
      </x:c>
    </x:row>
    <x:row r="59" ht="42" customHeight="1">
      <x:c r="A59" s="15" t="str">
        <x:v>FE-34</x:v>
      </x:c>
      <x:c r="B59" s="13" t="str">
        <x:v>FRONTEND</x:v>
      </x:c>
      <x:c r="C59" s="13" t="str">
        <x:v>commercialStrategyApi.byProject</x:v>
      </x:c>
      <x:c r="D59" s="13" t="str">
        <x:v>UNKNOWN</x:v>
      </x:c>
      <x:c r="E59" s="13" t="str">
        <x:v>frontend/src/features/commercial-strategy/api.ts:67</x:v>
      </x:c>
      <x:c r="F59" s="13" t="str">
        <x:v>Check dynamic member access, external clients, server and historical compatibility; absence of client reference is insufficient for deletion.</x:v>
      </x:c>
      <x:c r="G59" s="20" t="b">
        <x:v>0</x:v>
      </x:c>
      <x:c r="H59" s="13" t="str">
        <x:v>No retiro autorizado por ausencia de referencia directa</x:v>
      </x:c>
    </x:row>
    <x:row r="60" ht="42" customHeight="1">
      <x:c r="A60" s="14" t="str">
        <x:v>FE-35</x:v>
      </x:c>
      <x:c r="B60" s="6" t="str">
        <x:v>FRONTEND</x:v>
      </x:c>
      <x:c r="C60" s="6" t="str">
        <x:v>commercialStrategyApi.providerEvidence</x:v>
      </x:c>
      <x:c r="D60" s="6" t="str">
        <x:v>UNKNOWN</x:v>
      </x:c>
      <x:c r="E60" s="6" t="str">
        <x:v>frontend/src/features/commercial-strategy/api.ts:130</x:v>
      </x:c>
      <x:c r="F60" s="6" t="str">
        <x:v>Check dynamic member access, external clients, server and historical compatibility; absence of client reference is insufficient for deletion.</x:v>
      </x:c>
      <x:c r="G60" s="19" t="b">
        <x:v>0</x:v>
      </x:c>
      <x:c r="H60" s="6" t="str">
        <x:v>No retiro autorizado por ausencia de referencia directa</x:v>
      </x:c>
    </x:row>
    <x:row r="61" ht="42" customHeight="1">
      <x:c r="A61" s="15" t="str">
        <x:v>FE-36</x:v>
      </x:c>
      <x:c r="B61" s="13" t="str">
        <x:v>FRONTEND</x:v>
      </x:c>
      <x:c r="C61" s="13" t="str">
        <x:v>enterpriseStructureApi.previewProjectGovernancePolicy</x:v>
      </x:c>
      <x:c r="D61" s="13" t="str">
        <x:v>UNKNOWN</x:v>
      </x:c>
      <x:c r="E61" s="13" t="str">
        <x:v>frontend/src/features/enterprise-structure/api/index.ts:172</x:v>
      </x:c>
      <x:c r="F61" s="13" t="str">
        <x:v>Check dynamic member access, external clients, server and historical compatibility; absence of client reference is insufficient for deletion.</x:v>
      </x:c>
      <x:c r="G61" s="20" t="b">
        <x:v>0</x:v>
      </x:c>
      <x:c r="H61" s="13" t="str">
        <x:v>No retiro autorizado por ausencia de referencia directa</x:v>
      </x:c>
    </x:row>
    <x:row r="62" ht="42" customHeight="1">
      <x:c r="A62" s="14" t="str">
        <x:v>FE-37</x:v>
      </x:c>
      <x:c r="B62" s="6" t="str">
        <x:v>FRONTEND</x:v>
      </x:c>
      <x:c r="C62" s="6" t="str">
        <x:v>enterpriseStructureApi.coreRevision</x:v>
      </x:c>
      <x:c r="D62" s="6" t="str">
        <x:v>UNKNOWN</x:v>
      </x:c>
      <x:c r="E62" s="6" t="str">
        <x:v>frontend/src/features/enterprise-structure/api/index.ts:286</x:v>
      </x:c>
      <x:c r="F62" s="6" t="str">
        <x:v>Check dynamic member access, external clients, server and historical compatibility; absence of client reference is insufficient for deletion.</x:v>
      </x:c>
      <x:c r="G62" s="19" t="b">
        <x:v>0</x:v>
      </x:c>
      <x:c r="H62" s="6" t="str">
        <x:v>No retiro autorizado por ausencia de referencia directa</x:v>
      </x:c>
    </x:row>
    <x:row r="63" ht="42" customHeight="1">
      <x:c r="A63" s="15" t="str">
        <x:v>FE-38</x:v>
      </x:c>
      <x:c r="B63" s="13" t="str">
        <x:v>FRONTEND</x:v>
      </x:c>
      <x:c r="C63" s="13" t="str">
        <x:v>enterpriseStructureApi.updateCoreRevision</x:v>
      </x:c>
      <x:c r="D63" s="13" t="str">
        <x:v>UNKNOWN</x:v>
      </x:c>
      <x:c r="E63" s="13" t="str">
        <x:v>frontend/src/features/enterprise-structure/api/index.ts:289</x:v>
      </x:c>
      <x:c r="F63" s="13" t="str">
        <x:v>Check dynamic member access, external clients, server and historical compatibility; absence of client reference is insufficient for deletion.</x:v>
      </x:c>
      <x:c r="G63" s="20" t="b">
        <x:v>0</x:v>
      </x:c>
      <x:c r="H63" s="13" t="str">
        <x:v>No retiro autorizado por ausencia de referencia directa</x:v>
      </x:c>
    </x:row>
    <x:row r="64" ht="42" customHeight="1">
      <x:c r="A64" s="14" t="str">
        <x:v>FE-39</x:v>
      </x:c>
      <x:c r="B64" s="6" t="str">
        <x:v>FRONTEND</x:v>
      </x:c>
      <x:c r="C64" s="6" t="str">
        <x:v>enterpriseStructureApi.createProjectRequest</x:v>
      </x:c>
      <x:c r="D64" s="6" t="str">
        <x:v>UNKNOWN</x:v>
      </x:c>
      <x:c r="E64" s="6" t="str">
        <x:v>frontend/src/features/enterprise-structure/api/index.ts:424</x:v>
      </x:c>
      <x:c r="F64" s="6" t="str">
        <x:v>Check dynamic member access, external clients, server and historical compatibility; absence of client reference is insufficient for deletion.</x:v>
      </x:c>
      <x:c r="G64" s="19" t="b">
        <x:v>0</x:v>
      </x:c>
      <x:c r="H64" s="6" t="str">
        <x:v>No retiro autorizado por ausencia de referencia directa</x:v>
      </x:c>
    </x:row>
    <x:row r="65" ht="42" customHeight="1">
      <x:c r="A65" s="15" t="str">
        <x:v>FE-40</x:v>
      </x:c>
      <x:c r="B65" s="13" t="str">
        <x:v>FRONTEND</x:v>
      </x:c>
      <x:c r="C65" s="13" t="str">
        <x:v>enterpriseStructureApi.updateProjectRequest</x:v>
      </x:c>
      <x:c r="D65" s="13" t="str">
        <x:v>UNKNOWN</x:v>
      </x:c>
      <x:c r="E65" s="13" t="str">
        <x:v>frontend/src/features/enterprise-structure/api/index.ts:447</x:v>
      </x:c>
      <x:c r="F65" s="13" t="str">
        <x:v>Check dynamic member access, external clients, server and historical compatibility; absence of client reference is insufficient for deletion.</x:v>
      </x:c>
      <x:c r="G65" s="20" t="b">
        <x:v>0</x:v>
      </x:c>
      <x:c r="H65" s="13" t="str">
        <x:v>No retiro autorizado por ausencia de referencia directa</x:v>
      </x:c>
    </x:row>
    <x:row r="66" ht="42" customHeight="1">
      <x:c r="A66" s="14" t="str">
        <x:v>FE-41</x:v>
      </x:c>
      <x:c r="B66" s="6" t="str">
        <x:v>FRONTEND</x:v>
      </x:c>
      <x:c r="C66" s="6" t="str">
        <x:v>ideaDemandApi.update</x:v>
      </x:c>
      <x:c r="D66" s="6" t="str">
        <x:v>UNKNOWN</x:v>
      </x:c>
      <x:c r="E66" s="6" t="str">
        <x:v>frontend/src/features/idea-demand/api.ts:13</x:v>
      </x:c>
      <x:c r="F66" s="6" t="str">
        <x:v>Check dynamic member access, external clients, server and historical compatibility; absence of client reference is insufficient for deletion.</x:v>
      </x:c>
      <x:c r="G66" s="19" t="b">
        <x:v>0</x:v>
      </x:c>
      <x:c r="H66" s="6" t="str">
        <x:v>No retiro autorizado por ausencia de referencia directa</x:v>
      </x:c>
    </x:row>
    <x:row r="67" ht="42" customHeight="1">
      <x:c r="A67" s="15" t="str">
        <x:v>FE-42</x:v>
      </x:c>
      <x:c r="B67" s="13" t="str">
        <x:v>FRONTEND</x:v>
      </x:c>
      <x:c r="C67" s="13" t="str">
        <x:v>ideaDemandApi.previewConfiguration</x:v>
      </x:c>
      <x:c r="D67" s="13" t="str">
        <x:v>UNKNOWN</x:v>
      </x:c>
      <x:c r="E67" s="13" t="str">
        <x:v>frontend/src/features/idea-demand/api.ts:29</x:v>
      </x:c>
      <x:c r="F67" s="13" t="str">
        <x:v>Check dynamic member access, external clients, server and historical compatibility; absence of client reference is insufficient for deletion.</x:v>
      </x:c>
      <x:c r="G67" s="20" t="b">
        <x:v>0</x:v>
      </x:c>
      <x:c r="H67" s="13" t="str">
        <x:v>No retiro autorizado por ausencia de referencia directa</x:v>
      </x:c>
    </x:row>
    <x:row r="68" ht="42" customHeight="1">
      <x:c r="A68" s="14" t="str">
        <x:v>FE-43</x:v>
      </x:c>
      <x:c r="B68" s="6" t="str">
        <x:v>FRONTEND</x:v>
      </x:c>
      <x:c r="C68" s="6" t="str">
        <x:v>ownerCapabilityApi.configurations</x:v>
      </x:c>
      <x:c r="D68" s="6" t="str">
        <x:v>UNKNOWN</x:v>
      </x:c>
      <x:c r="E68" s="6" t="str">
        <x:v>frontend/src/features/risk-governance/policyApi.ts:24</x:v>
      </x:c>
      <x:c r="F68" s="6" t="str">
        <x:v>Check dynamic member access, external clients, server and historical compatibility; absence of client reference is insufficient for deletion.</x:v>
      </x:c>
      <x:c r="G68" s="19" t="b">
        <x:v>0</x:v>
      </x:c>
      <x:c r="H68" s="6" t="str">
        <x:v>No retiro autorizado por ausencia de referencia directa</x:v>
      </x:c>
    </x:row>
    <x:row r="69" ht="42" customHeight="1">
      <x:c r="A69" s="15" t="str">
        <x:v>FE-44</x:v>
      </x:c>
      <x:c r="B69" s="13" t="str">
        <x:v>FRONTEND</x:v>
      </x:c>
      <x:c r="C69" s="13" t="str">
        <x:v>ownerCapabilityApi.clone</x:v>
      </x:c>
      <x:c r="D69" s="13" t="str">
        <x:v>UNKNOWN</x:v>
      </x:c>
      <x:c r="E69" s="13" t="str">
        <x:v>frontend/src/features/risk-governance/policyApi.ts:25</x:v>
      </x:c>
      <x:c r="F69" s="13" t="str">
        <x:v>Check dynamic member access, external clients, server and historical compatibility; absence of client reference is insufficient for deletion.</x:v>
      </x:c>
      <x:c r="G69" s="20" t="b">
        <x:v>0</x:v>
      </x:c>
      <x:c r="H69" s="13" t="str">
        <x:v>No retiro autorizado por ausencia de referencia directa</x:v>
      </x:c>
    </x:row>
    <x:row r="70" ht="42" customHeight="1">
      <x:c r="A70" s="14" t="str">
        <x:v>FE-45</x:v>
      </x:c>
      <x:c r="B70" s="6" t="str">
        <x:v>FRONTEND</x:v>
      </x:c>
      <x:c r="C70" s="6" t="str">
        <x:v>ownerCapabilityApi.update</x:v>
      </x:c>
      <x:c r="D70" s="6" t="str">
        <x:v>UNKNOWN</x:v>
      </x:c>
      <x:c r="E70" s="6" t="str">
        <x:v>frontend/src/features/risk-governance/policyApi.ts:32</x:v>
      </x:c>
      <x:c r="F70" s="6" t="str">
        <x:v>Check dynamic member access, external clients, server and historical compatibility; absence of client reference is insufficient for deletion.</x:v>
      </x:c>
      <x:c r="G70" s="19" t="b">
        <x:v>0</x:v>
      </x:c>
      <x:c r="H70" s="6" t="str">
        <x:v>No retiro autorizado por ausencia de referencia directa</x:v>
      </x:c>
    </x:row>
    <x:row r="71" ht="42" customHeight="1">
      <x:c r="A71" s="15" t="str">
        <x:v>FE-46</x:v>
      </x:c>
      <x:c r="B71" s="13" t="str">
        <x:v>FRONTEND</x:v>
      </x:c>
      <x:c r="C71" s="13" t="str">
        <x:v>ownerCapabilityApi.publish</x:v>
      </x:c>
      <x:c r="D71" s="13" t="str">
        <x:v>UNKNOWN</x:v>
      </x:c>
      <x:c r="E71" s="13" t="str">
        <x:v>frontend/src/features/risk-governance/policyApi.ts:39</x:v>
      </x:c>
      <x:c r="F71" s="13" t="str">
        <x:v>Check dynamic member access, external clients, server and historical compatibility; absence of client reference is insufficient for deletion.</x:v>
      </x:c>
      <x:c r="G71" s="20" t="b">
        <x:v>0</x:v>
      </x:c>
      <x:c r="H71" s="13" t="str">
        <x:v>No retiro autorizado por ausencia de referencia directa</x:v>
      </x:c>
    </x:row>
    <x:row r="72" ht="42" customHeight="1">
      <x:c r="A72" s="14" t="str">
        <x:v>FE-47</x:v>
      </x:c>
      <x:c r="B72" s="6" t="str">
        <x:v>FRONTEND</x:v>
      </x:c>
      <x:c r="C72" s="6" t="str">
        <x:v>ownerCapabilityApi.archive</x:v>
      </x:c>
      <x:c r="D72" s="6" t="str">
        <x:v>UNKNOWN</x:v>
      </x:c>
      <x:c r="E72" s="6" t="str">
        <x:v>frontend/src/features/risk-governance/policyApi.ts:45</x:v>
      </x:c>
      <x:c r="F72" s="6" t="str">
        <x:v>Check dynamic member access, external clients, server and historical compatibility; absence of client reference is insufficient for deletion.</x:v>
      </x:c>
      <x:c r="G72" s="19" t="b">
        <x:v>0</x:v>
      </x:c>
      <x:c r="H72" s="6" t="str">
        <x:v>No retiro autorizado por ausencia de referencia directa</x:v>
      </x:c>
    </x:row>
    <x:row r="73" ht="42" customHeight="1">
      <x:c r="A73" s="15" t="str">
        <x:v>FE-48</x:v>
      </x:c>
      <x:c r="B73" s="13" t="str">
        <x:v>FRONTEND</x:v>
      </x:c>
      <x:c r="C73" s="13" t="str">
        <x:v>ownerCapabilityApi.preview</x:v>
      </x:c>
      <x:c r="D73" s="13" t="str">
        <x:v>UNKNOWN</x:v>
      </x:c>
      <x:c r="E73" s="13" t="str">
        <x:v>frontend/src/features/risk-governance/policyApi.ts:51</x:v>
      </x:c>
      <x:c r="F73" s="13" t="str">
        <x:v>Check dynamic member access, external clients, server and historical compatibility; absence of client reference is insufficient for deletion.</x:v>
      </x:c>
      <x:c r="G73" s="20" t="b">
        <x:v>0</x:v>
      </x:c>
      <x:c r="H73" s="13" t="str">
        <x:v>No retiro autorizado por ausencia de referencia directa</x:v>
      </x:c>
    </x:row>
    <x:row r="74" ht="42" customHeight="1">
      <x:c r="A74" s="14" t="str">
        <x:v>FE-49</x:v>
      </x:c>
      <x:c r="B74" s="6" t="str">
        <x:v>FRONTEND</x:v>
      </x:c>
      <x:c r="C74" s="6" t="str">
        <x:v>ownerCapabilityApi.assessment</x:v>
      </x:c>
      <x:c r="D74" s="6" t="str">
        <x:v>UNKNOWN</x:v>
      </x:c>
      <x:c r="E74" s="6" t="str">
        <x:v>frontend/src/features/owner-capability/api.ts:51</x:v>
      </x:c>
      <x:c r="F74" s="6" t="str">
        <x:v>Check dynamic member access, external clients, server and historical compatibility; absence of client reference is insufficient for deletion.</x:v>
      </x:c>
      <x:c r="G74" s="19" t="b">
        <x:v>0</x:v>
      </x:c>
      <x:c r="H74" s="6" t="str">
        <x:v>No retiro autorizado por ausencia de referencia directa</x:v>
      </x:c>
    </x:row>
    <x:row r="75" ht="42" customHeight="1">
      <x:c r="A75" s="15" t="str">
        <x:v>FE-50</x:v>
      </x:c>
      <x:c r="B75" s="13" t="str">
        <x:v>FRONTEND</x:v>
      </x:c>
      <x:c r="C75" s="13" t="str">
        <x:v>permitReadinessApi.overview</x:v>
      </x:c>
      <x:c r="D75" s="13" t="str">
        <x:v>UNKNOWN</x:v>
      </x:c>
      <x:c r="E75" s="13" t="str">
        <x:v>frontend/src/features/permit-readiness/api.ts:14</x:v>
      </x:c>
      <x:c r="F75" s="13" t="str">
        <x:v>Check dynamic member access, external clients, server and historical compatibility; absence of client reference is insufficient for deletion.</x:v>
      </x:c>
      <x:c r="G75" s="20" t="b">
        <x:v>0</x:v>
      </x:c>
      <x:c r="H75" s="13" t="str">
        <x:v>No retiro autorizado por ausencia de referencia directa</x:v>
      </x:c>
    </x:row>
    <x:row r="76" ht="42" customHeight="1">
      <x:c r="A76" s="14" t="str">
        <x:v>FE-51</x:v>
      </x:c>
      <x:c r="B76" s="6" t="str">
        <x:v>FRONTEND</x:v>
      </x:c>
      <x:c r="C76" s="6" t="str">
        <x:v>permitReadinessApi.changeStatus</x:v>
      </x:c>
      <x:c r="D76" s="6" t="str">
        <x:v>UNKNOWN</x:v>
      </x:c>
      <x:c r="E76" s="6" t="str">
        <x:v>frontend/src/features/permit-readiness/api.ts:23</x:v>
      </x:c>
      <x:c r="F76" s="6" t="str">
        <x:v>Check dynamic member access, external clients, server and historical compatibility; absence of client reference is insufficient for deletion.</x:v>
      </x:c>
      <x:c r="G76" s="19" t="b">
        <x:v>0</x:v>
      </x:c>
      <x:c r="H76" s="6" t="str">
        <x:v>No retiro autorizado por ausencia de referencia directa</x:v>
      </x:c>
    </x:row>
    <x:row r="77" ht="42" customHeight="1">
      <x:c r="A77" s="15" t="str">
        <x:v>FE-52</x:v>
      </x:c>
      <x:c r="B77" s="13" t="str">
        <x:v>FRONTEND</x:v>
      </x:c>
      <x:c r="C77" s="13" t="str">
        <x:v>permitReadinessApi.createCondition</x:v>
      </x:c>
      <x:c r="D77" s="13" t="str">
        <x:v>UNKNOWN</x:v>
      </x:c>
      <x:c r="E77" s="13" t="str">
        <x:v>frontend/src/features/permit-readiness/api.ts:32</x:v>
      </x:c>
      <x:c r="F77" s="13" t="str">
        <x:v>Check dynamic member access, external clients, server and historical compatibility; absence of client reference is insufficient for deletion.</x:v>
      </x:c>
      <x:c r="G77" s="20" t="b">
        <x:v>0</x:v>
      </x:c>
      <x:c r="H77" s="13" t="str">
        <x:v>No retiro autorizado por ausencia de referencia directa</x:v>
      </x:c>
    </x:row>
    <x:row r="78" ht="42" customHeight="1">
      <x:c r="A78" s="14" t="str">
        <x:v>FE-53</x:v>
      </x:c>
      <x:c r="B78" s="6" t="str">
        <x:v>FRONTEND</x:v>
      </x:c>
      <x:c r="C78" s="6" t="str">
        <x:v>portfolioAnalysisApi.preview</x:v>
      </x:c>
      <x:c r="D78" s="6" t="str">
        <x:v>UNKNOWN</x:v>
      </x:c>
      <x:c r="E78" s="6" t="str">
        <x:v>frontend/src/features/portfolio-analysis/api.ts:18</x:v>
      </x:c>
      <x:c r="F78" s="6" t="str">
        <x:v>Check dynamic member access, external clients, server and historical compatibility; absence of client reference is insufficient for deletion.</x:v>
      </x:c>
      <x:c r="G78" s="19" t="b">
        <x:v>0</x:v>
      </x:c>
      <x:c r="H78" s="6" t="str">
        <x:v>No retiro autorizado por ausencia de referencia directa</x:v>
      </x:c>
    </x:row>
    <x:row r="79" ht="42" customHeight="1">
      <x:c r="A79" s="15" t="str">
        <x:v>FE-54</x:v>
      </x:c>
      <x:c r="B79" s="13" t="str">
        <x:v>FRONTEND</x:v>
      </x:c>
      <x:c r="C79" s="13" t="str">
        <x:v>portfolioEvaluationApi.get</x:v>
      </x:c>
      <x:c r="D79" s="13" t="str">
        <x:v>UNKNOWN</x:v>
      </x:c>
      <x:c r="E79" s="13" t="str">
        <x:v>frontend/src/features/portfolio-evaluation/api.ts:26</x:v>
      </x:c>
      <x:c r="F79" s="13" t="str">
        <x:v>Check dynamic member access, external clients, server and historical compatibility; absence of client reference is insufficient for deletion.</x:v>
      </x:c>
      <x:c r="G79" s="20" t="b">
        <x:v>0</x:v>
      </x:c>
      <x:c r="H79" s="13" t="str">
        <x:v>No retiro autorizado por ausencia de referencia directa</x:v>
      </x:c>
    </x:row>
    <x:row r="80" ht="42" customHeight="1">
      <x:c r="A80" s="14" t="str">
        <x:v>FE-55</x:v>
      </x:c>
      <x:c r="B80" s="6" t="str">
        <x:v>FRONTEND</x:v>
      </x:c>
      <x:c r="C80" s="6" t="str">
        <x:v>portfolioPlanningApi.portfolioEvaluationReadiness</x:v>
      </x:c>
      <x:c r="D80" s="6" t="str">
        <x:v>UNKNOWN</x:v>
      </x:c>
      <x:c r="E80" s="6" t="str">
        <x:v>frontend/src/features/portfolio-planning/api.ts:42</x:v>
      </x:c>
      <x:c r="F80" s="6" t="str">
        <x:v>Check dynamic member access, external clients, server and historical compatibility; absence of client reference is insufficient for deletion.</x:v>
      </x:c>
      <x:c r="G80" s="19" t="b">
        <x:v>0</x:v>
      </x:c>
      <x:c r="H80" s="6" t="str">
        <x:v>No retiro autorizado por ausencia de referencia directa</x:v>
      </x:c>
    </x:row>
    <x:row r="81" ht="42" customHeight="1">
      <x:c r="A81" s="15" t="str">
        <x:v>FE-56</x:v>
      </x:c>
      <x:c r="B81" s="13" t="str">
        <x:v>FRONTEND</x:v>
      </x:c>
      <x:c r="C81" s="13" t="str">
        <x:v>portfolioPlanningApi.projectDefinitionReadiness</x:v>
      </x:c>
      <x:c r="D81" s="13" t="str">
        <x:v>UNKNOWN</x:v>
      </x:c>
      <x:c r="E81" s="13" t="str">
        <x:v>frontend/src/features/portfolio-planning/api.ts:44</x:v>
      </x:c>
      <x:c r="F81" s="13" t="str">
        <x:v>Check dynamic member access, external clients, server and historical compatibility; absence of client reference is insufficient for deletion.</x:v>
      </x:c>
      <x:c r="G81" s="20" t="b">
        <x:v>0</x:v>
      </x:c>
      <x:c r="H81" s="13" t="str">
        <x:v>No retiro autorizado por ausencia de referencia directa</x:v>
      </x:c>
    </x:row>
    <x:row r="82" ht="42" customHeight="1">
      <x:c r="A82" s="14" t="str">
        <x:v>FE-57</x:v>
      </x:c>
      <x:c r="B82" s="6" t="str">
        <x:v>FRONTEND</x:v>
      </x:c>
      <x:c r="C82" s="6" t="str">
        <x:v>postFIDGovernanceApi.get</x:v>
      </x:c>
      <x:c r="D82" s="6" t="str">
        <x:v>UNKNOWN</x:v>
      </x:c>
      <x:c r="E82" s="6" t="str">
        <x:v>frontend/src/features/post-fid-governance/api.ts:8</x:v>
      </x:c>
      <x:c r="F82" s="6" t="str">
        <x:v>Check dynamic member access, external clients, server and historical compatibility; absence of client reference is insufficient for deletion.</x:v>
      </x:c>
      <x:c r="G82" s="19" t="b">
        <x:v>0</x:v>
      </x:c>
      <x:c r="H82" s="6" t="str">
        <x:v>No retiro autorizado por ausencia de referencia directa</x:v>
      </x:c>
    </x:row>
    <x:row r="83" ht="42" customHeight="1">
      <x:c r="A83" s="15" t="str">
        <x:v>FE-58</x:v>
      </x:c>
      <x:c r="B83" s="13" t="str">
        <x:v>FRONTEND</x:v>
      </x:c>
      <x:c r="C83" s="13" t="str">
        <x:v>projectProposalApi.get</x:v>
      </x:c>
      <x:c r="D83" s="13" t="str">
        <x:v>UNKNOWN</x:v>
      </x:c>
      <x:c r="E83" s="13" t="str">
        <x:v>frontend/src/features/project-proposal/api.ts:10</x:v>
      </x:c>
      <x:c r="F83" s="13" t="str">
        <x:v>Check dynamic member access, external clients, server and historical compatibility; absence of client reference is insufficient for deletion.</x:v>
      </x:c>
      <x:c r="G83" s="20" t="b">
        <x:v>0</x:v>
      </x:c>
      <x:c r="H83" s="13" t="str">
        <x:v>No retiro autorizado por ausencia de referencia directa</x:v>
      </x:c>
    </x:row>
    <x:row r="84" ht="42" customHeight="1">
      <x:c r="A84" s="14" t="str">
        <x:v>FE-59</x:v>
      </x:c>
      <x:c r="B84" s="6" t="str">
        <x:v>FRONTEND</x:v>
      </x:c>
      <x:c r="C84" s="6" t="str">
        <x:v>projectProposalApi.previewConfiguration</x:v>
      </x:c>
      <x:c r="D84" s="6" t="str">
        <x:v>UNKNOWN</x:v>
      </x:c>
      <x:c r="E84" s="6" t="str">
        <x:v>frontend/src/features/project-proposal/api.ts:48</x:v>
      </x:c>
      <x:c r="F84" s="6" t="str">
        <x:v>Check dynamic member access, external clients, server and historical compatibility; absence of client reference is insufficient for deletion.</x:v>
      </x:c>
      <x:c r="G84" s="19" t="b">
        <x:v>0</x:v>
      </x:c>
      <x:c r="H84" s="6" t="str">
        <x:v>No retiro autorizado por ausencia de referencia directa</x:v>
      </x:c>
    </x:row>
    <x:row r="85" ht="42" customHeight="1">
      <x:c r="A85" s="15" t="str">
        <x:v>FE-60</x:v>
      </x:c>
      <x:c r="B85" s="13" t="str">
        <x:v>FRONTEND</x:v>
      </x:c>
      <x:c r="C85" s="13" t="str">
        <x:v>qraFoundationApi.configurations</x:v>
      </x:c>
      <x:c r="D85" s="13" t="str">
        <x:v>UNKNOWN</x:v>
      </x:c>
      <x:c r="E85" s="13" t="str">
        <x:v>frontend/src/features/risk-governance/policyApi.ts:24</x:v>
      </x:c>
      <x:c r="F85" s="13" t="str">
        <x:v>Check dynamic member access, external clients, server and historical compatibility; absence of client reference is insufficient for deletion.</x:v>
      </x:c>
      <x:c r="G85" s="20" t="b">
        <x:v>0</x:v>
      </x:c>
      <x:c r="H85" s="13" t="str">
        <x:v>No retiro autorizado por ausencia de referencia directa</x:v>
      </x:c>
    </x:row>
    <x:row r="86" ht="42" customHeight="1">
      <x:c r="A86" s="14" t="str">
        <x:v>FE-61</x:v>
      </x:c>
      <x:c r="B86" s="6" t="str">
        <x:v>FRONTEND</x:v>
      </x:c>
      <x:c r="C86" s="6" t="str">
        <x:v>qraFoundationApi.clone</x:v>
      </x:c>
      <x:c r="D86" s="6" t="str">
        <x:v>UNKNOWN</x:v>
      </x:c>
      <x:c r="E86" s="6" t="str">
        <x:v>frontend/src/features/risk-governance/policyApi.ts:25</x:v>
      </x:c>
      <x:c r="F86" s="6" t="str">
        <x:v>Check dynamic member access, external clients, server and historical compatibility; absence of client reference is insufficient for deletion.</x:v>
      </x:c>
      <x:c r="G86" s="19" t="b">
        <x:v>0</x:v>
      </x:c>
      <x:c r="H86" s="6" t="str">
        <x:v>No retiro autorizado por ausencia de referencia directa</x:v>
      </x:c>
    </x:row>
    <x:row r="87" ht="42" customHeight="1">
      <x:c r="A87" s="15" t="str">
        <x:v>FE-62</x:v>
      </x:c>
      <x:c r="B87" s="13" t="str">
        <x:v>FRONTEND</x:v>
      </x:c>
      <x:c r="C87" s="13" t="str">
        <x:v>qraFoundationApi.publish</x:v>
      </x:c>
      <x:c r="D87" s="13" t="str">
        <x:v>UNKNOWN</x:v>
      </x:c>
      <x:c r="E87" s="13" t="str">
        <x:v>frontend/src/features/risk-governance/policyApi.ts:39</x:v>
      </x:c>
      <x:c r="F87" s="13" t="str">
        <x:v>Check dynamic member access, external clients, server and historical compatibility; absence of client reference is insufficient for deletion.</x:v>
      </x:c>
      <x:c r="G87" s="20" t="b">
        <x:v>0</x:v>
      </x:c>
      <x:c r="H87" s="13" t="str">
        <x:v>No retiro autorizado por ausencia de referencia directa</x:v>
      </x:c>
    </x:row>
    <x:row r="88" ht="42" customHeight="1">
      <x:c r="A88" s="14" t="str">
        <x:v>FE-63</x:v>
      </x:c>
      <x:c r="B88" s="6" t="str">
        <x:v>FRONTEND</x:v>
      </x:c>
      <x:c r="C88" s="6" t="str">
        <x:v>qraFoundationApi.archive</x:v>
      </x:c>
      <x:c r="D88" s="6" t="str">
        <x:v>UNKNOWN</x:v>
      </x:c>
      <x:c r="E88" s="6" t="str">
        <x:v>frontend/src/features/risk-governance/policyApi.ts:45</x:v>
      </x:c>
      <x:c r="F88" s="6" t="str">
        <x:v>Check dynamic member access, external clients, server and historical compatibility; absence of client reference is insufficient for deletion.</x:v>
      </x:c>
      <x:c r="G88" s="19" t="b">
        <x:v>0</x:v>
      </x:c>
      <x:c r="H88" s="6" t="str">
        <x:v>No retiro autorizado por ausencia de referencia directa</x:v>
      </x:c>
    </x:row>
    <x:row r="89" ht="42" customHeight="1">
      <x:c r="A89" s="15" t="str">
        <x:v>FE-64</x:v>
      </x:c>
      <x:c r="B89" s="13" t="str">
        <x:v>FRONTEND</x:v>
      </x:c>
      <x:c r="C89" s="13" t="str">
        <x:v>qraFoundationApi.preview</x:v>
      </x:c>
      <x:c r="D89" s="13" t="str">
        <x:v>UNKNOWN</x:v>
      </x:c>
      <x:c r="E89" s="13" t="str">
        <x:v>frontend/src/features/risk-governance/policyApi.ts:51</x:v>
      </x:c>
      <x:c r="F89" s="13" t="str">
        <x:v>Check dynamic member access, external clients, server and historical compatibility; absence of client reference is insufficient for deletion.</x:v>
      </x:c>
      <x:c r="G89" s="20" t="b">
        <x:v>0</x:v>
      </x:c>
      <x:c r="H89" s="13" t="str">
        <x:v>No retiro autorizado por ausencia de referencia directa</x:v>
      </x:c>
    </x:row>
    <x:row r="90" ht="42" customHeight="1">
      <x:c r="A90" s="14" t="str">
        <x:v>FE-65</x:v>
      </x:c>
      <x:c r="B90" s="6" t="str">
        <x:v>FRONTEND</x:v>
      </x:c>
      <x:c r="C90" s="6" t="str">
        <x:v>riskGovernanceApi.configurations</x:v>
      </x:c>
      <x:c r="D90" s="6" t="str">
        <x:v>UNKNOWN</x:v>
      </x:c>
      <x:c r="E90" s="6" t="str">
        <x:v>frontend/src/features/risk-governance/policyApi.ts:24</x:v>
      </x:c>
      <x:c r="F90" s="6" t="str">
        <x:v>Check dynamic member access, external clients, server and historical compatibility; absence of client reference is insufficient for deletion.</x:v>
      </x:c>
      <x:c r="G90" s="19" t="b">
        <x:v>0</x:v>
      </x:c>
      <x:c r="H90" s="6" t="str">
        <x:v>No retiro autorizado por ausencia de referencia directa</x:v>
      </x:c>
    </x:row>
    <x:row r="91" ht="42" customHeight="1">
      <x:c r="A91" s="15" t="str">
        <x:v>FE-66</x:v>
      </x:c>
      <x:c r="B91" s="13" t="str">
        <x:v>FRONTEND</x:v>
      </x:c>
      <x:c r="C91" s="13" t="str">
        <x:v>riskGovernanceApi.clone</x:v>
      </x:c>
      <x:c r="D91" s="13" t="str">
        <x:v>UNKNOWN</x:v>
      </x:c>
      <x:c r="E91" s="13" t="str">
        <x:v>frontend/src/features/risk-governance/policyApi.ts:25</x:v>
      </x:c>
      <x:c r="F91" s="13" t="str">
        <x:v>Check dynamic member access, external clients, server and historical compatibility; absence of client reference is insufficient for deletion.</x:v>
      </x:c>
      <x:c r="G91" s="20" t="b">
        <x:v>0</x:v>
      </x:c>
      <x:c r="H91" s="13" t="str">
        <x:v>No retiro autorizado por ausencia de referencia directa</x:v>
      </x:c>
    </x:row>
    <x:row r="92" ht="42" customHeight="1">
      <x:c r="A92" s="14" t="str">
        <x:v>FE-67</x:v>
      </x:c>
      <x:c r="B92" s="6" t="str">
        <x:v>FRONTEND</x:v>
      </x:c>
      <x:c r="C92" s="6" t="str">
        <x:v>riskGovernanceApi.update</x:v>
      </x:c>
      <x:c r="D92" s="6" t="str">
        <x:v>UNKNOWN</x:v>
      </x:c>
      <x:c r="E92" s="6" t="str">
        <x:v>frontend/src/features/risk-governance/policyApi.ts:32</x:v>
      </x:c>
      <x:c r="F92" s="6" t="str">
        <x:v>Check dynamic member access, external clients, server and historical compatibility; absence of client reference is insufficient for deletion.</x:v>
      </x:c>
      <x:c r="G92" s="19" t="b">
        <x:v>0</x:v>
      </x:c>
      <x:c r="H92" s="6" t="str">
        <x:v>No retiro autorizado por ausencia de referencia directa</x:v>
      </x:c>
    </x:row>
    <x:row r="93" ht="42" customHeight="1">
      <x:c r="A93" s="15" t="str">
        <x:v>FE-68</x:v>
      </x:c>
      <x:c r="B93" s="13" t="str">
        <x:v>FRONTEND</x:v>
      </x:c>
      <x:c r="C93" s="13" t="str">
        <x:v>riskGovernanceApi.publish</x:v>
      </x:c>
      <x:c r="D93" s="13" t="str">
        <x:v>UNKNOWN</x:v>
      </x:c>
      <x:c r="E93" s="13" t="str">
        <x:v>frontend/src/features/risk-governance/policyApi.ts:39</x:v>
      </x:c>
      <x:c r="F93" s="13" t="str">
        <x:v>Check dynamic member access, external clients, server and historical compatibility; absence of client reference is insufficient for deletion.</x:v>
      </x:c>
      <x:c r="G93" s="20" t="b">
        <x:v>0</x:v>
      </x:c>
      <x:c r="H93" s="13" t="str">
        <x:v>No retiro autorizado por ausencia de referencia directa</x:v>
      </x:c>
    </x:row>
    <x:row r="94" ht="42" customHeight="1">
      <x:c r="A94" s="14" t="str">
        <x:v>FE-69</x:v>
      </x:c>
      <x:c r="B94" s="6" t="str">
        <x:v>FRONTEND</x:v>
      </x:c>
      <x:c r="C94" s="6" t="str">
        <x:v>riskGovernanceApi.archive</x:v>
      </x:c>
      <x:c r="D94" s="6" t="str">
        <x:v>UNKNOWN</x:v>
      </x:c>
      <x:c r="E94" s="6" t="str">
        <x:v>frontend/src/features/risk-governance/policyApi.ts:45</x:v>
      </x:c>
      <x:c r="F94" s="6" t="str">
        <x:v>Check dynamic member access, external clients, server and historical compatibility; absence of client reference is insufficient for deletion.</x:v>
      </x:c>
      <x:c r="G94" s="19" t="b">
        <x:v>0</x:v>
      </x:c>
      <x:c r="H94" s="6" t="str">
        <x:v>No retiro autorizado por ausencia de referencia directa</x:v>
      </x:c>
    </x:row>
    <x:row r="95" ht="42" customHeight="1">
      <x:c r="A95" s="15" t="str">
        <x:v>FE-70</x:v>
      </x:c>
      <x:c r="B95" s="13" t="str">
        <x:v>FRONTEND</x:v>
      </x:c>
      <x:c r="C95" s="13" t="str">
        <x:v>riskGovernanceApi.preview</x:v>
      </x:c>
      <x:c r="D95" s="13" t="str">
        <x:v>UNKNOWN</x:v>
      </x:c>
      <x:c r="E95" s="13" t="str">
        <x:v>frontend/src/features/risk-governance/policyApi.ts:51</x:v>
      </x:c>
      <x:c r="F95" s="13" t="str">
        <x:v>Check dynamic member access, external clients, server and historical compatibility; absence of client reference is insufficient for deletion.</x:v>
      </x:c>
      <x:c r="G95" s="20" t="b">
        <x:v>0</x:v>
      </x:c>
      <x:c r="H95" s="13" t="str">
        <x:v>No retiro autorizado por ausencia de referencia directa</x:v>
      </x:c>
    </x:row>
    <x:row r="96" ht="42" customHeight="1">
      <x:c r="A96" s="14" t="str">
        <x:v>FE-71</x:v>
      </x:c>
      <x:c r="B96" s="6" t="str">
        <x:v>FRONTEND</x:v>
      </x:c>
      <x:c r="C96" s="6" t="str">
        <x:v>riskReadinessApi.overview</x:v>
      </x:c>
      <x:c r="D96" s="6" t="str">
        <x:v>UNKNOWN</x:v>
      </x:c>
      <x:c r="E96" s="6" t="str">
        <x:v>frontend/src/features/risk-readiness/api.ts:7</x:v>
      </x:c>
      <x:c r="F96" s="6" t="str">
        <x:v>Check dynamic member access, external clients, server and historical compatibility; absence of client reference is insufficient for deletion.</x:v>
      </x:c>
      <x:c r="G96" s="19" t="b">
        <x:v>0</x:v>
      </x:c>
      <x:c r="H96" s="6" t="str">
        <x:v>No retiro autorizado por ausencia de referencia directa</x:v>
      </x:c>
    </x:row>
    <x:row r="97" ht="42" customHeight="1">
      <x:c r="A97" s="15" t="str">
        <x:v>FE-72</x:v>
      </x:c>
      <x:c r="B97" s="13" t="str">
        <x:v>FRONTEND</x:v>
      </x:c>
      <x:c r="C97" s="13" t="str">
        <x:v>riskReadinessApi.changeStatus</x:v>
      </x:c>
      <x:c r="D97" s="13" t="str">
        <x:v>UNKNOWN</x:v>
      </x:c>
      <x:c r="E97" s="13" t="str">
        <x:v>frontend/src/features/risk-readiness/api.ts:23</x:v>
      </x:c>
      <x:c r="F97" s="13" t="str">
        <x:v>Check dynamic member access, external clients, server and historical compatibility; absence of client reference is insufficient for deletion.</x:v>
      </x:c>
      <x:c r="G97" s="20" t="b">
        <x:v>0</x:v>
      </x:c>
      <x:c r="H97" s="13" t="str">
        <x:v>No retiro autorizado por ausencia de referencia directa</x:v>
      </x:c>
    </x:row>
    <x:row r="98" ht="42" customHeight="1">
      <x:c r="A98" s="14" t="str">
        <x:v>FE-73</x:v>
      </x:c>
      <x:c r="B98" s="6" t="str">
        <x:v>FRONTEND</x:v>
      </x:c>
      <x:c r="C98" s="6" t="str">
        <x:v>strategicBenefitsApi.byProject</x:v>
      </x:c>
      <x:c r="D98" s="6" t="str">
        <x:v>UNKNOWN</x:v>
      </x:c>
      <x:c r="E98" s="6" t="str">
        <x:v>frontend/src/features/strategic-benefits/api.ts:100</x:v>
      </x:c>
      <x:c r="F98" s="6" t="str">
        <x:v>Check dynamic member access, external clients, server and historical compatibility; absence of client reference is insufficient for deletion.</x:v>
      </x:c>
      <x:c r="G98" s="19" t="b">
        <x:v>0</x:v>
      </x:c>
      <x:c r="H98" s="6" t="str">
        <x:v>No retiro autorizado por ausencia de referencia directa</x:v>
      </x:c>
    </x:row>
    <x:row r="99" ht="42" customHeight="1">
      <x:c r="A99" s="15" t="str">
        <x:v>FE-74</x:v>
      </x:c>
      <x:c r="B99" s="13" t="str">
        <x:v>FRONTEND</x:v>
      </x:c>
      <x:c r="C99" s="13" t="str">
        <x:v>strategicBenefitsApi.providerEvidence</x:v>
      </x:c>
      <x:c r="D99" s="13" t="str">
        <x:v>UNKNOWN</x:v>
      </x:c>
      <x:c r="E99" s="13" t="str">
        <x:v>frontend/src/features/strategic-benefits/api.ts:222</x:v>
      </x:c>
      <x:c r="F99" s="13" t="str">
        <x:v>Check dynamic member access, external clients, server and historical compatibility; absence of client reference is insufficient for deletion.</x:v>
      </x:c>
      <x:c r="G99" s="20" t="b">
        <x:v>0</x:v>
      </x:c>
      <x:c r="H99" s="13" t="str">
        <x:v>No retiro autorizado por ausencia de referencia directa</x:v>
      </x:c>
    </x:row>
    <x:row r="100" ht="42" customHeight="1">
      <x:c r="A100" s="14" t="str">
        <x:v>FE-75</x:v>
      </x:c>
      <x:c r="B100" s="6" t="str">
        <x:v>FRONTEND</x:v>
      </x:c>
      <x:c r="C100" s="6" t="str">
        <x:v>strategicGateApi.get</x:v>
      </x:c>
      <x:c r="D100" s="6" t="str">
        <x:v>UNKNOWN</x:v>
      </x:c>
      <x:c r="E100" s="6" t="str">
        <x:v>frontend/src/features/strategic-gate/api.ts:21</x:v>
      </x:c>
      <x:c r="F100" s="6" t="str">
        <x:v>Check dynamic member access, external clients, server and historical compatibility; absence of client reference is insufficient for deletion.</x:v>
      </x:c>
      <x:c r="G100" s="19" t="b">
        <x:v>0</x:v>
      </x:c>
      <x:c r="H100" s="6" t="str">
        <x:v>No retiro autorizado por ausencia de referencia directa</x:v>
      </x:c>
    </x:row>
    <x:row r="101" ht="42" customHeight="1">
      <x:c r="A101" s="15" t="str">
        <x:v>FE-76</x:v>
      </x:c>
      <x:c r="B101" s="13" t="str">
        <x:v>FRONTEND</x:v>
      </x:c>
      <x:c r="C101" s="13" t="str">
        <x:v>strategicGateApi.relatedToIdea</x:v>
      </x:c>
      <x:c r="D101" s="13" t="str">
        <x:v>UNKNOWN</x:v>
      </x:c>
      <x:c r="E101" s="13" t="str">
        <x:v>frontend/src/features/strategic-gate/api.ts:82</x:v>
      </x:c>
      <x:c r="F101" s="13" t="str">
        <x:v>Check dynamic member access, external clients, server and historical compatibility; absence of client reference is insufficient for deletion.</x:v>
      </x:c>
      <x:c r="G101" s="20" t="b">
        <x:v>0</x:v>
      </x:c>
      <x:c r="H101" s="13" t="str">
        <x:v>No retiro autorizado por ausencia de referencia directa</x:v>
      </x:c>
    </x:row>
    <x:row r="102" ht="42" customHeight="1">
      <x:c r="A102" s="14" t="str">
        <x:v>FE-77</x:v>
      </x:c>
      <x:c r="B102" s="6" t="str">
        <x:v>FRONTEND</x:v>
      </x:c>
      <x:c r="C102" s="6" t="str">
        <x:v>workspaceContextApi.context</x:v>
      </x:c>
      <x:c r="D102" s="6" t="str">
        <x:v>UNKNOWN</x:v>
      </x:c>
      <x:c r="E102" s="6" t="str">
        <x:v>frontend/src/features/workspace-context/api.ts:22</x:v>
      </x:c>
      <x:c r="F102" s="6" t="str">
        <x:v>Check dynamic member access, external clients, server and historical compatibility; absence of client reference is insufficient for deletion.</x:v>
      </x:c>
      <x:c r="G102" s="19" t="b">
        <x:v>0</x:v>
      </x:c>
      <x:c r="H102" s="6" t="str">
        <x:v>No retiro autorizado por ausencia de referencia directa</x:v>
      </x:c>
    </x:row>
  </x:sheetData>
  <x:pageMargins left="0.7" right="0.7" top="0.75" bottom="0.75" header="0.3" footer="0.3"/>
  <x:tableParts count="1">
    <x:tablePart xmlns:r="http://schemas.openxmlformats.org/officeDocument/2006/relationships" r:id="Ra8493e1b2a274ca0"/>
  </x:tableParts>
</x:worksheet>
</file>

<file path=xl/worksheets/sheet8.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7" hidden="0" customWidth="1"/>
    <x:col min="2" max="2" width="48" hidden="0" customWidth="1"/>
    <x:col min="3" max="3" width="25" hidden="0" customWidth="1"/>
    <x:col min="4" max="4" width="72" hidden="0" customWidth="1"/>
    <x:col min="5" max="5" width="29" hidden="0" customWidth="1"/>
    <x:col min="6" max="6" width="78" hidden="0" customWidth="1"/>
    <x:col min="7" max="7" width="34" hidden="0" customWidth="1"/>
    <x:col min="8" max="8" width="20" hidden="0" customWidth="1"/>
    <x:col min="9" max="9" width="66" hidden="0" customWidth="1"/>
    <x:col min="10" max="10" width="22" hidden="0" customWidth="1"/>
    <x:col min="11" max="11" width="80" hidden="0" customWidth="1"/>
    <x:col min="12" max="12" width="80" hidden="0" customWidth="1"/>
  </x:cols>
  <x:sheetData>
    <x:row r="2" ht="26" customHeight="1">
      <x:c r="A2" s="1" t="str">
        <x:v>Criterios de liberación y firmas humanas</x:v>
      </x:c>
    </x:row>
    <x:row r="3">
      <x:c r="A3" s="2"/>
      <x:c r="B3" s="2"/>
      <x:c r="C3" s="2"/>
      <x:c r="D3" s="2"/>
      <x:c r="E3" s="2"/>
      <x:c r="F3" s="2"/>
      <x:c r="G3" s="2"/>
      <x:c r="H3" s="2"/>
      <x:c r="I3" s="2"/>
      <x:c r="J3" s="2"/>
    </x:row>
    <x:row r="4">
      <x:c r="A4" s="3" t="str">
        <x:v>Corte 15 octubre 2026; firmas no inferidas</x:v>
      </x:c>
      <x:c r="B4" s="3"/>
      <x:c r="C4" s="3"/>
      <x:c r="D4" s="3" t="str">
        <x:v>Fuente del registro</x:v>
      </x:c>
      <x:c r="E4" s="3" t="str">
        <x:v>Resultados técnicos explícitos y firmas autorizadas. Datos de firma vacíos significan pendiente, nunca aceptado.</x:v>
      </x:c>
      <x:c r="F4" s="3"/>
      <x:c r="G4" s="3"/>
      <x:c r="H4" s="3"/>
      <x:c r="I4" s="3"/>
      <x:c r="J4" s="3"/>
    </x:row>
    <x:row r="5">
      <x:c r="A5" s="3" t="str">
        <x:v>Registros</x:v>
      </x:c>
      <x:c r="B5" s="3" t="n">
        <x:f>COUNTA(A8:A37)</x:f>
        <x:v>30</x:v>
      </x:c>
      <x:c r="C5" s="3" t="str">
        <x:v>Pendientes o fallos</x:v>
      </x:c>
      <x:c r="D5" s="3" t="n">
        <x:f>COUNTIFS(J8:J37,"BLOCKED")+COUNTIFS(J8:J37,"FAIL")</x:f>
        <x:v>19</x:v>
      </x:c>
      <x:c r="E5" s="3"/>
      <x:c r="F5" s="3" t="str">
        <x:v>Conclusión calculada</x:v>
      </x:c>
      <x:c r="G5" s="3" t="str">
        <x:f>IF(D5=0,"REVIEW_RELEASE_DECISION","NO_GO")</x:f>
        <x:v>NO_GO</x:v>
      </x:c>
      <x:c r="H5" s="3"/>
      <x:c r="I5" s="3" t="str">
        <x:v>Decisión registrada</x:v>
      </x:c>
      <x:c r="J5" s="3" t="str">
        <x:v>NO_GO</x:v>
      </x:c>
    </x:row>
    <x:row r="7" ht="34" customHeight="1">
      <x:c r="A7" s="10" t="str">
        <x:v>Criterio ID</x:v>
      </x:c>
      <x:c r="B7" s="11" t="str">
        <x:v>Criterio</x:v>
      </x:c>
      <x:c r="C7" s="11" t="str">
        <x:v>Tipo</x:v>
      </x:c>
      <x:c r="D7" s="11" t="str">
        <x:v>Resultado técnico o condición</x:v>
      </x:c>
      <x:c r="E7" s="11" t="str">
        <x:v>Estado o decisión editable</x:v>
      </x:c>
      <x:c r="F7" s="11" t="str">
        <x:v>Evidencia técnica</x:v>
      </x:c>
      <x:c r="G7" s="11" t="str">
        <x:v>Firmante autorizado</x:v>
      </x:c>
      <x:c r="H7" s="11" t="str">
        <x:v>Fecha firma</x:v>
      </x:c>
      <x:c r="I7" s="11" t="str">
        <x:v>Evidencia de firma</x:v>
      </x:c>
      <x:c r="J7" s="12" t="str">
        <x:v>Estado calculado</x:v>
      </x:c>
      <x:c r="K7" s="11" t="str">
        <x:v>Criterio anterior 14 octubre</x:v>
      </x:c>
      <x:c r="L7" s="11" t="str">
        <x:v>Criterio previo al preflight</x:v>
      </x:c>
    </x:row>
    <x:row r="8" ht="42" customHeight="1">
      <x:c r="A8" s="14" t="str">
        <x:v>RC01</x:v>
      </x:c>
      <x:c r="B8" s="6" t="str">
        <x:v>Mapa y dependencias de procesos</x:v>
      </x:c>
      <x:c r="C8" s="6" t="str">
        <x:v>TECHNICAL</x:v>
      </x:c>
      <x:c r="D8" s="6" t="str">
        <x:v>44 procesos clasificados con autoridad, RACI, entradas y salidas; precedencia no se fuerza toda a secuencia estricta</x:v>
      </x:c>
      <x:c r="E8" s="6" t="str">
        <x:v>PASS</x:v>
      </x:c>
      <x:c r="F8" s="6" t="str">
        <x:v>docs/validation/strategic-final-uat/scenario-coverage-register.json</x:v>
      </x:c>
      <x:c r="G8" s="6" t="str"/>
      <x:c r="H8" s="21"/>
      <x:c r="I8" s="6" t="str"/>
      <x:c r="J8" s="6" t="str">
        <x:f>IF(C8="BUSINESS_SIGNOFF",IF(AND(E8="ACCEPTED",G8&lt;&gt;"",H8&lt;&gt;"",I8&lt;&gt;""),"PASS","BLOCKED"),IF(E8="PASS","PASS",IF(E8="FAIL","FAIL","BLOCKED")))</x:f>
        <x:v>PASS</x:v>
      </x:c>
      <x:c r="K8" s="5"/>
    </x:row>
    <x:row r="9" ht="95" customHeight="1">
      <x:c r="A9" s="15" t="str">
        <x:v>RC02</x:v>
      </x:c>
      <x:c r="B9" s="13" t="str">
        <x:v>Identidad Project canónica y timing</x:v>
      </x:c>
      <x:c r="C9" s="13" t="str">
        <x:v>TECHNICAL</x:v>
      </x:c>
      <x:c r="D9" s="13" t="str">
        <x:v>enterprise_workspaces PROJECT; materialización USER pending e inicialización y activación independientes</x:v>
      </x:c>
      <x:c r="E9" s="13" t="str">
        <x:v>PASS</x:v>
      </x:c>
      <x:c r="F9" s="13" t="str">
        <x:v>fresh-capital-owner-chain.json; Project canónico pending y timing actual; el caso A6 compuesto sigue BLOCKED</x:v>
      </x:c>
      <x:c r="G9" s="13" t="str"/>
      <x:c r="H9" s="22"/>
      <x:c r="I9" s="13" t="str"/>
      <x:c r="J9" s="13" t="str">
        <x:f>IF(C9="BUSINESS_SIGNOFF",IF(AND(E9="ACCEPTED",G9&lt;&gt;"",H9&lt;&gt;"",I9&lt;&gt;""),"PASS","BLOCKED"),IF(E9="PASS","PASS",IF(E9="FAIL","FAIL","BLOCKED")))</x:f>
        <x:v>PASS</x:v>
      </x:c>
      <x:c r="K9" s="5" t="str">
        <x:v>["RC02","Identidad Project canónica y timing","TECHNICAL","enterprise_workspaces PROJECT; materialización USER pending e inicialización y activación independientes","PASS","routes-postgresql-final.xml y backend-authority-guard-final.xml",null,null,null,"PASS"]</x:v>
      </x:c>
    </x:row>
    <x:row r="10" ht="95" customHeight="1">
      <x:c r="A10" s="14" t="str">
        <x:v>RC03</x:v>
      </x:c>
      <x:c r="B10" s="6" t="str">
        <x:v>Segregación ADMIN USER</x:v>
      </x:c>
      <x:c r="C10" s="6" t="str">
        <x:v>TECHNICAL</x:v>
      </x:c>
      <x:c r="D10" s="6" t="str">
        <x:v>Guards y pantallas corregidos con pruebas enfocadas; no se certifica toda autorización mediante inventario estático</x:v>
      </x:c>
      <x:c r="E10" s="6" t="str">
        <x:v>PASS</x:v>
      </x:c>
      <x:c r="F10" s="6" t="str">
        <x:v>core-parent-focused-current.xml; strategic-shell-focused.xml; scope-authorization.md; API mantiene RBAC</x:v>
      </x:c>
      <x:c r="G10" s="6" t="str"/>
      <x:c r="H10" s="21"/>
      <x:c r="I10" s="6" t="str"/>
      <x:c r="J10" s="6" t="str">
        <x:f>IF(C10="BUSINESS_SIGNOFF",IF(AND(E10="ACCEPTED",G10&lt;&gt;"",H10&lt;&gt;"",I10&lt;&gt;""),"PASS","BLOCKED"),IF(E10="PASS","PASS",IF(E10="FAIL","FAIL","BLOCKED")))</x:f>
        <x:v>PASS</x:v>
      </x:c>
      <x:c r="K10" s="5" t="str">
        <x:v>["RC03","Segregación ADMIN USER","TECHNICAL","Guards y pantallas corregidos con pruebas enfocadas; no se certifica toda autorización mediante inventario estático","PASS","backend-authority-guard-final.xml; frontend_focused_after_tests.json; browser-final.xml",null,null,null,"PASS"]</x:v>
      </x:c>
    </x:row>
    <x:row r="11" ht="95" customHeight="1">
      <x:c r="A11" s="15" t="str">
        <x:v>RC04</x:v>
      </x:c>
      <x:c r="B11" s="13" t="str">
        <x:v>Capital Owner completo A0 a A31</x:v>
      </x:c>
      <x:c r="C11" s="13" t="str">
        <x:v>TECHNICAL</x:v>
      </x:c>
      <x:c r="D11" s="13" t="str">
        <x:v>No existe una ejecución nueva única completa; no sumar upstream, downstream y fixtures adaptadas</x:v>
      </x:c>
      <x:c r="E11" s="13" t="str">
        <x:v>BLOCKED</x:v>
      </x:c>
      <x:c r="F11" s="13" t="str">
        <x:v>A0–A31 no completado. preflight.json. BLOCKED_UAT_DATABASE_NOT_AVAILABLE. Pruebas y navegador NOT_RUN. Sin reconstrucción ni comandos de negocio</x:v>
      </x:c>
      <x:c r="G11" s="13" t="str"/>
      <x:c r="H11" s="22"/>
      <x:c r="I11" s="13" t="str"/>
      <x:c r="J11" s="13" t="str">
        <x:f>IF(C11="BUSINESS_SIGNOFF",IF(AND(E11="ACCEPTED",G11&lt;&gt;"",H11&lt;&gt;"",I11&lt;&gt;""),"PASS","BLOCKED"),IF(E11="PASS","PASS",IF(E11="FAIL","FAIL","BLOCKED")))</x:f>
        <x:v>BLOCKED</x:v>
      </x:c>
      <x:c r="K11" s="5" t="str">
        <x:v>["RC04","Capital Owner completo A0 a A31","TECHNICAL","No existe una ejecución nueva única completa; no sumar upstream, downstream y fixtures adaptadas","BLOCKED","scenario-coverage-register.json; backend-full-fid-isolated-final.xml; routes-postgresql-final.xml",null,null,null,"BLOCKED"]</x:v>
      </x:c>
      <x:c r="L11" s="5" t="str">
        <x:v>{"criterion":"RC04","prior_status":"BLOCKED","prior_evidence":"fresh-capital-owner-chain.json; tenant4/Project16; Gate1 DRAFT/BLOCKED y sin FID","prior_calculated_result":"BLOCKED"}</x:v>
      </x:c>
    </x:row>
    <x:row r="12" ht="42" customHeight="1">
      <x:c r="A12" s="14" t="str">
        <x:v>RC05</x:v>
      </x:c>
      <x:c r="B12" s="6" t="str">
        <x:v>Contractor Delivery compacto</x:v>
      </x:c>
      <x:c r="C12" s="6" t="str">
        <x:v>TECHNICAL</x:v>
      </x:c>
      <x:c r="D12" s="6" t="str">
        <x:v>HTTP y PostgreSQL hasta ACTIVATED sin imponer FID</x:v>
      </x:c>
      <x:c r="E12" s="6" t="str">
        <x:v>PASS</x:v>
      </x:c>
      <x:c r="F12" s="6" t="str">
        <x:v>routes-postgresql-final.xml; scenario-route-CONTRACTOR_DELIVERY.json</x:v>
      </x:c>
      <x:c r="G12" s="6" t="str"/>
      <x:c r="H12" s="21"/>
      <x:c r="I12" s="6" t="str"/>
      <x:c r="J12" s="6" t="str">
        <x:f>IF(C12="BUSINESS_SIGNOFF",IF(AND(E12="ACCEPTED",G12&lt;&gt;"",H12&lt;&gt;"",I12&lt;&gt;""),"PASS","BLOCKED"),IF(E12="PASS","PASS",IF(E12="FAIL","FAIL","BLOCKED")))</x:f>
        <x:v>PASS</x:v>
      </x:c>
      <x:c r="K12" s="5"/>
    </x:row>
    <x:row r="13" ht="42" customHeight="1">
      <x:c r="A13" s="15" t="str">
        <x:v>RC06</x:v>
      </x:c>
      <x:c r="B13" s="13" t="str">
        <x:v>Direct Internal compacto</x:v>
      </x:c>
      <x:c r="C13" s="13" t="str">
        <x:v>TECHNICAL</x:v>
      </x:c>
      <x:c r="D13" s="13" t="str">
        <x:v>HTTP y PostgreSQL hasta ACTIVATED sin imponer FID</x:v>
      </x:c>
      <x:c r="E13" s="13" t="str">
        <x:v>PASS</x:v>
      </x:c>
      <x:c r="F13" s="13" t="str">
        <x:v>routes-postgresql-final.xml; scenario-route-DIRECT_INTERNAL.json</x:v>
      </x:c>
      <x:c r="G13" s="13" t="str"/>
      <x:c r="H13" s="22"/>
      <x:c r="I13" s="13" t="str"/>
      <x:c r="J13" s="13" t="str">
        <x:f>IF(C13="BUSINESS_SIGNOFF",IF(AND(E13="ACCEPTED",G13&lt;&gt;"",H13&lt;&gt;"",I13&lt;&gt;""),"PASS","BLOCKED"),IF(E13="PASS","PASS",IF(E13="FAIL","FAIL","BLOCKED")))</x:f>
        <x:v>PASS</x:v>
      </x:c>
      <x:c r="K13" s="5"/>
    </x:row>
    <x:row r="14" ht="95" customHeight="1">
      <x:c r="A14" s="14" t="str">
        <x:v>RC07</x:v>
      </x:c>
      <x:c r="B14" s="6" t="str">
        <x:v>Gate FID con configuración empresarial completa</x:v>
      </x:c>
      <x:c r="C14" s="6" t="str">
        <x:v>TECHNICAL</x:v>
      </x:c>
      <x:c r="D14" s="6" t="str">
        <x:v>Ensayo heredado se bloquea por fuentes Five Case faltantes; no modificar readiness ni reglas para pasar</x:v>
      </x:c>
      <x:c r="E14" s="6" t="str">
        <x:v>BLOCKED</x:v>
      </x:c>
      <x:c r="F14" s="6" t="str">
        <x:v>Gate/FID no revalidado. preflight.json. BLOCKED_UAT_DATABASE_NOT_AVAILABLE. Pruebas y navegador NOT_RUN. Sin reconstrucción ni comandos de negocio</x:v>
      </x:c>
      <x:c r="G14" s="6" t="str"/>
      <x:c r="H14" s="21"/>
      <x:c r="I14" s="6" t="str"/>
      <x:c r="J14" s="6" t="str">
        <x:f>IF(C14="BUSINESS_SIGNOFF",IF(AND(E14="ACCEPTED",G14&lt;&gt;"",H14&lt;&gt;"",I14&lt;&gt;""),"PASS","BLOCKED"),IF(E14="PASS","PASS",IF(E14="FAIL","FAIL","BLOCKED")))</x:f>
        <x:v>BLOCKED</x:v>
      </x:c>
      <x:c r="K14" s="5" t="str">
        <x:v>["RC07","Gate FID con configuración empresarial completa","TECHNICAL","Ensayo heredado se bloquea por fuentes Five Case faltantes; no modificar readiness ni reglas para pasar","FAIL","backend-full-fid-isolated-final.xml",null,null,null,"FAIL"]</x:v>
      </x:c>
      <x:c r="L14" s="5" t="str">
        <x:v>{"criterion":"RC07","prior_status":"BLOCKED","prior_evidence":"gate-evidence-blocker.json; cuatro referencias Class B sin presentación y validación independiente; no hay freeze/FID","prior_calculated_result":"BLOCKED"}</x:v>
      </x:c>
    </x:row>
    <x:row r="15" ht="95" customHeight="1">
      <x:c r="A15" s="15" t="str">
        <x:v>RC08</x:v>
      </x:c>
      <x:c r="B15" s="13" t="str">
        <x:v>Proyecto protegido14</x:v>
      </x:c>
      <x:c r="C15" s="13" t="str">
        <x:v>TECHNICAL</x:v>
      </x:c>
      <x:c r="D15" s="13" t="str">
        <x:v>Fila e identidad y MD5 operacionales sin cambios</x:v>
      </x:c>
      <x:c r="E15" s="13" t="str">
        <x:v>PASS</x:v>
      </x:c>
      <x:c r="F15" s="13" t="str">
        <x:v>operational-before.json y operational-after.json idénticos; captura final READ ONLY</x:v>
      </x:c>
      <x:c r="G15" s="13" t="str"/>
      <x:c r="H15" s="22"/>
      <x:c r="I15" s="13" t="str"/>
      <x:c r="J15" s="13" t="str">
        <x:f>IF(C15="BUSINESS_SIGNOFF",IF(AND(E15="ACCEPTED",G15&lt;&gt;"",H15&lt;&gt;"",I15&lt;&gt;""),"PASS","BLOCKED"),IF(E15="PASS","PASS",IF(E15="FAIL","FAIL","BLOCKED")))</x:f>
        <x:v>PASS</x:v>
      </x:c>
      <x:c r="K15" s="5" t="str">
        <x:v>["RC08","Proyecto protegido14","TECHNICAL","Fila e identidad y MD5 operacionales sin cambios","PASS","operational-preservation-final.json y baseline.json",null,null,null,"PASS"]</x:v>
      </x:c>
    </x:row>
    <x:row r="16" ht="95" customHeight="1">
      <x:c r="A16" s="14" t="str">
        <x:v>RC09</x:v>
      </x:c>
      <x:c r="B16" s="6" t="str">
        <x:v>Cabeza única Alembic</x:v>
      </x:c>
      <x:c r="C16" s="6" t="str">
        <x:v>TECHNICAL</x:v>
      </x:c>
      <x:c r="D16" s="6" t="str">
        <x:v>20261011_0068 sin nueva migración</x:v>
      </x:c>
      <x:c r="E16" s="6" t="str">
        <x:v>PASS</x:v>
      </x:c>
      <x:c r="F16" s="6" t="str">
        <x:v>operational-after.json; cabeza0068 conservada, sin migración nueva; no se atribuye un roundtrip nuevo</x:v>
      </x:c>
      <x:c r="G16" s="6" t="str"/>
      <x:c r="H16" s="21"/>
      <x:c r="I16" s="6" t="str"/>
      <x:c r="J16" s="6" t="str">
        <x:f>IF(C16="BUSINESS_SIGNOFF",IF(AND(E16="ACCEPTED",G16&lt;&gt;"",H16&lt;&gt;"",I16&lt;&gt;""),"PASS","BLOCKED"),IF(E16="PASS","PASS",IF(E16="FAIL","FAIL","BLOCKED")))</x:f>
        <x:v>PASS</x:v>
      </x:c>
      <x:c r="K16" s="5" t="str">
        <x:v>["RC09","Cabeza única Alembic","TECHNICAL","20261011_0068 sin nueva migración","PASS","operational-preservation-final.json; migration-roundtrip.xml",null,null,null,"PASS"]</x:v>
      </x:c>
    </x:row>
    <x:row r="17" ht="53" customHeight="1">
      <x:c r="A17" s="15" t="str">
        <x:v>RC10</x:v>
      </x:c>
      <x:c r="B17" s="13" t="str">
        <x:v>Roundtrip última migración0068</x:v>
      </x:c>
      <x:c r="C17" s="13" t="str">
        <x:v>TECHNICAL</x:v>
      </x:c>
      <x:c r="D17" s="13" t="str">
        <x:v>Dos pruebas aprobadas en SQLite y PostgreSQL en 224.51 s: 0067→0068→0067→0068. No acredita roundtrip de todas las migraciones históricas ni se ejecuta en operacional</x:v>
      </x:c>
      <x:c r="E17" s="13" t="str">
        <x:v>PASS</x:v>
      </x:c>
      <x:c r="F17" s="13" t="str">
        <x:v>migration-roundtrip.xml</x:v>
      </x:c>
      <x:c r="G17" s="13" t="str"/>
      <x:c r="H17" s="22"/>
      <x:c r="I17" s="13" t="str"/>
      <x:c r="J17" s="13" t="str">
        <x:f>IF(C17="BUSINESS_SIGNOFF",IF(AND(E17="ACCEPTED",G17&lt;&gt;"",H17&lt;&gt;"",I17&lt;&gt;""),"PASS","BLOCKED"),IF(E17="PASS","PASS",IF(E17="FAIL","FAIL","BLOCKED")))</x:f>
        <x:v>PASS</x:v>
      </x:c>
      <x:c r="K17" s="5"/>
    </x:row>
    <x:row r="18" ht="95" customHeight="1">
      <x:c r="A18" s="14" t="str">
        <x:v>RC11</x:v>
      </x:c>
      <x:c r="B18" s="6" t="str">
        <x:v>Blueprint canónico y ajuste USER autorizado</x:v>
      </x:c>
      <x:c r="C18" s="6" t="str">
        <x:v>TECHNICAL</x:v>
      </x:c>
      <x:c r="D18" s="6" t="str">
        <x:v>Blueprint canónico conservado; ajuste mínimo App.tsx autorizado para acceso USER sin dashboard operativo</x:v>
      </x:c>
      <x:c r="E18" s="6" t="str">
        <x:v>PASS</x:v>
      </x:c>
      <x:c r="F18" s="6" t="str">
        <x:v>scope-authorization.md; strategic-shell-focused.xml; browser-current-validation.json; App SHA31d42b406755cbc5f90a83da403adfa2bdb18adc8468076b19e79c7f6584c930</x:v>
      </x:c>
      <x:c r="G18" s="6" t="str"/>
      <x:c r="H18" s="21"/>
      <x:c r="I18" s="6" t="str"/>
      <x:c r="J18" s="6" t="str">
        <x:f>IF(C18="BUSINESS_SIGNOFF",IF(AND(E18="ACCEPTED",G18&lt;&gt;"",H18&lt;&gt;"",I18&lt;&gt;""),"PASS","BLOCKED"),IF(E18="PASS","PASS",IF(E18="FAIL","FAIL","BLOCKED")))</x:f>
        <x:v>PASS</x:v>
      </x:c>
      <x:c r="K18" s="5" t="str">
        <x:v>["RC11","Blueprint canónico y App sin expansión","TECHNICAL","197 rutas y orden Review corregido; App.tsx intacto","PASS","frontend_routes.json; frontend_focused_after_tests.json; browser-final.xml; App.tsx SHA8a1692d5adb7c8fefced6daa7bb63ce65f6fa5daf31ab064da2520020ead8879",null,null,null,"PASS"]</x:v>
      </x:c>
    </x:row>
    <x:row r="19" ht="42" customHeight="1">
      <x:c r="A19" s="15" t="str">
        <x:v>RC12</x:v>
      </x:c>
      <x:c r="B19" s="13" t="str">
        <x:v>Inventarios y limpieza conservadora</x:v>
      </x:c>
      <x:c r="C19" s="13" t="str">
        <x:v>TECHNICAL</x:v>
      </x:c>
      <x:c r="D19" s="13" t="str">
        <x:v>787 endpoints,119 tablas y clasificación explícita; ninguna eliminación no probada</x:v>
      </x:c>
      <x:c r="E19" s="13" t="str">
        <x:v>PASS</x:v>
      </x:c>
      <x:c r="F19" s="13" t="str">
        <x:v>backend-api-inventory.json; backend-database-inventory.json; frontend_legacy_renderers.json</x:v>
      </x:c>
      <x:c r="G19" s="13" t="str"/>
      <x:c r="H19" s="22"/>
      <x:c r="I19" s="13" t="str"/>
      <x:c r="J19" s="13" t="str">
        <x:f>IF(C19="BUSINESS_SIGNOFF",IF(AND(E19="ACCEPTED",G19&lt;&gt;"",H19&lt;&gt;"",I19&lt;&gt;""),"PASS","BLOCKED"),IF(E19="PASS","PASS",IF(E19="FAIL","FAIL","BLOCKED")))</x:f>
        <x:v>PASS</x:v>
      </x:c>
      <x:c r="K19" s="5"/>
    </x:row>
    <x:row r="20" ht="42" customHeight="1">
      <x:c r="A20" s="14" t="str">
        <x:v>RC13</x:v>
      </x:c>
      <x:c r="B20" s="6" t="str">
        <x:v>0 S1 abiertos</x:v>
      </x:c>
      <x:c r="C20" s="6" t="str">
        <x:v>TECHNICAL</x:v>
      </x:c>
      <x:c r="D20" s="6" t="str">
        <x:v>No se reprodujo un S1 en el alcance ejecutado; no implica ausencia universal de defectos</x:v>
      </x:c>
      <x:c r="E20" s="6" t="str">
        <x:v>PASS</x:v>
      </x:c>
      <x:c r="F20" s="6" t="str">
        <x:v>Registro de defectos consolidado de este informe</x:v>
      </x:c>
      <x:c r="G20" s="6" t="str"/>
      <x:c r="H20" s="21"/>
      <x:c r="I20" s="6" t="str"/>
      <x:c r="J20" s="6" t="str">
        <x:f>IF(C20="BUSINESS_SIGNOFF",IF(AND(E20="ACCEPTED",G20&lt;&gt;"",H20&lt;&gt;"",I20&lt;&gt;""),"PASS","BLOCKED"),IF(E20="PASS","PASS",IF(E20="FAIL","FAIL","BLOCKED")))</x:f>
        <x:v>PASS</x:v>
      </x:c>
      <x:c r="K20" s="5"/>
    </x:row>
    <x:row r="21" ht="95" customHeight="1">
      <x:c r="A21" s="15" t="str">
        <x:v>RC14</x:v>
      </x:c>
      <x:c r="B21" s="13" t="str">
        <x:v>0 S2 abiertos</x:v>
      </x:c>
      <x:c r="C21" s="13" t="str">
        <x:v>TECHNICAL</x:v>
      </x:c>
      <x:c r="D21" s="13" t="str">
        <x:v>UAT-S2-003 permanece abierto</x:v>
      </x:c>
      <x:c r="E21" s="13" t="str">
        <x:v>BLOCKED</x:v>
      </x:c>
      <x:c r="F21" s="13" t="str">
        <x:v>UAT-S2-003 sigue OPEN. UAT-ENV-001 es bloqueo de entorno, no S1/S2 de producto confirmado. preflight.json. Sin regresión nueva</x:v>
      </x:c>
      <x:c r="G21" s="13" t="str"/>
      <x:c r="H21" s="22"/>
      <x:c r="I21" s="13" t="str"/>
      <x:c r="J21" s="13" t="str">
        <x:f>IF(C21="BUSINESS_SIGNOFF",IF(AND(E21="ACCEPTED",G21&lt;&gt;"",H21&lt;&gt;"",I21&lt;&gt;""),"PASS","BLOCKED"),IF(E21="PASS","PASS",IF(E21="FAIL","FAIL","BLOCKED")))</x:f>
        <x:v>BLOCKED</x:v>
      </x:c>
      <x:c r="K21" s="5" t="str">
        <x:v>["RC14","0 S2 abiertos","TECHNICAL","UAT-S2-003 permanece abierto","FAIL","backend-full-fid-isolated-final.xml; registro de defectos",null,null,null,"FAIL"]</x:v>
      </x:c>
      <x:c r="L21" s="5" t="str">
        <x:v>{"criterion":"RC14","prior_status":"FAIL","prior_evidence":"UAT-S2-003 OPEN; fresh-capital-owner-chain.json y gate-evidence-blocker.json","prior_calculated_result":"FAIL"}</x:v>
      </x:c>
    </x:row>
    <x:row r="22" ht="42" customHeight="1">
      <x:c r="A22" s="14" t="str">
        <x:v>RC15</x:v>
      </x:c>
      <x:c r="B22" s="6" t="str">
        <x:v>Aceptación autorizada de negocio</x:v>
      </x:c>
      <x:c r="C22" s="6" t="str">
        <x:v>TECHNICAL</x:v>
      </x:c>
      <x:c r="D22" s="6" t="str">
        <x:v>Quince áreas de firma sin representante, fecha ni evidencia; no registrar aceptación ficticia</x:v>
      </x:c>
      <x:c r="E22" s="6" t="str">
        <x:v>BLOCKED</x:v>
      </x:c>
      <x:c r="F22" s="6" t="str">
        <x:v>08_Release_Criteria SIGN01 a SIGN15 vacíos; signoffs=[]</x:v>
      </x:c>
      <x:c r="G22" s="6" t="str"/>
      <x:c r="H22" s="21"/>
      <x:c r="I22" s="6" t="str"/>
      <x:c r="J22" s="6" t="str">
        <x:f>IF(C22="BUSINESS_SIGNOFF",IF(AND(E22="ACCEPTED",G22&lt;&gt;"",H22&lt;&gt;"",I22&lt;&gt;""),"PASS","BLOCKED"),IF(E22="PASS","PASS",IF(E22="FAIL","FAIL","BLOCKED")))</x:f>
        <x:v>BLOCKED</x:v>
      </x:c>
      <x:c r="K22" s="5"/>
    </x:row>
    <x:row r="23" ht="42" customHeight="1">
      <x:c r="A23" s="15" t="str">
        <x:v>SIGN-01</x:v>
      </x:c>
      <x:c r="B23" s="13" t="str">
        <x:v>Enterprise Structure</x:v>
      </x:c>
      <x:c r="C23" s="13" t="str">
        <x:v>BUSINESS_SIGNOFF</x:v>
      </x:c>
      <x:c r="D23" s="13" t="str">
        <x:v>Aceptación por representante autorizado</x:v>
      </x:c>
      <x:c r="E23" s="23"/>
      <x:c r="F23" s="23" t="str"/>
      <x:c r="G23" s="23" t="str"/>
      <x:c r="H23" s="24"/>
      <x:c r="I23" s="23" t="str"/>
      <x:c r="J23" s="13" t="str">
        <x:f>IF(C23="BUSINESS_SIGNOFF",IF(AND(E23="ACCEPTED",G23&lt;&gt;"",H23&lt;&gt;"",I23&lt;&gt;""),"PASS","BLOCKED"),IF(E23="PASS","PASS",IF(E23="FAIL","FAIL","BLOCKED")))</x:f>
        <x:v>BLOCKED</x:v>
      </x:c>
      <x:c r="K23" s="5"/>
    </x:row>
    <x:row r="24" ht="42" customHeight="1">
      <x:c r="A24" s="14" t="str">
        <x:v>SIGN-02</x:v>
      </x:c>
      <x:c r="B24" s="6" t="str">
        <x:v>Capital Planning</x:v>
      </x:c>
      <x:c r="C24" s="6" t="str">
        <x:v>BUSINESS_SIGNOFF</x:v>
      </x:c>
      <x:c r="D24" s="6" t="str">
        <x:v>Aceptación por representante autorizado</x:v>
      </x:c>
      <x:c r="E24" s="23" t="str"/>
      <x:c r="F24" s="23" t="str"/>
      <x:c r="G24" s="23" t="str"/>
      <x:c r="H24" s="24"/>
      <x:c r="I24" s="23" t="str"/>
      <x:c r="J24" s="6" t="str">
        <x:f>IF(C24="BUSINESS_SIGNOFF",IF(AND(E24="ACCEPTED",G24&lt;&gt;"",H24&lt;&gt;"",I24&lt;&gt;""),"PASS","BLOCKED"),IF(E24="PASS","PASS",IF(E24="FAIL","FAIL","BLOCKED")))</x:f>
        <x:v>BLOCKED</x:v>
      </x:c>
      <x:c r="K24" s="5"/>
    </x:row>
    <x:row r="25" ht="42" customHeight="1">
      <x:c r="A25" s="15" t="str">
        <x:v>SIGN-03</x:v>
      </x:c>
      <x:c r="B25" s="13" t="str">
        <x:v>Idea y Proposal</x:v>
      </x:c>
      <x:c r="C25" s="13" t="str">
        <x:v>BUSINESS_SIGNOFF</x:v>
      </x:c>
      <x:c r="D25" s="13" t="str">
        <x:v>Aceptación por representante autorizado</x:v>
      </x:c>
      <x:c r="E25" s="23" t="str"/>
      <x:c r="F25" s="23" t="str"/>
      <x:c r="G25" s="23" t="str"/>
      <x:c r="H25" s="24"/>
      <x:c r="I25" s="23" t="str"/>
      <x:c r="J25" s="13" t="str">
        <x:f>IF(C25="BUSINESS_SIGNOFF",IF(AND(E25="ACCEPTED",G25&lt;&gt;"",H25&lt;&gt;"",I25&lt;&gt;""),"PASS","BLOCKED"),IF(E25="PASS","PASS",IF(E25="FAIL","FAIL","BLOCKED")))</x:f>
        <x:v>BLOCKED</x:v>
      </x:c>
      <x:c r="K25" s="5"/>
    </x:row>
    <x:row r="26" ht="42" customHeight="1">
      <x:c r="A26" s="14" t="str">
        <x:v>SIGN-04</x:v>
      </x:c>
      <x:c r="B26" s="6" t="str">
        <x:v>Portfolio Governance</x:v>
      </x:c>
      <x:c r="C26" s="6" t="str">
        <x:v>BUSINESS_SIGNOFF</x:v>
      </x:c>
      <x:c r="D26" s="6" t="str">
        <x:v>Aceptación por representante autorizado</x:v>
      </x:c>
      <x:c r="E26" s="23" t="str"/>
      <x:c r="F26" s="23" t="str"/>
      <x:c r="G26" s="23" t="str"/>
      <x:c r="H26" s="24"/>
      <x:c r="I26" s="23" t="str"/>
      <x:c r="J26" s="6" t="str">
        <x:f>IF(C26="BUSINESS_SIGNOFF",IF(AND(E26="ACCEPTED",G26&lt;&gt;"",H26&lt;&gt;"",I26&lt;&gt;""),"PASS","BLOCKED"),IF(E26="PASS","PASS",IF(E26="FAIL","FAIL","BLOCKED")))</x:f>
        <x:v>BLOCKED</x:v>
      </x:c>
      <x:c r="K26" s="5"/>
    </x:row>
    <x:row r="27" ht="42" customHeight="1">
      <x:c r="A27" s="15" t="str">
        <x:v>SIGN-05</x:v>
      </x:c>
      <x:c r="B27" s="13" t="str">
        <x:v>Business Case</x:v>
      </x:c>
      <x:c r="C27" s="13" t="str">
        <x:v>BUSINESS_SIGNOFF</x:v>
      </x:c>
      <x:c r="D27" s="13" t="str">
        <x:v>Aceptación por representante autorizado</x:v>
      </x:c>
      <x:c r="E27" s="23" t="str"/>
      <x:c r="F27" s="23" t="str"/>
      <x:c r="G27" s="23" t="str"/>
      <x:c r="H27" s="24"/>
      <x:c r="I27" s="23" t="str"/>
      <x:c r="J27" s="13" t="str">
        <x:f>IF(C27="BUSINESS_SIGNOFF",IF(AND(E27="ACCEPTED",G27&lt;&gt;"",H27&lt;&gt;"",I27&lt;&gt;""),"PASS","BLOCKED"),IF(E27="PASS","PASS",IF(E27="FAIL","FAIL","BLOCKED")))</x:f>
        <x:v>BLOCKED</x:v>
      </x:c>
      <x:c r="K27" s="5"/>
    </x:row>
    <x:row r="28" ht="42" customHeight="1">
      <x:c r="A28" s="14" t="str">
        <x:v>SIGN-06</x:v>
      </x:c>
      <x:c r="B28" s="6" t="str">
        <x:v>FEL y PDRI</x:v>
      </x:c>
      <x:c r="C28" s="6" t="str">
        <x:v>BUSINESS_SIGNOFF</x:v>
      </x:c>
      <x:c r="D28" s="6" t="str">
        <x:v>Aceptación por representante autorizado</x:v>
      </x:c>
      <x:c r="E28" s="23" t="str"/>
      <x:c r="F28" s="23" t="str"/>
      <x:c r="G28" s="23" t="str"/>
      <x:c r="H28" s="24"/>
      <x:c r="I28" s="23" t="str"/>
      <x:c r="J28" s="6" t="str">
        <x:f>IF(C28="BUSINESS_SIGNOFF",IF(AND(E28="ACCEPTED",G28&lt;&gt;"",H28&lt;&gt;"",I28&lt;&gt;""),"PASS","BLOCKED"),IF(E28="PASS","PASS",IF(E28="FAIL","FAIL","BLOCKED")))</x:f>
        <x:v>BLOCKED</x:v>
      </x:c>
      <x:c r="K28" s="5"/>
    </x:row>
    <x:row r="29" ht="42" customHeight="1">
      <x:c r="A29" s="15" t="str">
        <x:v>SIGN-07</x:v>
      </x:c>
      <x:c r="B29" s="13" t="str">
        <x:v>Risk y Permit</x:v>
      </x:c>
      <x:c r="C29" s="13" t="str">
        <x:v>BUSINESS_SIGNOFF</x:v>
      </x:c>
      <x:c r="D29" s="13" t="str">
        <x:v>Aceptación por representante autorizado</x:v>
      </x:c>
      <x:c r="E29" s="23" t="str"/>
      <x:c r="F29" s="23" t="str"/>
      <x:c r="G29" s="23" t="str"/>
      <x:c r="H29" s="24"/>
      <x:c r="I29" s="23" t="str"/>
      <x:c r="J29" s="13" t="str">
        <x:f>IF(C29="BUSINESS_SIGNOFF",IF(AND(E29="ACCEPTED",G29&lt;&gt;"",H29&lt;&gt;"",I29&lt;&gt;""),"PASS","BLOCKED"),IF(E29="PASS","PASS",IF(E29="FAIL","FAIL","BLOCKED")))</x:f>
        <x:v>BLOCKED</x:v>
      </x:c>
      <x:c r="K29" s="5"/>
    </x:row>
    <x:row r="30" ht="42" customHeight="1">
      <x:c r="A30" s="14" t="str">
        <x:v>SIGN-08</x:v>
      </x:c>
      <x:c r="B30" s="6" t="str">
        <x:v>Funding y FIN</x:v>
      </x:c>
      <x:c r="C30" s="6" t="str">
        <x:v>BUSINESS_SIGNOFF</x:v>
      </x:c>
      <x:c r="D30" s="6" t="str">
        <x:v>Aceptación por representante autorizado</x:v>
      </x:c>
      <x:c r="E30" s="23" t="str"/>
      <x:c r="F30" s="23" t="str"/>
      <x:c r="G30" s="23" t="str"/>
      <x:c r="H30" s="24"/>
      <x:c r="I30" s="23" t="str"/>
      <x:c r="J30" s="6" t="str">
        <x:f>IF(C30="BUSINESS_SIGNOFF",IF(AND(E30="ACCEPTED",G30&lt;&gt;"",H30&lt;&gt;"",I30&lt;&gt;""),"PASS","BLOCKED"),IF(E30="PASS","PASS",IF(E30="FAIL","FAIL","BLOCKED")))</x:f>
        <x:v>BLOCKED</x:v>
      </x:c>
      <x:c r="K30" s="5"/>
    </x:row>
    <x:row r="31" ht="42" customHeight="1">
      <x:c r="A31" s="15" t="str">
        <x:v>SIGN-09</x:v>
      </x:c>
      <x:c r="B31" s="13" t="str">
        <x:v>QRA contextual evidence</x:v>
      </x:c>
      <x:c r="C31" s="13" t="str">
        <x:v>BUSINESS_SIGNOFF</x:v>
      </x:c>
      <x:c r="D31" s="13" t="str">
        <x:v>Aceptación por representante autorizado</x:v>
      </x:c>
      <x:c r="E31" s="23" t="str"/>
      <x:c r="F31" s="23" t="str"/>
      <x:c r="G31" s="23" t="str"/>
      <x:c r="H31" s="24"/>
      <x:c r="I31" s="23" t="str"/>
      <x:c r="J31" s="13" t="str">
        <x:f>IF(C31="BUSINESS_SIGNOFF",IF(AND(E31="ACCEPTED",G31&lt;&gt;"",H31&lt;&gt;"",I31&lt;&gt;""),"PASS","BLOCKED"),IF(E31="PASS","PASS",IF(E31="FAIL","FAIL","BLOCKED")))</x:f>
        <x:v>BLOCKED</x:v>
      </x:c>
      <x:c r="K31" s="5"/>
    </x:row>
    <x:row r="32" ht="42" customHeight="1">
      <x:c r="A32" s="14" t="str">
        <x:v>SIGN-10</x:v>
      </x:c>
      <x:c r="B32" s="6" t="str">
        <x:v>Gate Preparation</x:v>
      </x:c>
      <x:c r="C32" s="6" t="str">
        <x:v>BUSINESS_SIGNOFF</x:v>
      </x:c>
      <x:c r="D32" s="6" t="str">
        <x:v>Aceptación por representante autorizado</x:v>
      </x:c>
      <x:c r="E32" s="23" t="str"/>
      <x:c r="F32" s="23" t="str"/>
      <x:c r="G32" s="23" t="str"/>
      <x:c r="H32" s="24"/>
      <x:c r="I32" s="23" t="str"/>
      <x:c r="J32" s="6" t="str">
        <x:f>IF(C32="BUSINESS_SIGNOFF",IF(AND(E32="ACCEPTED",G32&lt;&gt;"",H32&lt;&gt;"",I32&lt;&gt;""),"PASS","BLOCKED"),IF(E32="PASS","PASS",IF(E32="FAIL","FAIL","BLOCKED")))</x:f>
        <x:v>BLOCKED</x:v>
      </x:c>
      <x:c r="K32" s="5"/>
    </x:row>
    <x:row r="33" ht="42" customHeight="1">
      <x:c r="A33" s="15" t="str">
        <x:v>SIGN-11</x:v>
      </x:c>
      <x:c r="B33" s="13" t="str">
        <x:v>FID</x:v>
      </x:c>
      <x:c r="C33" s="13" t="str">
        <x:v>BUSINESS_SIGNOFF</x:v>
      </x:c>
      <x:c r="D33" s="13" t="str">
        <x:v>Aceptación por representante autorizado</x:v>
      </x:c>
      <x:c r="E33" s="23" t="str"/>
      <x:c r="F33" s="23" t="str"/>
      <x:c r="G33" s="23" t="str"/>
      <x:c r="H33" s="24"/>
      <x:c r="I33" s="23" t="str"/>
      <x:c r="J33" s="13" t="str">
        <x:f>IF(C33="BUSINESS_SIGNOFF",IF(AND(E33="ACCEPTED",G33&lt;&gt;"",H33&lt;&gt;"",I33&lt;&gt;""),"PASS","BLOCKED"),IF(E33="PASS","PASS",IF(E33="FAIL","FAIL","BLOCKED")))</x:f>
        <x:v>BLOCKED</x:v>
      </x:c>
      <x:c r="K33" s="5"/>
    </x:row>
    <x:row r="34" ht="42" customHeight="1">
      <x:c r="A34" s="14" t="str">
        <x:v>SIGN-12</x:v>
      </x:c>
      <x:c r="B34" s="6" t="str">
        <x:v>Post FID boundary</x:v>
      </x:c>
      <x:c r="C34" s="6" t="str">
        <x:v>BUSINESS_SIGNOFF</x:v>
      </x:c>
      <x:c r="D34" s="6" t="str">
        <x:v>Aceptación por representante autorizado</x:v>
      </x:c>
      <x:c r="E34" s="23" t="str"/>
      <x:c r="F34" s="23" t="str"/>
      <x:c r="G34" s="23" t="str"/>
      <x:c r="H34" s="24"/>
      <x:c r="I34" s="23" t="str"/>
      <x:c r="J34" s="6" t="str">
        <x:f>IF(C34="BUSINESS_SIGNOFF",IF(AND(E34="ACCEPTED",G34&lt;&gt;"",H34&lt;&gt;"",I34&lt;&gt;""),"PASS","BLOCKED"),IF(E34="PASS","PASS",IF(E34="FAIL","FAIL","BLOCKED")))</x:f>
        <x:v>BLOCKED</x:v>
      </x:c>
      <x:c r="K34" s="5"/>
    </x:row>
    <x:row r="35" ht="42" customHeight="1">
      <x:c r="A35" s="15" t="str">
        <x:v>SIGN-13</x:v>
      </x:c>
      <x:c r="B35" s="13" t="str">
        <x:v>ADMIN y USER</x:v>
      </x:c>
      <x:c r="C35" s="13" t="str">
        <x:v>BUSINESS_SIGNOFF</x:v>
      </x:c>
      <x:c r="D35" s="13" t="str">
        <x:v>Aceptación por representante autorizado</x:v>
      </x:c>
      <x:c r="E35" s="23" t="str"/>
      <x:c r="F35" s="23" t="str"/>
      <x:c r="G35" s="23" t="str"/>
      <x:c r="H35" s="24"/>
      <x:c r="I35" s="23" t="str"/>
      <x:c r="J35" s="13" t="str">
        <x:f>IF(C35="BUSINESS_SIGNOFF",IF(AND(E35="ACCEPTED",G35&lt;&gt;"",H35&lt;&gt;"",I35&lt;&gt;""),"PASS","BLOCKED"),IF(E35="PASS","PASS",IF(E35="FAIL","FAIL","BLOCKED")))</x:f>
        <x:v>BLOCKED</x:v>
      </x:c>
      <x:c r="K35" s="5"/>
    </x:row>
    <x:row r="36" ht="42" customHeight="1">
      <x:c r="A36" s="14" t="str">
        <x:v>SIGN-14</x:v>
      </x:c>
      <x:c r="B36" s="6" t="str">
        <x:v>Navigation</x:v>
      </x:c>
      <x:c r="C36" s="6" t="str">
        <x:v>BUSINESS_SIGNOFF</x:v>
      </x:c>
      <x:c r="D36" s="6" t="str">
        <x:v>Aceptación por representante autorizado</x:v>
      </x:c>
      <x:c r="E36" s="23" t="str"/>
      <x:c r="F36" s="23" t="str"/>
      <x:c r="G36" s="23" t="str"/>
      <x:c r="H36" s="24"/>
      <x:c r="I36" s="23" t="str"/>
      <x:c r="J36" s="6" t="str">
        <x:f>IF(C36="BUSINESS_SIGNOFF",IF(AND(E36="ACCEPTED",G36&lt;&gt;"",H36&lt;&gt;"",I36&lt;&gt;""),"PASS","BLOCKED"),IF(E36="PASS","PASS",IF(E36="FAIL","FAIL","BLOCKED")))</x:f>
        <x:v>BLOCKED</x:v>
      </x:c>
      <x:c r="K36" s="5"/>
    </x:row>
    <x:row r="37" ht="42" customHeight="1">
      <x:c r="A37" s="15" t="str">
        <x:v>SIGN-15</x:v>
      </x:c>
      <x:c r="B37" s="13" t="str">
        <x:v>Documentation</x:v>
      </x:c>
      <x:c r="C37" s="13" t="str">
        <x:v>BUSINESS_SIGNOFF</x:v>
      </x:c>
      <x:c r="D37" s="13" t="str">
        <x:v>Aceptación por representante autorizado</x:v>
      </x:c>
      <x:c r="E37" s="23" t="str"/>
      <x:c r="F37" s="23" t="str"/>
      <x:c r="G37" s="23" t="str"/>
      <x:c r="H37" s="24"/>
      <x:c r="I37" s="23" t="str"/>
      <x:c r="J37" s="13" t="str">
        <x:f>IF(C37="BUSINESS_SIGNOFF",IF(AND(E37="ACCEPTED",G37&lt;&gt;"",H37&lt;&gt;"",I37&lt;&gt;""),"PASS","BLOCKED"),IF(E37="PASS","PASS",IF(E37="FAIL","FAIL","BLOCKED")))</x:f>
        <x:v>BLOCKED</x:v>
      </x:c>
      <x:c r="K37" s="5"/>
    </x:row>
  </x:sheetData>
  <x:dataValidations count="1">
    <x:dataValidation type="list" sqref="E23:E37">
      <x:formula1>"ACCEPTED,REJECTED,PENDING"</x:formula1>
    </x:dataValidation>
  </x:dataValidations>
  <x:pageMargins left="0.7" right="0.7" top="0.75" bottom="0.75" header="0.3" footer="0.3"/>
  <x:tableParts count="1">
    <x:tablePart xmlns:r="http://schemas.openxmlformats.org/officeDocument/2006/relationships" r:id="R5c82e61d83704689"/>
  </x:tableParts>
</x:worksheet>
</file>